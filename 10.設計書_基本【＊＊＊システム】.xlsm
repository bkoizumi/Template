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8a866c0d84404af8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0" yWindow="0" windowWidth="28800" windowHeight="11760" tabRatio="719"/>
  </bookViews>
  <sheets>
    <sheet name="設定" sheetId="24" r:id="rId1"/>
    <sheet name="Notice" sheetId="25" r:id="rId2"/>
    <sheet name="Copy" sheetId="19" r:id="rId3"/>
    <sheet name="表紙 _縦" sheetId="22" r:id="rId4"/>
    <sheet name="表紙_横" sheetId="16" r:id="rId5"/>
    <sheet name="設計書" sheetId="23" r:id="rId6"/>
  </sheets>
  <functionGroups builtInGroupCount="18">
    <functionGroup name="Ladex"/>
  </functionGroups>
  <definedNames>
    <definedName name="BaseURL">設定!$E$11</definedName>
    <definedName name="debugMode">設定!$B$5</definedName>
    <definedName name="PageLine">設定!$B$7</definedName>
    <definedName name="_xlnm.Print_Area" localSheetId="5">設計書!$A$1:$AV$129</definedName>
    <definedName name="_xlnm.Print_Area" localSheetId="3">'表紙 _縦'!$A$1:$AF$62</definedName>
    <definedName name="_xlnm.Print_Area" localSheetId="4">表紙_横!$A$1:$AU$43</definedName>
    <definedName name="Toc1StartColLine">設定!$B$10</definedName>
    <definedName name="Toc1StartLine">設定!$B$9</definedName>
    <definedName name="Toc2StartColLine">設定!$B$13</definedName>
    <definedName name="TocCenterColLine">設定!$B$12</definedName>
    <definedName name="TocMaxCnt">設定!$B$15</definedName>
    <definedName name="TocTitle">設定!$B$11</definedName>
    <definedName name="システム名">設定!$E$9</definedName>
    <definedName name="プロジェクト名">設定!$E$8</definedName>
    <definedName name="改訂日">設計書!$E$48:$I$85</definedName>
    <definedName name="改訂番号">設計書!$B$48:$D$85</definedName>
    <definedName name="顧客名">設定!$E$5</definedName>
    <definedName name="作成者">設定!$E$7</definedName>
    <definedName name="作成日">設定!$E$6</definedName>
    <definedName name="設計書">設定!$E$10</definedName>
  </definedNames>
  <calcPr calcId="162913"/>
</workbook>
</file>

<file path=xl/calcChain.xml><?xml version="1.0" encoding="utf-8"?>
<calcChain xmlns="http://schemas.openxmlformats.org/spreadsheetml/2006/main">
  <c r="E10" i="24" l="1"/>
  <c r="X60" i="22" l="1"/>
  <c r="AX129" i="23"/>
  <c r="AR87" i="23"/>
  <c r="AJ87" i="23"/>
  <c r="S87" i="23"/>
  <c r="D87" i="23"/>
  <c r="AX86" i="23"/>
  <c r="E49" i="23"/>
  <c r="J48" i="23"/>
  <c r="E48" i="23"/>
  <c r="AR44" i="23"/>
  <c r="AJ44" i="23"/>
  <c r="S44" i="23"/>
  <c r="D44" i="23"/>
  <c r="AR87" i="19"/>
  <c r="AJ87" i="19"/>
  <c r="S87" i="19"/>
  <c r="D87" i="19"/>
  <c r="AR44" i="19"/>
  <c r="AJ44" i="19"/>
  <c r="S44" i="19"/>
  <c r="D44" i="19"/>
  <c r="AR1" i="19"/>
  <c r="AJ1" i="19"/>
  <c r="S1" i="19"/>
  <c r="D1" i="19"/>
  <c r="AR1" i="23"/>
  <c r="AJ1" i="23"/>
  <c r="S1" i="23"/>
  <c r="D1" i="23"/>
  <c r="AX43" i="23" l="1"/>
  <c r="AX86" i="19" l="1"/>
  <c r="AR259" i="19" l="1"/>
  <c r="AJ259" i="19"/>
  <c r="S259" i="19"/>
  <c r="D259" i="19"/>
  <c r="AX301" i="19"/>
  <c r="AR216" i="19"/>
  <c r="AJ216" i="19"/>
  <c r="S216" i="19"/>
  <c r="D216" i="19"/>
  <c r="AX258" i="19"/>
  <c r="S302" i="19" l="1"/>
  <c r="D302" i="19"/>
  <c r="S173" i="19"/>
  <c r="D173" i="19"/>
  <c r="S130" i="19"/>
  <c r="D130" i="19"/>
  <c r="B2" i="22" l="1"/>
  <c r="C1" i="16"/>
  <c r="AX344" i="19" l="1"/>
  <c r="AX215" i="19"/>
  <c r="AX129" i="19"/>
  <c r="AX172" i="19"/>
  <c r="AR302" i="19" l="1"/>
  <c r="AJ302" i="19"/>
  <c r="AX43" i="19" l="1"/>
  <c r="AR130" i="19" l="1"/>
  <c r="AJ130" i="19"/>
  <c r="AR173" i="19"/>
  <c r="AJ173" i="19"/>
  <c r="A4" i="16" l="1"/>
  <c r="A5" i="22"/>
  <c r="AC60" i="22" l="1"/>
  <c r="AR42" i="16"/>
  <c r="AM42" i="16" l="1"/>
</calcChain>
</file>

<file path=xl/sharedStrings.xml><?xml version="1.0" encoding="utf-8"?>
<sst xmlns="http://schemas.openxmlformats.org/spreadsheetml/2006/main" count="332" uniqueCount="191">
  <si>
    <t>顧客名</t>
    <rPh sb="0" eb="2">
      <t>コキャク</t>
    </rPh>
    <rPh sb="2" eb="3">
      <t>メイ</t>
    </rPh>
    <phoneticPr fontId="4"/>
  </si>
  <si>
    <t>作成日</t>
    <rPh sb="0" eb="3">
      <t>サクセイビ</t>
    </rPh>
    <phoneticPr fontId="4"/>
  </si>
  <si>
    <t>機能</t>
    <rPh sb="0" eb="2">
      <t>キノウ</t>
    </rPh>
    <phoneticPr fontId="4"/>
  </si>
  <si>
    <t>作成者</t>
    <rPh sb="0" eb="2">
      <t>サクセイ</t>
    </rPh>
    <rPh sb="2" eb="3">
      <t>シャ</t>
    </rPh>
    <phoneticPr fontId="4"/>
  </si>
  <si>
    <t>承認</t>
    <rPh sb="0" eb="2">
      <t>ショウニン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</si>
  <si>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</si>
  <si>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</si>
  <si>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システム名</t>
    <rPh sb="4" eb="5">
      <t>メイ</t>
    </rPh>
    <phoneticPr fontId="4"/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</si>
  <si>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</si>
  <si>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設計書</t>
    <rPh sb="0" eb="2">
      <t>セッケイ</t>
    </rPh>
    <rPh sb="2" eb="3">
      <t>ショ</t>
    </rPh>
    <phoneticPr fontId="4"/>
  </si>
  <si>
    <t>初期値</t>
    <rPh sb="0" eb="3">
      <t>ショキチ</t>
    </rPh>
    <phoneticPr fontId="4"/>
  </si>
  <si>
    <t>説明</t>
    <rPh sb="0" eb="2">
      <t>セツメイ</t>
    </rPh>
    <phoneticPr fontId="4"/>
  </si>
  <si>
    <t>関連ファイル</t>
    <rPh sb="0" eb="2">
      <t>カンレン</t>
    </rPh>
    <phoneticPr fontId="4"/>
  </si>
  <si>
    <t>表示項目一覧</t>
    <rPh sb="0" eb="2">
      <t>ヒョウジ</t>
    </rPh>
    <rPh sb="2" eb="4">
      <t>コウモク</t>
    </rPh>
    <rPh sb="4" eb="6">
      <t>イチラン</t>
    </rPh>
    <phoneticPr fontId="4"/>
  </si>
  <si>
    <t>表示形式</t>
    <rPh sb="0" eb="2">
      <t>ヒョウジ</t>
    </rPh>
    <rPh sb="2" eb="4">
      <t>ケイシキ</t>
    </rPh>
    <phoneticPr fontId="4"/>
  </si>
  <si>
    <t>必須</t>
    <rPh sb="0" eb="2">
      <t>ヒッス</t>
    </rPh>
    <phoneticPr fontId="4"/>
  </si>
  <si>
    <t>制限事項・その他</t>
    <rPh sb="0" eb="2">
      <t>セイゲン</t>
    </rPh>
    <rPh sb="2" eb="4">
      <t>ジコウ</t>
    </rPh>
    <rPh sb="7" eb="8">
      <t>タ</t>
    </rPh>
    <phoneticPr fontId="4"/>
  </si>
  <si>
    <t>テーブル名</t>
    <rPh sb="4" eb="5">
      <t>メイ</t>
    </rPh>
    <phoneticPr fontId="4"/>
  </si>
  <si>
    <t>カラム名</t>
    <rPh sb="3" eb="4">
      <t>メイ</t>
    </rPh>
    <phoneticPr fontId="4"/>
  </si>
  <si>
    <t>表示元データ</t>
    <rPh sb="0" eb="2">
      <t>ヒョウジ</t>
    </rPh>
    <rPh sb="2" eb="3">
      <t>モト</t>
    </rPh>
    <phoneticPr fontId="4"/>
  </si>
  <si>
    <t>取得項目一覧</t>
    <rPh sb="0" eb="2">
      <t>シュトク</t>
    </rPh>
    <rPh sb="2" eb="4">
      <t>コウモク</t>
    </rPh>
    <rPh sb="4" eb="6">
      <t>イチラン</t>
    </rPh>
    <phoneticPr fontId="4"/>
  </si>
  <si>
    <t>フォーム属性名称</t>
    <rPh sb="4" eb="6">
      <t>ゾクセイ</t>
    </rPh>
    <rPh sb="6" eb="8">
      <t>メイショウ</t>
    </rPh>
    <phoneticPr fontId="4"/>
  </si>
  <si>
    <t>形式</t>
    <rPh sb="0" eb="2">
      <t>ケイシキ</t>
    </rPh>
    <phoneticPr fontId="4"/>
  </si>
  <si>
    <t>取得元データ</t>
    <rPh sb="0" eb="2">
      <t>シュトク</t>
    </rPh>
    <rPh sb="2" eb="3">
      <t>モト</t>
    </rPh>
    <phoneticPr fontId="4"/>
  </si>
  <si>
    <t>表示項目</t>
    <rPh sb="0" eb="2">
      <t>ヒョウジ</t>
    </rPh>
    <rPh sb="2" eb="4">
      <t>コウモク</t>
    </rPh>
    <phoneticPr fontId="4"/>
  </si>
  <si>
    <t>URL</t>
    <phoneticPr fontId="4"/>
  </si>
  <si>
    <t>ファイルパス</t>
    <phoneticPr fontId="4"/>
  </si>
  <si>
    <t>インクルード</t>
    <phoneticPr fontId="4"/>
  </si>
  <si>
    <t>テンプレートファイル</t>
    <phoneticPr fontId="4"/>
  </si>
  <si>
    <t>処理フロー</t>
    <phoneticPr fontId="4"/>
  </si>
  <si>
    <t>タイトル</t>
    <phoneticPr fontId="4"/>
  </si>
  <si>
    <t>構成</t>
    <rPh sb="0" eb="2">
      <t>コウセイ</t>
    </rPh>
    <phoneticPr fontId="4"/>
  </si>
  <si>
    <t>プロジェクト名</t>
    <rPh sb="6" eb="7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</si>
  <si>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</si>
  <si>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</si>
  <si>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作成日</t>
    <rPh sb="0" eb="2">
      <t>サクセイ</t>
    </rPh>
    <rPh sb="2" eb="3">
      <t>ビ</t>
    </rPh>
    <phoneticPr fontId="4"/>
  </si>
  <si>
    <t>作成者</t>
    <rPh sb="0" eb="3">
      <t>サクセイシャ</t>
    </rPh>
    <phoneticPr fontId="4"/>
  </si>
  <si>
    <t>https://www.hogehoge.jp/path/to/action.php</t>
  </si>
  <si>
    <t>/home/www.hogehoge.jp/path/to/action.php</t>
  </si>
  <si>
    <t>システム</t>
    <phoneticPr fontId="4"/>
  </si>
  <si>
    <t>入力項目制限</t>
    <rPh sb="0" eb="2">
      <t>ニュウリョク</t>
    </rPh>
    <rPh sb="2" eb="4">
      <t>コウモク</t>
    </rPh>
    <rPh sb="4" eb="6">
      <t>セイゲン</t>
    </rPh>
    <phoneticPr fontId="4"/>
  </si>
  <si>
    <t>項目(表示)名称</t>
    <rPh sb="0" eb="2">
      <t>コウモク</t>
    </rPh>
    <rPh sb="3" eb="5">
      <t>ヒョウジ</t>
    </rPh>
    <rPh sb="6" eb="8">
      <t>メイショウ</t>
    </rPh>
    <phoneticPr fontId="4"/>
  </si>
  <si>
    <t>データ型</t>
    <rPh sb="3" eb="4">
      <t>カタ</t>
    </rPh>
    <phoneticPr fontId="4"/>
  </si>
  <si>
    <t>桁数</t>
    <rPh sb="0" eb="2">
      <t>ケタスウ</t>
    </rPh>
    <phoneticPr fontId="4"/>
  </si>
  <si>
    <t>入力形式</t>
    <rPh sb="0" eb="2">
      <t>ニュウリョク</t>
    </rPh>
    <rPh sb="2" eb="4">
      <t>ケイシキ</t>
    </rPh>
    <phoneticPr fontId="4"/>
  </si>
  <si>
    <t>＊＊＊フォーム</t>
    <phoneticPr fontId="4"/>
  </si>
  <si>
    <t>JS実行</t>
  </si>
  <si>
    <t>半角数字</t>
    <rPh sb="0" eb="2">
      <t>ハンカク</t>
    </rPh>
    <rPh sb="2" eb="4">
      <t>スウジ</t>
    </rPh>
    <phoneticPr fontId="23"/>
  </si>
  <si>
    <t>email</t>
  </si>
  <si>
    <t>全角文字</t>
    <rPh sb="0" eb="2">
      <t>ゼンカク</t>
    </rPh>
    <rPh sb="2" eb="4">
      <t>モジ</t>
    </rPh>
    <phoneticPr fontId="4"/>
  </si>
  <si>
    <t>/home/www.hogehoge.jp/path/to/view.tpl</t>
    <phoneticPr fontId="4"/>
  </si>
  <si>
    <t>/home/www.hogehoge.jp/path/to/Module.php</t>
    <phoneticPr fontId="4"/>
  </si>
  <si>
    <t>お問合せ</t>
  </si>
  <si>
    <t>お問合せ内容</t>
  </si>
  <si>
    <t>メールアドレス</t>
  </si>
  <si>
    <t>口座</t>
  </si>
  <si>
    <t>同意ボタン</t>
  </si>
  <si>
    <t>制限内容</t>
    <phoneticPr fontId="4"/>
  </si>
  <si>
    <t>contact/input</t>
    <phoneticPr fontId="4"/>
  </si>
  <si>
    <t>テキストボックス</t>
  </si>
  <si>
    <t>テキストエリア</t>
  </si>
  <si>
    <t>メールアドレス(確認用)</t>
    <rPh sb="8" eb="10">
      <t>カクニン</t>
    </rPh>
    <rPh sb="10" eb="11">
      <t>ヨウ</t>
    </rPh>
    <phoneticPr fontId="4"/>
  </si>
  <si>
    <t>nameタグ名称</t>
    <rPh sb="6" eb="8">
      <t>メイショウ</t>
    </rPh>
    <phoneticPr fontId="4"/>
  </si>
  <si>
    <t>備考</t>
    <rPh sb="0" eb="2">
      <t>ビコウ</t>
    </rPh>
    <phoneticPr fontId="4"/>
  </si>
  <si>
    <t>kind</t>
  </si>
  <si>
    <t>body</t>
  </si>
  <si>
    <t>name</t>
  </si>
  <si>
    <t>kana</t>
  </si>
  <si>
    <t>tel01</t>
  </si>
  <si>
    <t>tel02</t>
  </si>
  <si>
    <t>tel03</t>
  </si>
  <si>
    <t>mail</t>
  </si>
  <si>
    <t>mail_confirmation</t>
  </si>
  <si>
    <t>document.contactConfirm.submit();</t>
    <phoneticPr fontId="4"/>
  </si>
  <si>
    <t>account</t>
    <phoneticPr fontId="4"/>
  </si>
  <si>
    <t>privacy</t>
    <phoneticPr fontId="4"/>
  </si>
  <si>
    <t>○</t>
  </si>
  <si>
    <t>確認/登録ボタン</t>
    <rPh sb="0" eb="2">
      <t>カクニン</t>
    </rPh>
    <rPh sb="3" eb="5">
      <t>トウロク</t>
    </rPh>
    <phoneticPr fontId="4"/>
  </si>
  <si>
    <t>お名前</t>
    <phoneticPr fontId="4"/>
  </si>
  <si>
    <t>オナマエ</t>
    <phoneticPr fontId="4"/>
  </si>
  <si>
    <t>電話番号1</t>
    <phoneticPr fontId="4"/>
  </si>
  <si>
    <t>電話番号2</t>
  </si>
  <si>
    <t>電話番号3</t>
  </si>
  <si>
    <t>email</t>
    <phoneticPr fontId="4"/>
  </si>
  <si>
    <t>機能概要</t>
    <rPh sb="0" eb="2">
      <t>キノウ</t>
    </rPh>
    <rPh sb="2" eb="4">
      <t>ガイヨウ</t>
    </rPh>
    <phoneticPr fontId="4"/>
  </si>
  <si>
    <t>作成</t>
    <rPh sb="0" eb="2">
      <t>サクセイ</t>
    </rPh>
    <phoneticPr fontId="4"/>
  </si>
  <si>
    <t>検査</t>
    <rPh sb="0" eb="2">
      <t>ケンサ</t>
    </rPh>
    <phoneticPr fontId="4"/>
  </si>
  <si>
    <t>ラジオボタン</t>
  </si>
  <si>
    <t>チェックボックス</t>
  </si>
  <si>
    <t>プルダウン</t>
  </si>
  <si>
    <t>10～15</t>
    <phoneticPr fontId="4"/>
  </si>
  <si>
    <t>2～3</t>
    <phoneticPr fontId="4"/>
  </si>
  <si>
    <t>レスポンス</t>
    <phoneticPr fontId="44"/>
  </si>
  <si>
    <t>JSON</t>
    <phoneticPr fontId="44"/>
  </si>
  <si>
    <t>パラメータ</t>
    <phoneticPr fontId="44"/>
  </si>
  <si>
    <t>No</t>
    <phoneticPr fontId="44"/>
  </si>
  <si>
    <t>JSON　Key</t>
    <phoneticPr fontId="44"/>
  </si>
  <si>
    <t>概要</t>
    <rPh sb="0" eb="2">
      <t>ガイヨウ</t>
    </rPh>
    <phoneticPr fontId="44"/>
  </si>
  <si>
    <t>型</t>
    <rPh sb="0" eb="1">
      <t>カタ</t>
    </rPh>
    <phoneticPr fontId="44"/>
  </si>
  <si>
    <t>必須</t>
    <rPh sb="0" eb="2">
      <t>ヒッス</t>
    </rPh>
    <phoneticPr fontId="44"/>
  </si>
  <si>
    <t>繰り返し</t>
    <rPh sb="0" eb="1">
      <t>ク</t>
    </rPh>
    <rPh sb="2" eb="3">
      <t>カエ</t>
    </rPh>
    <phoneticPr fontId="44"/>
  </si>
  <si>
    <t>備考</t>
    <rPh sb="0" eb="2">
      <t>ビコウ</t>
    </rPh>
    <phoneticPr fontId="44"/>
  </si>
  <si>
    <t>Response サンプル</t>
    <phoneticPr fontId="44"/>
  </si>
  <si>
    <t>WebAPI名</t>
    <rPh sb="6" eb="7">
      <t>メイ</t>
    </rPh>
    <phoneticPr fontId="44"/>
  </si>
  <si>
    <t>処理概要</t>
  </si>
  <si>
    <t>Header</t>
    <phoneticPr fontId="44"/>
  </si>
  <si>
    <t>Method</t>
    <phoneticPr fontId="44"/>
  </si>
  <si>
    <t>Get</t>
    <phoneticPr fontId="4"/>
  </si>
  <si>
    <t>Content-Type</t>
    <phoneticPr fontId="44"/>
  </si>
  <si>
    <t>multipart/form-data</t>
    <phoneticPr fontId="44"/>
  </si>
  <si>
    <t>Content-Language</t>
    <phoneticPr fontId="44"/>
  </si>
  <si>
    <t>Authentication</t>
    <phoneticPr fontId="44"/>
  </si>
  <si>
    <t>Basic認証</t>
    <phoneticPr fontId="44"/>
  </si>
  <si>
    <t>パラメータ</t>
    <phoneticPr fontId="44"/>
  </si>
  <si>
    <t>No</t>
    <phoneticPr fontId="44"/>
  </si>
  <si>
    <t>名前</t>
    <rPh sb="0" eb="2">
      <t>ナマエ</t>
    </rPh>
    <phoneticPr fontId="44"/>
  </si>
  <si>
    <t>設定値</t>
    <rPh sb="0" eb="3">
      <t>セッテイチ</t>
    </rPh>
    <phoneticPr fontId="44"/>
  </si>
  <si>
    <t>Body - Request</t>
    <phoneticPr fontId="44"/>
  </si>
  <si>
    <t>No</t>
    <phoneticPr fontId="44"/>
  </si>
  <si>
    <t>Request サンプル</t>
    <phoneticPr fontId="44"/>
  </si>
  <si>
    <t>#</t>
    <phoneticPr fontId="4"/>
  </si>
  <si>
    <t>前提条件</t>
    <rPh sb="0" eb="4">
      <t>ゼ</t>
    </rPh>
    <phoneticPr fontId="4"/>
  </si>
  <si>
    <t>処理フロー</t>
    <rPh sb="0" eb="2">
      <t>ショリ</t>
    </rPh>
    <phoneticPr fontId="4"/>
  </si>
  <si>
    <t>○✕システム</t>
    <phoneticPr fontId="4"/>
  </si>
  <si>
    <t>○△□プロジェクト</t>
    <phoneticPr fontId="4"/>
  </si>
  <si>
    <t>○✕○✕株式会社</t>
    <rPh sb="4" eb="8">
      <t>カブ</t>
    </rPh>
    <phoneticPr fontId="4"/>
  </si>
  <si>
    <t>■VBA用の設定</t>
    <rPh sb="4" eb="5">
      <t>ヨウ</t>
    </rPh>
    <rPh sb="6" eb="8">
      <t>セッテイ</t>
    </rPh>
    <phoneticPr fontId="4"/>
  </si>
  <si>
    <t>debugMode</t>
    <phoneticPr fontId="53"/>
  </si>
  <si>
    <t>develop</t>
    <phoneticPr fontId="53"/>
  </si>
  <si>
    <t>ID</t>
    <phoneticPr fontId="4"/>
  </si>
  <si>
    <t>Message</t>
    <phoneticPr fontId="4"/>
  </si>
  <si>
    <t>&lt;&lt;メッセージ[情報]&gt;&gt; 0～399</t>
    <rPh sb="8" eb="10">
      <t>ジョウホウ</t>
    </rPh>
    <phoneticPr fontId="4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</si>
  <si>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</si>
  <si>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</si>
  <si>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</si>
  <si>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</si>
  <si>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%%</t>
    <phoneticPr fontId="44"/>
  </si>
  <si>
    <t>キャンセルされました</t>
    <phoneticPr fontId="55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</si>
  <si>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</si>
  <si>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</si>
  <si>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</si>
  <si>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</si>
  <si>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</si>
  <si>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44"/>
  </si>
  <si>
    <t>&lt;&lt;メッセージ[警告]&gt;&gt; 400～599</t>
    <rPh sb="8" eb="10">
      <t>ケイコク</t>
    </rPh>
    <phoneticPr fontId="44"/>
  </si>
  <si>
    <t>エラーが発生しました&lt;BR&gt;&lt;%%&gt;</t>
    <rPh sb="4" eb="6">
      <t>ハッセイ</t>
    </rPh>
    <phoneticPr fontId="56"/>
  </si>
  <si>
    <t>インストールバージョンが一致しません</t>
    <rPh sb="12" eb="14">
      <t>イッチ</t>
    </rPh>
    <phoneticPr fontId="55"/>
  </si>
  <si>
    <t>インストールファイルが存在しません</t>
    <rPh sb="11" eb="13">
      <t>ソンザイ</t>
    </rPh>
    <phoneticPr fontId="55"/>
  </si>
  <si>
    <t>&lt;%%&gt;フォルダーが存在しません</t>
    <phoneticPr fontId="44"/>
  </si>
  <si>
    <t>&lt;%%&gt;ファイルが存在しません</t>
    <phoneticPr fontId="44"/>
  </si>
  <si>
    <t>&lt;%%&gt;シートが存在しません</t>
  </si>
  <si>
    <t>&lt;%%&gt;データが存在しません</t>
  </si>
  <si>
    <t>同名ファイル&lt;%%&gt;が開かれています</t>
    <phoneticPr fontId="44"/>
  </si>
  <si>
    <t>ヘッダーの項目が異なります</t>
  </si>
  <si>
    <t>&lt;%%&gt;実行できませんでした</t>
    <rPh sb="4" eb="6">
      <t>ジッコウ</t>
    </rPh>
    <phoneticPr fontId="44"/>
  </si>
  <si>
    <t>DBインサート中にエラーが発生しました&lt;%%&gt;</t>
    <phoneticPr fontId="44"/>
  </si>
  <si>
    <t>ファイル、フォルダの削除に失敗しました</t>
    <rPh sb="10" eb="12">
      <t>サクジョ</t>
    </rPh>
    <rPh sb="13" eb="15">
      <t>シッ</t>
    </rPh>
    <phoneticPr fontId="1"/>
  </si>
  <si>
    <t>&lt;&lt;メッセージ[注意]&gt;&gt; 600～799</t>
    <rPh sb="8" eb="10">
      <t>チュウイ</t>
    </rPh>
    <phoneticPr fontId="44"/>
  </si>
  <si>
    <t>ExcelError：インデックスが有効範囲にありません。</t>
    <phoneticPr fontId="56"/>
  </si>
  <si>
    <t>ExcelError：型が一致しません。</t>
    <phoneticPr fontId="55"/>
  </si>
  <si>
    <t>ExcelError：ファイルが存在しません</t>
    <phoneticPr fontId="56"/>
  </si>
  <si>
    <t>ExcelError：オブジェクト変数または With ブロック変数が設定されていません。</t>
    <phoneticPr fontId="56"/>
  </si>
  <si>
    <t>ExcelError：アプリケーション定義またはオブジェクト定義のエラーです。</t>
    <rPh sb="19" eb="21">
      <t>テイギ</t>
    </rPh>
    <rPh sb="30" eb="32">
      <t>テイギ</t>
    </rPh>
    <phoneticPr fontId="55"/>
  </si>
  <si>
    <r>
      <t>P</t>
    </r>
    <r>
      <rPr>
        <sz val="9"/>
        <color theme="1"/>
        <rFont val="メイリオ"/>
        <family val="3"/>
        <charset val="128"/>
      </rPr>
      <t>ageLine</t>
    </r>
    <phoneticPr fontId="44"/>
  </si>
  <si>
    <r>
      <t>4</t>
    </r>
    <r>
      <rPr>
        <sz val="9"/>
        <color theme="1"/>
        <rFont val="メイリオ"/>
        <family val="3"/>
        <charset val="128"/>
      </rPr>
      <t>3</t>
    </r>
    <phoneticPr fontId="44"/>
  </si>
  <si>
    <r>
      <t>Toc</t>
    </r>
    <r>
      <rPr>
        <sz val="9"/>
        <color theme="1"/>
        <rFont val="メイリオ"/>
        <family val="3"/>
        <charset val="128"/>
      </rPr>
      <t>1StartLine</t>
    </r>
    <phoneticPr fontId="44"/>
  </si>
  <si>
    <t>4</t>
    <phoneticPr fontId="44"/>
  </si>
  <si>
    <t>Toc1StartColLine</t>
    <phoneticPr fontId="44"/>
  </si>
  <si>
    <t>Toc2StartColLine</t>
  </si>
  <si>
    <t>TocCenterColLine</t>
    <phoneticPr fontId="44"/>
  </si>
  <si>
    <t>BaseURL</t>
    <phoneticPr fontId="4"/>
  </si>
  <si>
    <t>TocTitle</t>
    <phoneticPr fontId="44"/>
  </si>
  <si>
    <t>26</t>
    <phoneticPr fontId="44"/>
  </si>
  <si>
    <t>TocMaxCnt</t>
    <phoneticPr fontId="44"/>
  </si>
  <si>
    <t>39</t>
    <phoneticPr fontId="44"/>
  </si>
  <si>
    <t>19</t>
    <phoneticPr fontId="44"/>
  </si>
  <si>
    <t>目次</t>
    <rPh sb="0" eb="2">
      <t>モクジ</t>
    </rPh>
    <phoneticPr fontId="4"/>
  </si>
  <si>
    <t>1.</t>
  </si>
  <si>
    <t>2.</t>
  </si>
  <si>
    <t>P.1</t>
    <phoneticPr fontId="4"/>
  </si>
  <si>
    <t>小泉　文平</t>
  </si>
  <si>
    <t>#</t>
    <phoneticPr fontId="4"/>
  </si>
  <si>
    <t>P.2</t>
    <phoneticPr fontId="4"/>
  </si>
  <si>
    <t>改訂履歴</t>
    <rPh sb="0" eb="2">
      <t>カイテイ</t>
    </rPh>
    <rPh sb="2" eb="4">
      <t>リレキ</t>
    </rPh>
    <phoneticPr fontId="4"/>
  </si>
  <si>
    <t>版</t>
    <rPh sb="0" eb="1">
      <t>ハン</t>
    </rPh>
    <phoneticPr fontId="4"/>
  </si>
  <si>
    <t>作成日</t>
  </si>
  <si>
    <t>改 定 内 容</t>
    <rPh sb="0" eb="1">
      <t>アラタ</t>
    </rPh>
    <rPh sb="2" eb="3">
      <t>サダム</t>
    </rPh>
    <rPh sb="4" eb="5">
      <t>ナイ</t>
    </rPh>
    <rPh sb="6" eb="7">
      <t>カタチ</t>
    </rPh>
    <phoneticPr fontId="4"/>
  </si>
  <si>
    <t>新規作成</t>
    <rPh sb="0" eb="4">
      <t>シンキサクセイ</t>
    </rPh>
    <phoneticPr fontId="4"/>
  </si>
  <si>
    <t>改訂履歴</t>
  </si>
  <si>
    <t>目次</t>
  </si>
  <si>
    <t>○○　✕✕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</si>
</sst>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76" formatCode="#"/>
    <numFmt numFmtId="177" formatCode="&quot;≪&quot;@&quot;≫&quot;"/>
    <numFmt numFmtId="178" formatCode="&quot;■&quot;\ @"/>
    <numFmt numFmtId="179" formatCode="yyyy/mm/dd"/>
    <numFmt numFmtId="180" formatCode="&quot;第&quot;0.0&quot;版&quot;"/>
    <numFmt numFmtId="181" formatCode="&quot;P.&quot;#0"/>
    <numFmt numFmtId="182" formatCode="&quot;¥&quot;#,##0,_ ;[Red]&quot;¥&quot;\-#,##0,\ "/>
    <numFmt numFmtId="183" formatCode="#,##0_ ;[Red]\-#,##0\ "/>
    <numFmt numFmtId="184" formatCode="#,##0,_ ;[Red]\-#,##0,\ "/>
    <numFmt numFmtId="185" formatCode="#,##0.0_ ;[Red]\-#,##0.0\ "/>
    <numFmt numFmtId="186" formatCode="yyyy/m"/>
    <numFmt numFmtId="187" formatCode="yyyy/mm/dd\ hh:mm:ss"/>
    <numFmt numFmtId="188" formatCode="0_);[Red]\(0\)"/>
    <numFmt numFmtId="189" formatCode="[h]:mm"/>
  </numFmts>
  <fonts count="58">
    <font>
      <sz val="9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HGｺﾞｼｯｸE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9"/>
      <name val="メイリオ"/>
      <family val="3"/>
      <charset val="128"/>
    </font>
    <font>
      <sz val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name val="メイリオ"/>
      <family val="3"/>
      <charset val="128"/>
    </font>
    <font>
      <i/>
      <sz val="9"/>
      <name val="メイリオ"/>
      <family val="3"/>
      <charset val="128"/>
    </font>
    <font>
      <i/>
      <sz val="9"/>
      <color indexed="9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sz val="16"/>
      <name val="メイリオ"/>
      <family val="3"/>
      <charset val="128"/>
    </font>
    <font>
      <b/>
      <sz val="16"/>
      <name val="メイリオ"/>
      <family val="3"/>
      <charset val="128"/>
    </font>
    <font>
      <sz val="9"/>
      <color theme="0"/>
      <name val="Meiryo UI"/>
      <family val="2"/>
      <charset val="128"/>
    </font>
    <font>
      <sz val="10"/>
      <name val="ＭＳ Ｐゴシック"/>
      <family val="3"/>
      <charset val="128"/>
      <scheme val="major"/>
    </font>
    <font>
      <sz val="6"/>
      <name val="ＭＳ ゴシック"/>
      <family val="3"/>
      <charset val="128"/>
    </font>
    <font>
      <sz val="10"/>
      <name val="Meiryo UI"/>
      <family val="3"/>
      <charset val="128"/>
    </font>
    <font>
      <sz val="10"/>
      <color theme="1"/>
      <name val="Arial Unicode MS"/>
      <family val="3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u/>
      <sz val="8"/>
      <color indexed="12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u/>
      <sz val="9"/>
      <color theme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sz val="6"/>
      <name val="メイリオ"/>
      <family val="2"/>
      <charset val="128"/>
    </font>
    <font>
      <sz val="10"/>
      <color theme="0"/>
      <name val="メイリオ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u/>
      <sz val="9"/>
      <color theme="10"/>
      <name val="メイリオ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1" tint="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58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28" borderId="28" applyNumberFormat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0" fontId="11" fillId="30" borderId="29" applyNumberFormat="0" applyFont="0" applyAlignment="0" applyProtection="0">
      <alignment vertical="center"/>
    </xf>
    <xf numFmtId="0" fontId="29" fillId="0" borderId="30" applyNumberFormat="0" applyFill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3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32" applyNumberFormat="0" applyFill="0" applyAlignment="0" applyProtection="0">
      <alignment vertical="center"/>
    </xf>
    <xf numFmtId="0" fontId="34" fillId="0" borderId="33" applyNumberFormat="0" applyFill="0" applyAlignment="0" applyProtection="0">
      <alignment vertical="center"/>
    </xf>
    <xf numFmtId="0" fontId="35" fillId="0" borderId="34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35" applyNumberFormat="0" applyFill="0" applyAlignment="0" applyProtection="0">
      <alignment vertical="center"/>
    </xf>
    <xf numFmtId="0" fontId="37" fillId="32" borderId="36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3" borderId="31" applyNumberFormat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187" fontId="49" fillId="0" borderId="0" applyNumberFormat="0" applyFill="0" applyBorder="0" applyAlignment="0" applyProtection="0">
      <alignment vertical="center"/>
    </xf>
    <xf numFmtId="0" fontId="49" fillId="36" borderId="0" applyBorder="0" applyProtection="0">
      <alignment vertical="center"/>
    </xf>
    <xf numFmtId="186" fontId="49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84" fontId="48" fillId="0" borderId="0" applyFont="0" applyFill="0" applyBorder="0" applyAlignment="0" applyProtection="0">
      <alignment vertical="center"/>
    </xf>
    <xf numFmtId="185" fontId="48" fillId="0" borderId="0" applyFont="0" applyFill="0" applyBorder="0" applyAlignment="0" applyProtection="0">
      <alignment vertical="center"/>
    </xf>
    <xf numFmtId="179" fontId="49" fillId="0" borderId="0" applyNumberFormat="0" applyFill="0" applyBorder="0" applyAlignment="0" applyProtection="0">
      <alignment vertical="center"/>
    </xf>
    <xf numFmtId="183" fontId="48" fillId="0" borderId="0" applyFont="0" applyFill="0" applyBorder="0" applyAlignment="0" applyProtection="0">
      <alignment vertical="center"/>
    </xf>
    <xf numFmtId="182" fontId="48" fillId="0" borderId="0" applyFont="0" applyFill="0" applyBorder="0" applyAlignment="0" applyProtection="0">
      <alignment vertical="center"/>
    </xf>
    <xf numFmtId="0" fontId="50" fillId="37" borderId="0" applyBorder="0" applyProtection="0">
      <alignment vertical="center"/>
    </xf>
    <xf numFmtId="0" fontId="52" fillId="39" borderId="0" applyBorder="0" applyProtection="0">
      <alignment horizontal="left" vertical="center"/>
    </xf>
    <xf numFmtId="0" fontId="50" fillId="40" borderId="0" applyBorder="0" applyProtection="0">
      <alignment horizontal="centerContinuous" vertical="center"/>
    </xf>
    <xf numFmtId="0" fontId="51" fillId="38" borderId="0" applyBorder="0" applyProtection="0">
      <alignment vertical="center"/>
    </xf>
    <xf numFmtId="0" fontId="1" fillId="0" borderId="0">
      <alignment vertical="center"/>
    </xf>
    <xf numFmtId="0" fontId="57" fillId="0" borderId="0" applyNumberFormat="0" applyFill="0" applyBorder="0" applyAlignment="0" applyProtection="0">
      <alignment vertical="center"/>
    </xf>
  </cellStyleXfs>
  <cellXfs count="324">
    <xf numFmtId="0" fontId="0" fillId="0" borderId="0" xfId="0">
      <alignment vertical="center"/>
    </xf>
    <xf numFmtId="0" fontId="50" fillId="40" borderId="46" xfId="54" applyBorder="1" applyProtection="1">
      <alignment horizontal="centerContinuous" vertical="center"/>
      <protection locked="0"/>
    </xf>
    <xf numFmtId="0" fontId="0" fillId="0" borderId="0" xfId="0" applyFill="1" applyAlignment="1"/>
    <xf numFmtId="0" fontId="13" fillId="0" borderId="13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3" fillId="0" borderId="15" xfId="0" applyFont="1" applyFill="1" applyBorder="1" applyAlignment="1">
      <alignment vertical="center"/>
    </xf>
    <xf numFmtId="0" fontId="13" fillId="0" borderId="16" xfId="0" applyFont="1" applyFill="1" applyBorder="1" applyAlignment="1">
      <alignment vertical="center"/>
    </xf>
    <xf numFmtId="0" fontId="13" fillId="0" borderId="16" xfId="0" applyFont="1" applyFill="1" applyBorder="1" applyAlignment="1">
      <alignment horizontal="center" vertical="center"/>
    </xf>
    <xf numFmtId="49" fontId="13" fillId="0" borderId="16" xfId="0" applyNumberFormat="1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177" fontId="15" fillId="0" borderId="0" xfId="0" applyNumberFormat="1" applyFont="1" applyFill="1" applyBorder="1" applyAlignment="1">
      <alignment horizontal="left" vertical="center"/>
    </xf>
    <xf numFmtId="178" fontId="13" fillId="0" borderId="0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2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177" fontId="15" fillId="0" borderId="0" xfId="0" applyNumberFormat="1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6" fillId="0" borderId="0" xfId="0" quotePrefix="1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6" fillId="3" borderId="0" xfId="0" applyFont="1" applyFill="1" applyAlignment="1">
      <alignment horizontal="center"/>
    </xf>
    <xf numFmtId="49" fontId="6" fillId="3" borderId="0" xfId="0" applyNumberFormat="1" applyFont="1" applyFill="1">
      <alignment vertical="center"/>
    </xf>
    <xf numFmtId="0" fontId="0" fillId="3" borderId="0" xfId="0" applyFill="1" applyBorder="1" applyAlignment="1"/>
    <xf numFmtId="0" fontId="0" fillId="3" borderId="0" xfId="0" applyFill="1" applyBorder="1">
      <alignment vertical="center"/>
    </xf>
    <xf numFmtId="0" fontId="6" fillId="3" borderId="0" xfId="0" applyFont="1" applyFill="1" applyBorder="1">
      <alignment vertical="center"/>
    </xf>
    <xf numFmtId="0" fontId="6" fillId="3" borderId="0" xfId="0" applyFont="1" applyFill="1" applyBorder="1" applyAlignment="1">
      <alignment horizontal="center"/>
    </xf>
    <xf numFmtId="49" fontId="6" fillId="3" borderId="0" xfId="0" applyNumberFormat="1" applyFont="1" applyFill="1" applyBorder="1">
      <alignment vertical="center"/>
    </xf>
    <xf numFmtId="0" fontId="10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13" fillId="0" borderId="7" xfId="0" applyFont="1" applyFill="1" applyBorder="1" applyAlignment="1">
      <alignment vertical="center"/>
    </xf>
    <xf numFmtId="0" fontId="13" fillId="0" borderId="26" xfId="0" applyFont="1" applyFill="1" applyBorder="1" applyAlignment="1">
      <alignment vertical="center"/>
    </xf>
    <xf numFmtId="0" fontId="13" fillId="0" borderId="27" xfId="0" applyFont="1" applyFill="1" applyBorder="1" applyAlignment="1">
      <alignment vertical="center"/>
    </xf>
    <xf numFmtId="0" fontId="13" fillId="0" borderId="8" xfId="0" applyFont="1" applyFill="1" applyBorder="1" applyAlignment="1">
      <alignment vertical="center"/>
    </xf>
    <xf numFmtId="0" fontId="13" fillId="0" borderId="0" xfId="0" applyFont="1" applyFill="1">
      <alignment vertical="center"/>
    </xf>
    <xf numFmtId="0" fontId="13" fillId="0" borderId="13" xfId="0" applyFont="1" applyFill="1" applyBorder="1" applyAlignment="1">
      <alignment horizontal="left" vertical="center"/>
    </xf>
    <xf numFmtId="49" fontId="13" fillId="0" borderId="0" xfId="0" applyNumberFormat="1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/>
    </xf>
    <xf numFmtId="49" fontId="13" fillId="0" borderId="0" xfId="0" applyNumberFormat="1" applyFont="1" applyFill="1" applyAlignment="1">
      <alignment vertical="center"/>
    </xf>
    <xf numFmtId="0" fontId="13" fillId="0" borderId="15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49" fontId="13" fillId="0" borderId="16" xfId="0" applyNumberFormat="1" applyFont="1" applyFill="1" applyBorder="1" applyAlignment="1">
      <alignment horizontal="left" vertical="center"/>
    </xf>
    <xf numFmtId="0" fontId="13" fillId="0" borderId="17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vertical="center"/>
    </xf>
    <xf numFmtId="0" fontId="13" fillId="0" borderId="11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3" fillId="0" borderId="0" xfId="0" quotePrefix="1" applyFont="1" applyFill="1" applyBorder="1" applyAlignment="1">
      <alignment horizontal="left" vertical="center"/>
    </xf>
    <xf numFmtId="49" fontId="1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/>
    <xf numFmtId="0" fontId="6" fillId="0" borderId="0" xfId="0" applyFont="1" applyFill="1" applyAlignment="1"/>
    <xf numFmtId="0" fontId="5" fillId="0" borderId="0" xfId="0" applyFont="1" applyFill="1" applyAlignment="1">
      <alignment horizontal="center"/>
    </xf>
    <xf numFmtId="49" fontId="6" fillId="0" borderId="0" xfId="0" applyNumberFormat="1" applyFont="1" applyFill="1" applyAlignment="1"/>
    <xf numFmtId="0" fontId="5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176" fontId="6" fillId="0" borderId="0" xfId="0" applyNumberFormat="1" applyFont="1" applyFill="1" applyAlignment="1"/>
    <xf numFmtId="0" fontId="8" fillId="0" borderId="0" xfId="0" applyFont="1" applyFill="1" applyAlignment="1" applyProtection="1">
      <alignment horizontal="left"/>
    </xf>
    <xf numFmtId="49" fontId="3" fillId="0" borderId="0" xfId="0" applyNumberFormat="1" applyFont="1" applyFill="1" applyAlignment="1">
      <alignment horizontal="left"/>
    </xf>
    <xf numFmtId="49" fontId="6" fillId="0" borderId="0" xfId="0" applyNumberFormat="1" applyFont="1" applyFill="1">
      <alignment vertical="center"/>
    </xf>
    <xf numFmtId="0" fontId="9" fillId="0" borderId="0" xfId="0" applyFont="1" applyFill="1" applyAlignment="1"/>
    <xf numFmtId="0" fontId="22" fillId="0" borderId="0" xfId="0" applyFont="1" applyFill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/>
    <xf numFmtId="0" fontId="6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49" fontId="6" fillId="0" borderId="0" xfId="0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176" fontId="6" fillId="0" borderId="0" xfId="0" applyNumberFormat="1" applyFont="1" applyFill="1" applyBorder="1" applyAlignment="1"/>
    <xf numFmtId="0" fontId="8" fillId="0" borderId="0" xfId="0" applyFont="1" applyFill="1" applyBorder="1" applyAlignment="1" applyProtection="1">
      <alignment horizontal="left"/>
    </xf>
    <xf numFmtId="49" fontId="7" fillId="0" borderId="0" xfId="0" applyNumberFormat="1" applyFont="1" applyFill="1" applyAlignment="1">
      <alignment horizontal="left"/>
    </xf>
    <xf numFmtId="49" fontId="6" fillId="0" borderId="0" xfId="0" applyNumberFormat="1" applyFont="1" applyFill="1" applyBorder="1">
      <alignment vertical="center"/>
    </xf>
    <xf numFmtId="0" fontId="9" fillId="0" borderId="0" xfId="0" applyFont="1" applyFill="1" applyBorder="1" applyAlignment="1"/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vertical="center"/>
    </xf>
    <xf numFmtId="49" fontId="13" fillId="0" borderId="17" xfId="0" applyNumberFormat="1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2" xfId="0" applyNumberFormat="1" applyFont="1" applyFill="1" applyBorder="1" applyAlignment="1">
      <alignment vertical="center"/>
    </xf>
    <xf numFmtId="49" fontId="16" fillId="0" borderId="3" xfId="0" applyNumberFormat="1" applyFont="1" applyFill="1" applyBorder="1" applyAlignment="1">
      <alignment vertical="center"/>
    </xf>
    <xf numFmtId="49" fontId="16" fillId="0" borderId="7" xfId="0" applyNumberFormat="1" applyFont="1" applyFill="1" applyBorder="1" applyAlignment="1">
      <alignment vertical="center"/>
    </xf>
    <xf numFmtId="49" fontId="13" fillId="0" borderId="8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9" fillId="0" borderId="0" xfId="0" applyFont="1" applyFill="1" applyAlignment="1"/>
    <xf numFmtId="0" fontId="42" fillId="0" borderId="1" xfId="0" applyFont="1" applyFill="1" applyBorder="1" applyAlignment="1">
      <alignment horizontal="centerContinuous" vertical="center" wrapText="1" shrinkToFit="1"/>
    </xf>
    <xf numFmtId="0" fontId="42" fillId="0" borderId="2" xfId="0" applyFont="1" applyFill="1" applyBorder="1" applyAlignment="1">
      <alignment horizontal="centerContinuous" vertical="center" wrapText="1" shrinkToFit="1"/>
    </xf>
    <xf numFmtId="0" fontId="42" fillId="0" borderId="3" xfId="0" applyFont="1" applyFill="1" applyBorder="1" applyAlignment="1">
      <alignment horizontal="centerContinuous" vertical="center" wrapText="1" shrinkToFit="1"/>
    </xf>
    <xf numFmtId="0" fontId="42" fillId="0" borderId="4" xfId="0" applyFont="1" applyFill="1" applyBorder="1" applyAlignment="1">
      <alignment vertical="center" wrapText="1"/>
    </xf>
    <xf numFmtId="0" fontId="42" fillId="0" borderId="5" xfId="0" applyFont="1" applyFill="1" applyBorder="1" applyAlignment="1">
      <alignment vertical="center" wrapText="1"/>
    </xf>
    <xf numFmtId="0" fontId="42" fillId="0" borderId="6" xfId="0" applyFont="1" applyFill="1" applyBorder="1" applyAlignment="1">
      <alignment vertical="center" wrapText="1"/>
    </xf>
    <xf numFmtId="0" fontId="42" fillId="0" borderId="7" xfId="0" applyFont="1" applyFill="1" applyBorder="1" applyAlignment="1">
      <alignment vertical="center" wrapText="1"/>
    </xf>
    <xf numFmtId="0" fontId="42" fillId="0" borderId="0" xfId="0" applyFont="1" applyFill="1" applyBorder="1" applyAlignment="1">
      <alignment vertical="center" wrapText="1"/>
    </xf>
    <xf numFmtId="0" fontId="42" fillId="0" borderId="8" xfId="0" applyFont="1" applyFill="1" applyBorder="1" applyAlignment="1">
      <alignment vertical="center" wrapText="1"/>
    </xf>
    <xf numFmtId="0" fontId="42" fillId="0" borderId="9" xfId="0" applyFont="1" applyFill="1" applyBorder="1" applyAlignment="1">
      <alignment vertical="center" wrapText="1"/>
    </xf>
    <xf numFmtId="0" fontId="42" fillId="0" borderId="10" xfId="0" applyFont="1" applyFill="1" applyBorder="1" applyAlignment="1">
      <alignment vertical="center" wrapText="1"/>
    </xf>
    <xf numFmtId="0" fontId="42" fillId="0" borderId="11" xfId="0" applyFont="1" applyFill="1" applyBorder="1" applyAlignment="1">
      <alignment vertical="center" wrapText="1"/>
    </xf>
    <xf numFmtId="0" fontId="13" fillId="0" borderId="1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Continuous" vertical="center"/>
    </xf>
    <xf numFmtId="0" fontId="13" fillId="0" borderId="2" xfId="0" applyFont="1" applyFill="1" applyBorder="1" applyAlignment="1">
      <alignment horizontal="centerContinuous" vertical="center"/>
    </xf>
    <xf numFmtId="0" fontId="13" fillId="0" borderId="3" xfId="0" applyFont="1" applyFill="1" applyBorder="1" applyAlignment="1">
      <alignment horizontal="centerContinuous" vertical="center"/>
    </xf>
    <xf numFmtId="0" fontId="0" fillId="0" borderId="0" xfId="0" applyFill="1" applyAlignment="1">
      <alignment vertical="center"/>
    </xf>
    <xf numFmtId="0" fontId="0" fillId="0" borderId="1" xfId="0" applyFont="1" applyFill="1" applyBorder="1" applyAlignment="1">
      <alignment vertical="center"/>
    </xf>
    <xf numFmtId="0" fontId="45" fillId="0" borderId="2" xfId="0" applyFont="1" applyFill="1" applyBorder="1" applyAlignment="1">
      <alignment vertical="center"/>
    </xf>
    <xf numFmtId="0" fontId="45" fillId="0" borderId="3" xfId="0" applyFont="1" applyFill="1" applyBorder="1" applyAlignment="1">
      <alignment vertical="center"/>
    </xf>
    <xf numFmtId="49" fontId="46" fillId="0" borderId="4" xfId="0" quotePrefix="1" applyNumberFormat="1" applyFont="1" applyFill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49" fontId="13" fillId="0" borderId="6" xfId="0" applyNumberFormat="1" applyFont="1" applyFill="1" applyBorder="1" applyAlignment="1">
      <alignment vertical="center"/>
    </xf>
    <xf numFmtId="49" fontId="46" fillId="0" borderId="7" xfId="0" quotePrefix="1" applyNumberFormat="1" applyFont="1" applyFill="1" applyBorder="1" applyAlignment="1">
      <alignment vertical="center"/>
    </xf>
    <xf numFmtId="49" fontId="46" fillId="0" borderId="9" xfId="0" quotePrefix="1" applyNumberFormat="1" applyFont="1" applyFill="1" applyBorder="1" applyAlignment="1">
      <alignment vertical="center"/>
    </xf>
    <xf numFmtId="49" fontId="13" fillId="0" borderId="10" xfId="0" applyNumberFormat="1" applyFont="1" applyFill="1" applyBorder="1" applyAlignment="1">
      <alignment vertical="center"/>
    </xf>
    <xf numFmtId="49" fontId="13" fillId="0" borderId="11" xfId="0" applyNumberFormat="1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13" fillId="0" borderId="38" xfId="0" applyFont="1" applyFill="1" applyBorder="1" applyAlignment="1">
      <alignment vertical="center"/>
    </xf>
    <xf numFmtId="0" fontId="13" fillId="0" borderId="39" xfId="0" applyFont="1" applyFill="1" applyBorder="1" applyAlignment="1">
      <alignment vertical="center"/>
    </xf>
    <xf numFmtId="0" fontId="13" fillId="0" borderId="40" xfId="0" applyFont="1" applyFill="1" applyBorder="1" applyAlignment="1">
      <alignment vertical="center"/>
    </xf>
    <xf numFmtId="0" fontId="13" fillId="0" borderId="41" xfId="0" applyFont="1" applyFill="1" applyBorder="1" applyAlignment="1">
      <alignment vertical="center"/>
    </xf>
    <xf numFmtId="0" fontId="13" fillId="0" borderId="42" xfId="0" applyFont="1" applyFill="1" applyBorder="1" applyAlignment="1">
      <alignment vertical="center"/>
    </xf>
    <xf numFmtId="0" fontId="13" fillId="0" borderId="43" xfId="0" applyFont="1" applyFill="1" applyBorder="1" applyAlignment="1">
      <alignment vertical="center"/>
    </xf>
    <xf numFmtId="0" fontId="13" fillId="0" borderId="44" xfId="0" applyFont="1" applyFill="1" applyBorder="1" applyAlignment="1">
      <alignment vertical="center"/>
    </xf>
    <xf numFmtId="0" fontId="13" fillId="0" borderId="45" xfId="0" applyFont="1" applyFill="1" applyBorder="1" applyAlignment="1">
      <alignment vertical="center"/>
    </xf>
    <xf numFmtId="0" fontId="13" fillId="0" borderId="0" xfId="0" applyFont="1" applyFill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188" fontId="48" fillId="0" borderId="0" xfId="56" applyNumberFormat="1" applyFont="1" applyAlignment="1" applyProtection="1">
      <alignment horizontal="center" vertical="center"/>
      <protection locked="0"/>
    </xf>
    <xf numFmtId="188" fontId="48" fillId="0" borderId="0" xfId="56" applyNumberFormat="1" applyFont="1" applyAlignment="1">
      <alignment horizontal="center" vertical="center"/>
    </xf>
    <xf numFmtId="188" fontId="1" fillId="0" borderId="0" xfId="56" applyNumberFormat="1" applyAlignment="1">
      <alignment horizontal="center" vertical="center"/>
    </xf>
    <xf numFmtId="0" fontId="48" fillId="0" borderId="0" xfId="56" applyNumberFormat="1" applyFont="1" applyAlignment="1">
      <alignment vertical="center" shrinkToFit="1"/>
    </xf>
    <xf numFmtId="0" fontId="48" fillId="0" borderId="0" xfId="56" applyFont="1" applyFill="1" applyBorder="1" applyAlignment="1" applyProtection="1">
      <alignment vertical="center" shrinkToFit="1"/>
      <protection locked="0"/>
    </xf>
    <xf numFmtId="0" fontId="48" fillId="0" borderId="0" xfId="56" applyFont="1" applyFill="1" applyBorder="1" applyAlignment="1" applyProtection="1">
      <alignment horizontal="center" vertical="center" shrinkToFit="1"/>
      <protection locked="0"/>
    </xf>
    <xf numFmtId="0" fontId="48" fillId="0" borderId="0" xfId="56" applyNumberFormat="1" applyFont="1" applyFill="1" applyAlignment="1" applyProtection="1">
      <alignment vertical="center" shrinkToFit="1"/>
      <protection locked="0"/>
    </xf>
    <xf numFmtId="0" fontId="1" fillId="0" borderId="0" xfId="56">
      <alignment vertical="center"/>
    </xf>
    <xf numFmtId="0" fontId="48" fillId="0" borderId="0" xfId="56" applyNumberFormat="1" applyFont="1" applyAlignment="1" applyProtection="1">
      <alignment vertical="center" shrinkToFit="1"/>
      <protection locked="0"/>
    </xf>
    <xf numFmtId="0" fontId="48" fillId="0" borderId="47" xfId="56" applyFont="1" applyBorder="1" applyAlignment="1" applyProtection="1">
      <alignment vertical="center" shrinkToFit="1"/>
      <protection locked="0"/>
    </xf>
    <xf numFmtId="49" fontId="48" fillId="0" borderId="47" xfId="56" applyNumberFormat="1" applyFont="1" applyBorder="1" applyAlignment="1" applyProtection="1">
      <alignment vertical="center" shrinkToFit="1"/>
      <protection locked="0"/>
    </xf>
    <xf numFmtId="0" fontId="1" fillId="0" borderId="47" xfId="56" applyBorder="1">
      <alignment vertical="center"/>
    </xf>
    <xf numFmtId="49" fontId="48" fillId="0" borderId="47" xfId="56" applyNumberFormat="1" applyFont="1" applyBorder="1" applyAlignment="1" applyProtection="1">
      <alignment horizontal="left" vertical="center" shrinkToFit="1"/>
      <protection locked="0"/>
    </xf>
    <xf numFmtId="0" fontId="48" fillId="0" borderId="47" xfId="56" applyNumberFormat="1" applyFont="1" applyFill="1" applyBorder="1" applyAlignment="1" applyProtection="1">
      <alignment horizontal="left" vertical="center" shrinkToFit="1"/>
      <protection locked="0"/>
    </xf>
    <xf numFmtId="0" fontId="1" fillId="0" borderId="47" xfId="56" applyBorder="1" applyAlignment="1">
      <alignment vertical="center" shrinkToFit="1"/>
    </xf>
    <xf numFmtId="0" fontId="1" fillId="0" borderId="50" xfId="56" applyBorder="1">
      <alignment vertical="center"/>
    </xf>
    <xf numFmtId="189" fontId="48" fillId="0" borderId="0" xfId="56" applyNumberFormat="1" applyFont="1" applyAlignment="1">
      <alignment vertical="center" shrinkToFit="1"/>
    </xf>
    <xf numFmtId="0" fontId="54" fillId="41" borderId="12" xfId="56" applyFont="1" applyFill="1" applyBorder="1" applyAlignment="1" applyProtection="1">
      <alignment horizontal="center" vertical="center" wrapText="1"/>
      <protection locked="0"/>
    </xf>
    <xf numFmtId="0" fontId="1" fillId="0" borderId="0" xfId="56" applyProtection="1">
      <alignment vertical="center"/>
      <protection locked="0"/>
    </xf>
    <xf numFmtId="0" fontId="48" fillId="42" borderId="48" xfId="56" applyFont="1" applyFill="1" applyBorder="1" applyAlignment="1" applyProtection="1">
      <alignment horizontal="centerContinuous" vertical="center"/>
      <protection locked="0"/>
    </xf>
    <xf numFmtId="0" fontId="13" fillId="42" borderId="48" xfId="56" applyFont="1" applyFill="1" applyBorder="1" applyAlignment="1" applyProtection="1">
      <alignment horizontal="center" vertical="center"/>
      <protection locked="0"/>
    </xf>
    <xf numFmtId="0" fontId="48" fillId="0" borderId="48" xfId="56" applyFont="1" applyBorder="1" applyAlignment="1" applyProtection="1">
      <alignment horizontal="center" vertical="center"/>
      <protection locked="0"/>
    </xf>
    <xf numFmtId="0" fontId="48" fillId="0" borderId="48" xfId="56" applyFont="1" applyBorder="1" applyProtection="1">
      <alignment vertical="center"/>
      <protection locked="0"/>
    </xf>
    <xf numFmtId="0" fontId="1" fillId="0" borderId="48" xfId="56" applyBorder="1" applyProtection="1">
      <alignment vertical="center"/>
      <protection locked="0"/>
    </xf>
    <xf numFmtId="0" fontId="48" fillId="0" borderId="49" xfId="56" applyFont="1" applyBorder="1" applyAlignment="1" applyProtection="1">
      <alignment horizontal="center" vertical="center"/>
      <protection locked="0"/>
    </xf>
    <xf numFmtId="0" fontId="48" fillId="0" borderId="49" xfId="56" applyFont="1" applyBorder="1" applyProtection="1">
      <alignment vertical="center"/>
      <protection locked="0"/>
    </xf>
    <xf numFmtId="0" fontId="48" fillId="0" borderId="0" xfId="56" applyFont="1" applyAlignment="1" applyProtection="1">
      <alignment horizontal="center" vertical="center"/>
      <protection locked="0"/>
    </xf>
    <xf numFmtId="0" fontId="48" fillId="0" borderId="0" xfId="56" applyFont="1" applyProtection="1">
      <alignment vertical="center"/>
      <protection locked="0"/>
    </xf>
    <xf numFmtId="0" fontId="50" fillId="40" borderId="46" xfId="54" applyBorder="1">
      <alignment horizontal="centerContinuous" vertical="center"/>
    </xf>
    <xf numFmtId="0" fontId="0" fillId="0" borderId="47" xfId="0" applyBorder="1">
      <alignment vertical="center"/>
    </xf>
    <xf numFmtId="0" fontId="43" fillId="0" borderId="47" xfId="0" applyFont="1" applyFill="1" applyBorder="1" applyAlignment="1" applyProtection="1">
      <alignment horizontal="center" vertical="center" shrinkToFit="1"/>
      <protection locked="0"/>
    </xf>
    <xf numFmtId="179" fontId="43" fillId="0" borderId="47" xfId="0" applyNumberFormat="1" applyFont="1" applyFill="1" applyBorder="1" applyAlignment="1" applyProtection="1">
      <alignment horizontal="center" vertical="center" shrinkToFit="1"/>
      <protection locked="0"/>
    </xf>
    <xf numFmtId="14" fontId="43" fillId="0" borderId="47" xfId="0" applyNumberFormat="1" applyFont="1" applyFill="1" applyBorder="1" applyAlignment="1" applyProtection="1">
      <alignment horizontal="center" vertical="center" shrinkToFit="1"/>
      <protection locked="0"/>
    </xf>
    <xf numFmtId="0" fontId="43" fillId="0" borderId="47" xfId="0" applyFont="1" applyFill="1" applyBorder="1" applyAlignment="1">
      <alignment horizontal="center" vertical="center" shrinkToFit="1"/>
    </xf>
    <xf numFmtId="0" fontId="0" fillId="0" borderId="50" xfId="0" applyBorder="1">
      <alignment vertical="center"/>
    </xf>
    <xf numFmtId="0" fontId="43" fillId="0" borderId="50" xfId="0" applyFont="1" applyFill="1" applyBorder="1" applyAlignment="1">
      <alignment horizontal="center" vertical="center" shrinkToFit="1"/>
    </xf>
    <xf numFmtId="0" fontId="0" fillId="0" borderId="47" xfId="56" applyFont="1" applyBorder="1" applyAlignment="1" applyProtection="1">
      <alignment vertical="center" shrinkToFit="1"/>
      <protection locked="0"/>
    </xf>
    <xf numFmtId="49" fontId="0" fillId="0" borderId="47" xfId="56" applyNumberFormat="1" applyFont="1" applyBorder="1" applyAlignment="1" applyProtection="1">
      <alignment horizontal="left" vertical="center" shrinkToFit="1"/>
      <protection locked="0"/>
    </xf>
    <xf numFmtId="49" fontId="0" fillId="0" borderId="47" xfId="56" applyNumberFormat="1" applyFont="1" applyFill="1" applyBorder="1" applyAlignment="1" applyProtection="1">
      <alignment vertical="center" shrinkToFit="1"/>
      <protection locked="0"/>
    </xf>
    <xf numFmtId="49" fontId="0" fillId="0" borderId="47" xfId="56" applyNumberFormat="1" applyFont="1" applyBorder="1" applyAlignment="1" applyProtection="1">
      <alignment vertical="center" shrinkToFit="1"/>
      <protection locked="0"/>
    </xf>
    <xf numFmtId="0" fontId="13" fillId="0" borderId="0" xfId="0" applyFont="1" applyFill="1" applyAlignment="1">
      <alignment vertical="center"/>
    </xf>
    <xf numFmtId="0" fontId="50" fillId="40" borderId="1" xfId="54" applyBorder="1">
      <alignment horizontal="centerContinuous" vertical="center"/>
    </xf>
    <xf numFmtId="0" fontId="50" fillId="40" borderId="2" xfId="54" applyBorder="1">
      <alignment horizontal="centerContinuous" vertical="center"/>
    </xf>
    <xf numFmtId="0" fontId="50" fillId="40" borderId="3" xfId="54" applyBorder="1">
      <alignment horizontal="centerContinuous" vertical="center"/>
    </xf>
    <xf numFmtId="0" fontId="50" fillId="40" borderId="4" xfId="54" applyBorder="1">
      <alignment horizontal="centerContinuous" vertical="center"/>
    </xf>
    <xf numFmtId="0" fontId="50" fillId="40" borderId="5" xfId="54" applyBorder="1">
      <alignment horizontal="centerContinuous" vertical="center"/>
    </xf>
    <xf numFmtId="0" fontId="50" fillId="40" borderId="6" xfId="54" applyBorder="1">
      <alignment horizontal="centerContinuous" vertical="center"/>
    </xf>
    <xf numFmtId="0" fontId="50" fillId="40" borderId="12" xfId="54" applyBorder="1">
      <alignment horizontal="centerContinuous" vertical="center"/>
    </xf>
    <xf numFmtId="0" fontId="50" fillId="40" borderId="51" xfId="54" applyBorder="1">
      <alignment horizontal="centerContinuous" vertical="center"/>
    </xf>
    <xf numFmtId="0" fontId="50" fillId="40" borderId="9" xfId="54" applyBorder="1">
      <alignment horizontal="centerContinuous" vertical="center"/>
    </xf>
    <xf numFmtId="0" fontId="50" fillId="40" borderId="10" xfId="54" applyBorder="1">
      <alignment horizontal="centerContinuous" vertical="center"/>
    </xf>
    <xf numFmtId="0" fontId="50" fillId="40" borderId="11" xfId="54" applyBorder="1">
      <alignment horizontal="centerContinuous" vertical="center"/>
    </xf>
    <xf numFmtId="0" fontId="50" fillId="40" borderId="37" xfId="54" applyBorder="1">
      <alignment horizontal="centerContinuous" vertical="center"/>
    </xf>
    <xf numFmtId="0" fontId="50" fillId="40" borderId="38" xfId="54" applyBorder="1">
      <alignment horizontal="centerContinuous" vertical="center"/>
    </xf>
    <xf numFmtId="0" fontId="50" fillId="40" borderId="52" xfId="54" applyBorder="1">
      <alignment horizontal="centerContinuous" vertical="center"/>
    </xf>
    <xf numFmtId="0" fontId="50" fillId="40" borderId="40" xfId="54" applyBorder="1">
      <alignment horizontal="centerContinuous" vertical="center"/>
    </xf>
    <xf numFmtId="0" fontId="50" fillId="40" borderId="41" xfId="54" applyBorder="1">
      <alignment horizontal="centerContinuous" vertical="center"/>
    </xf>
    <xf numFmtId="0" fontId="50" fillId="40" borderId="43" xfId="54" applyBorder="1">
      <alignment horizontal="centerContinuous" vertical="center"/>
    </xf>
    <xf numFmtId="0" fontId="50" fillId="40" borderId="44" xfId="54" applyBorder="1">
      <alignment horizontal="centerContinuous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50" fillId="40" borderId="18" xfId="54" applyBorder="1" applyAlignment="1">
      <alignment horizontal="center" vertical="center"/>
    </xf>
    <xf numFmtId="0" fontId="50" fillId="40" borderId="19" xfId="54" applyBorder="1" applyAlignment="1">
      <alignment horizontal="center" vertical="center"/>
    </xf>
    <xf numFmtId="0" fontId="50" fillId="40" borderId="20" xfId="54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 shrinkToFit="1"/>
    </xf>
    <xf numFmtId="0" fontId="13" fillId="0" borderId="19" xfId="0" applyFont="1" applyFill="1" applyBorder="1" applyAlignment="1">
      <alignment horizontal="center" vertical="center" shrinkToFit="1"/>
    </xf>
    <xf numFmtId="0" fontId="13" fillId="0" borderId="20" xfId="0" applyFont="1" applyFill="1" applyBorder="1" applyAlignment="1">
      <alignment horizontal="center" vertical="center" shrinkToFit="1"/>
    </xf>
    <xf numFmtId="0" fontId="50" fillId="40" borderId="21" xfId="54" applyBorder="1" applyAlignment="1">
      <alignment horizontal="center" vertical="center"/>
    </xf>
    <xf numFmtId="0" fontId="13" fillId="0" borderId="21" xfId="0" applyNumberFormat="1" applyFont="1" applyFill="1" applyBorder="1" applyAlignment="1">
      <alignment horizontal="center" vertical="center" shrinkToFit="1"/>
    </xf>
    <xf numFmtId="0" fontId="13" fillId="0" borderId="19" xfId="0" applyNumberFormat="1" applyFont="1" applyFill="1" applyBorder="1" applyAlignment="1">
      <alignment horizontal="center" vertical="center" shrinkToFit="1"/>
    </xf>
    <xf numFmtId="0" fontId="13" fillId="0" borderId="20" xfId="0" applyNumberFormat="1" applyFont="1" applyFill="1" applyBorder="1" applyAlignment="1">
      <alignment horizontal="center" vertical="center" shrinkToFit="1"/>
    </xf>
    <xf numFmtId="0" fontId="50" fillId="40" borderId="24" xfId="54" applyBorder="1" applyAlignment="1">
      <alignment horizontal="center" vertical="center"/>
    </xf>
    <xf numFmtId="179" fontId="13" fillId="0" borderId="24" xfId="0" applyNumberFormat="1" applyFont="1" applyFill="1" applyBorder="1" applyAlignment="1">
      <alignment horizontal="center" vertical="center"/>
    </xf>
    <xf numFmtId="179" fontId="13" fillId="0" borderId="24" xfId="0" applyNumberFormat="1" applyFont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50" fillId="40" borderId="22" xfId="54" applyBorder="1" applyAlignment="1">
      <alignment horizontal="center" vertical="center"/>
    </xf>
    <xf numFmtId="0" fontId="50" fillId="40" borderId="2" xfId="54" applyBorder="1" applyAlignment="1">
      <alignment horizontal="center" vertical="center"/>
    </xf>
    <xf numFmtId="0" fontId="50" fillId="40" borderId="3" xfId="54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50" fillId="40" borderId="1" xfId="54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50" fillId="40" borderId="12" xfId="54" applyBorder="1" applyAlignment="1">
      <alignment horizontal="center" vertical="center"/>
    </xf>
    <xf numFmtId="179" fontId="13" fillId="0" borderId="12" xfId="0" applyNumberFormat="1" applyFont="1" applyFill="1" applyBorder="1" applyAlignment="1">
      <alignment horizontal="center" vertical="center"/>
    </xf>
    <xf numFmtId="179" fontId="13" fillId="0" borderId="12" xfId="0" applyNumberFormat="1" applyFont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 shrinkToFit="1"/>
    </xf>
    <xf numFmtId="0" fontId="13" fillId="0" borderId="2" xfId="0" applyFont="1" applyFill="1" applyBorder="1" applyAlignment="1">
      <alignment horizontal="center" vertical="center" shrinkToFit="1"/>
    </xf>
    <xf numFmtId="0" fontId="13" fillId="0" borderId="3" xfId="0" applyFont="1" applyFill="1" applyBorder="1" applyAlignment="1">
      <alignment horizontal="center" vertical="center" shrinkToFit="1"/>
    </xf>
    <xf numFmtId="0" fontId="45" fillId="43" borderId="18" xfId="0" applyFont="1" applyFill="1" applyBorder="1" applyAlignment="1">
      <alignment horizontal="center" vertical="center"/>
    </xf>
    <xf numFmtId="0" fontId="45" fillId="43" borderId="19" xfId="0" applyFont="1" applyFill="1" applyBorder="1" applyAlignment="1">
      <alignment horizontal="center" vertical="center"/>
    </xf>
    <xf numFmtId="0" fontId="45" fillId="43" borderId="20" xfId="0" applyFont="1" applyFill="1" applyBorder="1" applyAlignment="1">
      <alignment horizontal="center" vertical="center"/>
    </xf>
    <xf numFmtId="0" fontId="45" fillId="43" borderId="21" xfId="0" applyFont="1" applyFill="1" applyBorder="1" applyAlignment="1">
      <alignment horizontal="center" vertical="center"/>
    </xf>
    <xf numFmtId="0" fontId="45" fillId="43" borderId="22" xfId="0" applyFont="1" applyFill="1" applyBorder="1" applyAlignment="1">
      <alignment horizontal="center" vertical="center"/>
    </xf>
    <xf numFmtId="0" fontId="45" fillId="43" borderId="2" xfId="0" applyFont="1" applyFill="1" applyBorder="1" applyAlignment="1">
      <alignment horizontal="center" vertical="center"/>
    </xf>
    <xf numFmtId="0" fontId="45" fillId="43" borderId="3" xfId="0" applyFont="1" applyFill="1" applyBorder="1" applyAlignment="1">
      <alignment horizontal="center" vertical="center"/>
    </xf>
    <xf numFmtId="0" fontId="45" fillId="43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45" fillId="43" borderId="12" xfId="0" applyFont="1" applyFill="1" applyBorder="1" applyAlignment="1">
      <alignment horizontal="center" vertical="center"/>
    </xf>
    <xf numFmtId="0" fontId="45" fillId="43" borderId="24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24" fillId="0" borderId="1" xfId="0" applyNumberFormat="1" applyFont="1" applyFill="1" applyBorder="1" applyAlignment="1" applyProtection="1">
      <alignment vertical="center" shrinkToFit="1"/>
      <protection locked="0"/>
    </xf>
    <xf numFmtId="0" fontId="24" fillId="0" borderId="2" xfId="0" applyNumberFormat="1" applyFont="1" applyFill="1" applyBorder="1" applyAlignment="1" applyProtection="1">
      <alignment vertical="center" shrinkToFit="1"/>
      <protection locked="0"/>
    </xf>
    <xf numFmtId="0" fontId="24" fillId="0" borderId="3" xfId="0" applyNumberFormat="1" applyFont="1" applyFill="1" applyBorder="1" applyAlignment="1" applyProtection="1">
      <alignment vertical="center" shrinkToFit="1"/>
      <protection locked="0"/>
    </xf>
    <xf numFmtId="0" fontId="25" fillId="0" borderId="1" xfId="0" applyFont="1" applyFill="1" applyBorder="1">
      <alignment vertical="center"/>
    </xf>
    <xf numFmtId="0" fontId="25" fillId="0" borderId="2" xfId="0" applyFont="1" applyBorder="1">
      <alignment vertical="center"/>
    </xf>
    <xf numFmtId="0" fontId="25" fillId="0" borderId="3" xfId="0" applyFont="1" applyBorder="1">
      <alignment vertical="center"/>
    </xf>
    <xf numFmtId="0" fontId="19" fillId="0" borderId="0" xfId="0" applyFont="1" applyFill="1" applyAlignment="1">
      <alignment horizontal="left" vertical="center"/>
    </xf>
    <xf numFmtId="31" fontId="13" fillId="0" borderId="0" xfId="0" applyNumberFormat="1" applyFont="1" applyFill="1" applyAlignment="1">
      <alignment horizontal="left"/>
    </xf>
    <xf numFmtId="31" fontId="13" fillId="0" borderId="0" xfId="0" applyNumberFormat="1" applyFont="1" applyAlignment="1">
      <alignment horizontal="left"/>
    </xf>
    <xf numFmtId="180" fontId="13" fillId="0" borderId="0" xfId="0" applyNumberFormat="1" applyFont="1" applyFill="1" applyAlignment="1">
      <alignment horizontal="center"/>
    </xf>
    <xf numFmtId="180" fontId="13" fillId="0" borderId="0" xfId="0" applyNumberFormat="1" applyFont="1" applyAlignment="1">
      <alignment horizontal="center"/>
    </xf>
    <xf numFmtId="0" fontId="18" fillId="35" borderId="0" xfId="0" applyNumberFormat="1" applyFont="1" applyFill="1" applyAlignment="1">
      <alignment horizontal="left" vertical="center" indent="3" shrinkToFit="1"/>
    </xf>
    <xf numFmtId="31" fontId="0" fillId="0" borderId="0" xfId="0" applyNumberFormat="1" applyFill="1" applyBorder="1" applyAlignment="1">
      <alignment horizontal="left"/>
    </xf>
    <xf numFmtId="31" fontId="0" fillId="0" borderId="0" xfId="0" applyNumberFormat="1" applyBorder="1" applyAlignment="1">
      <alignment horizontal="left"/>
    </xf>
    <xf numFmtId="180" fontId="13" fillId="0" borderId="0" xfId="0" applyNumberFormat="1" applyFont="1" applyFill="1" applyBorder="1" applyAlignment="1">
      <alignment horizontal="center"/>
    </xf>
    <xf numFmtId="180" fontId="13" fillId="0" borderId="0" xfId="0" applyNumberFormat="1" applyFont="1" applyBorder="1" applyAlignment="1">
      <alignment horizontal="center"/>
    </xf>
    <xf numFmtId="0" fontId="18" fillId="35" borderId="0" xfId="0" applyFont="1" applyFill="1" applyBorder="1" applyAlignment="1">
      <alignment horizontal="left" vertical="center" indent="3"/>
    </xf>
    <xf numFmtId="0" fontId="20" fillId="0" borderId="0" xfId="0" applyNumberFormat="1" applyFont="1" applyFill="1" applyBorder="1" applyAlignment="1">
      <alignment horizontal="left" vertical="center"/>
    </xf>
    <xf numFmtId="180" fontId="13" fillId="0" borderId="4" xfId="0" applyNumberFormat="1" applyFont="1" applyFill="1" applyBorder="1" applyAlignment="1">
      <alignment horizontal="center" vertical="center" wrapText="1"/>
    </xf>
    <xf numFmtId="180" fontId="13" fillId="0" borderId="5" xfId="0" applyNumberFormat="1" applyFont="1" applyFill="1" applyBorder="1" applyAlignment="1">
      <alignment horizontal="center" vertical="center" wrapText="1"/>
    </xf>
    <xf numFmtId="180" fontId="13" fillId="0" borderId="6" xfId="0" applyNumberFormat="1" applyFont="1" applyFill="1" applyBorder="1" applyAlignment="1">
      <alignment horizontal="center" vertical="center" wrapText="1"/>
    </xf>
    <xf numFmtId="180" fontId="13" fillId="0" borderId="9" xfId="0" applyNumberFormat="1" applyFont="1" applyFill="1" applyBorder="1" applyAlignment="1">
      <alignment horizontal="center" vertical="center" wrapText="1"/>
    </xf>
    <xf numFmtId="180" fontId="13" fillId="0" borderId="10" xfId="0" applyNumberFormat="1" applyFont="1" applyFill="1" applyBorder="1" applyAlignment="1">
      <alignment horizontal="center" vertical="center" wrapText="1"/>
    </xf>
    <xf numFmtId="180" fontId="13" fillId="0" borderId="11" xfId="0" applyNumberFormat="1" applyFont="1" applyFill="1" applyBorder="1" applyAlignment="1">
      <alignment horizontal="center" vertical="center" wrapText="1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179" fontId="13" fillId="0" borderId="6" xfId="0" applyNumberFormat="1" applyFont="1" applyFill="1" applyBorder="1" applyAlignment="1">
      <alignment horizontal="center" vertical="center"/>
    </xf>
    <xf numFmtId="179" fontId="13" fillId="0" borderId="9" xfId="0" applyNumberFormat="1" applyFont="1" applyFill="1" applyBorder="1" applyAlignment="1">
      <alignment horizontal="center" vertical="center"/>
    </xf>
    <xf numFmtId="179" fontId="13" fillId="0" borderId="10" xfId="0" applyNumberFormat="1" applyFont="1" applyFill="1" applyBorder="1" applyAlignment="1">
      <alignment horizontal="center" vertical="center"/>
    </xf>
    <xf numFmtId="179" fontId="13" fillId="0" borderId="11" xfId="0" applyNumberFormat="1" applyFont="1" applyFill="1" applyBorder="1" applyAlignment="1">
      <alignment horizontal="center" vertical="center"/>
    </xf>
    <xf numFmtId="31" fontId="13" fillId="0" borderId="4" xfId="0" applyNumberFormat="1" applyFont="1" applyFill="1" applyBorder="1" applyAlignment="1">
      <alignment horizontal="center" vertical="center"/>
    </xf>
    <xf numFmtId="31" fontId="13" fillId="0" borderId="5" xfId="0" applyNumberFormat="1" applyFont="1" applyFill="1" applyBorder="1" applyAlignment="1">
      <alignment horizontal="center" vertical="center"/>
    </xf>
    <xf numFmtId="31" fontId="13" fillId="0" borderId="6" xfId="0" applyNumberFormat="1" applyFont="1" applyFill="1" applyBorder="1" applyAlignment="1">
      <alignment horizontal="center" vertical="center"/>
    </xf>
    <xf numFmtId="31" fontId="13" fillId="0" borderId="9" xfId="0" applyNumberFormat="1" applyFont="1" applyFill="1" applyBorder="1" applyAlignment="1">
      <alignment horizontal="center" vertical="center"/>
    </xf>
    <xf numFmtId="31" fontId="13" fillId="0" borderId="10" xfId="0" applyNumberFormat="1" applyFont="1" applyFill="1" applyBorder="1" applyAlignment="1">
      <alignment horizontal="center" vertical="center"/>
    </xf>
    <xf numFmtId="31" fontId="13" fillId="0" borderId="11" xfId="0" applyNumberFormat="1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13" fillId="0" borderId="9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49" fontId="0" fillId="0" borderId="0" xfId="0" applyNumberFormat="1" applyFont="1" applyAlignment="1">
      <alignment horizontal="right" vertical="center"/>
    </xf>
    <xf numFmtId="49" fontId="14" fillId="0" borderId="0" xfId="57" applyNumberFormat="1" applyFont="1" applyAlignment="1">
      <alignment vertical="center"/>
    </xf>
    <xf numFmtId="181" fontId="13" fillId="0" borderId="0" xfId="0" applyNumberFormat="1" applyFont="1" applyFill="1" applyAlignment="1">
      <alignment horizontal="center" vertical="center"/>
    </xf>
    <xf numFmtId="0" fontId="13" fillId="0" borderId="4" xfId="0" applyFont="1" applyFill="1" applyBorder="1" applyAlignment="1">
      <alignment horizontal="left" vertical="center" wrapText="1"/>
    </xf>
  </cellXfs>
  <cellStyles count="58">
    <cellStyle name="00.0" xfId="48"/>
    <cellStyle name="20% - アクセント 1" xfId="1" builtinId="30" hidden="1" customBuiltin="1"/>
    <cellStyle name="20% - アクセント 2" xfId="2" builtinId="34" hidden="1" customBuiltin="1"/>
    <cellStyle name="20% - アクセント 3" xfId="3" builtinId="38" hidden="1" customBuiltin="1"/>
    <cellStyle name="20% - アクセント 4" xfId="4" builtinId="42" hidden="1" customBuiltin="1"/>
    <cellStyle name="20% - アクセント 5" xfId="5" builtinId="46" hidden="1" customBuiltin="1"/>
    <cellStyle name="20% - アクセント 6" xfId="6" builtinId="50" hidden="1" customBuiltin="1"/>
    <cellStyle name="40% - アクセント 1" xfId="7" builtinId="31" hidden="1" customBuiltin="1"/>
    <cellStyle name="40% - アクセント 2" xfId="8" builtinId="35" hidden="1" customBuiltin="1"/>
    <cellStyle name="40% - アクセント 3" xfId="9" builtinId="39" hidden="1" customBuiltin="1"/>
    <cellStyle name="40% - アクセント 4" xfId="10" builtinId="43" hidden="1" customBuiltin="1"/>
    <cellStyle name="40% - アクセント 5" xfId="11" builtinId="47" hidden="1" customBuiltin="1"/>
    <cellStyle name="40% - アクセント 6" xfId="12" builtinId="51" hidden="1" customBuiltin="1"/>
    <cellStyle name="60% - アクセント 1" xfId="13" builtinId="32" hidden="1" customBuiltin="1"/>
    <cellStyle name="60% - アクセント 2" xfId="14" builtinId="36" hidden="1" customBuiltin="1"/>
    <cellStyle name="60% - アクセント 3" xfId="15" builtinId="40" hidden="1" customBuiltin="1"/>
    <cellStyle name="60% - アクセント 4" xfId="16" builtinId="44" hidden="1" customBuiltin="1"/>
    <cellStyle name="60% - アクセント 5" xfId="17" builtinId="48" hidden="1" customBuiltin="1"/>
    <cellStyle name="60% - アクセント 6" xfId="18" builtinId="52" hidden="1" customBuiltin="1"/>
    <cellStyle name="Error" xfId="52"/>
    <cellStyle name="ExcelHelp_1" xfId="53"/>
    <cellStyle name="H_標準" xfId="54"/>
    <cellStyle name="アクセント 1" xfId="19" builtinId="29" hidden="1" customBuiltin="1"/>
    <cellStyle name="アクセント 2" xfId="20" builtinId="33" hidden="1" customBuiltin="1"/>
    <cellStyle name="アクセント 3" xfId="21" builtinId="37" hidden="1" customBuiltin="1"/>
    <cellStyle name="アクセント 4" xfId="22" builtinId="41" hidden="1" customBuiltin="1"/>
    <cellStyle name="アクセント 5" xfId="23" builtinId="45" hidden="1" customBuiltin="1"/>
    <cellStyle name="アクセント 6" xfId="24" builtinId="49" hidden="1" customBuiltin="1"/>
    <cellStyle name="タイトル" xfId="25" builtinId="15" hidden="1" customBuiltin="1"/>
    <cellStyle name="チェック セル" xfId="26" builtinId="23" hidden="1" customBuiltin="1"/>
    <cellStyle name="どちらでもない" xfId="27" builtinId="28" hidden="1" customBuiltin="1"/>
    <cellStyle name="ハイパーリンク" xfId="28" builtinId="8" hidden="1" customBuiltin="1"/>
    <cellStyle name="ハイパーリンク" xfId="57" builtinId="8"/>
    <cellStyle name="メモ" xfId="29" builtinId="10" hidden="1" customBuiltin="1"/>
    <cellStyle name="リンク セル" xfId="30" builtinId="24" hidden="1" customBuiltin="1"/>
    <cellStyle name="悪い" xfId="31" builtinId="27" hidden="1" customBuiltin="1"/>
    <cellStyle name="計算" xfId="32" builtinId="22" hidden="1" customBuiltin="1"/>
    <cellStyle name="警告文" xfId="33" builtinId="11" hidden="1" customBuiltin="1"/>
    <cellStyle name="見出し 1" xfId="34" builtinId="16" hidden="1" customBuiltin="1"/>
    <cellStyle name="見出し 2" xfId="35" builtinId="17" hidden="1" customBuiltin="1"/>
    <cellStyle name="見出し 3" xfId="36" builtinId="18" hidden="1" customBuiltin="1"/>
    <cellStyle name="見出し 4" xfId="37" builtinId="19" hidden="1" customBuiltin="1"/>
    <cellStyle name="集計" xfId="38" builtinId="25" hidden="1" customBuiltin="1"/>
    <cellStyle name="出力" xfId="39" builtinId="21" hidden="1" customBuiltin="1"/>
    <cellStyle name="数値" xfId="50"/>
    <cellStyle name="数値[千単位]" xfId="47"/>
    <cellStyle name="説明文" xfId="40" builtinId="53" hidden="1" customBuiltin="1"/>
    <cellStyle name="通貨[千単位]" xfId="51"/>
    <cellStyle name="日時" xfId="43"/>
    <cellStyle name="日付 [yyyy/m]" xfId="45"/>
    <cellStyle name="日付 [yyyy/mm/dd]" xfId="49"/>
    <cellStyle name="入力" xfId="41" builtinId="20" hidden="1" customBuiltin="1"/>
    <cellStyle name="標準" xfId="0" builtinId="0" customBuiltin="1"/>
    <cellStyle name="標準 2" xfId="56"/>
    <cellStyle name="表示済みのハイパーリンク" xfId="46" builtinId="9" hidden="1"/>
    <cellStyle name="不要" xfId="44"/>
    <cellStyle name="要確認" xfId="55"/>
    <cellStyle name="良い" xfId="42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808080"/>
      <color rgb="FF7F7F7F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200025</xdr:colOff>
      <xdr:row>3</xdr:row>
      <xdr:rowOff>143995</xdr:rowOff>
    </xdr:from>
    <xdr:to>
      <xdr:col>67</xdr:col>
      <xdr:colOff>174047</xdr:colOff>
      <xdr:row>11</xdr:row>
      <xdr:rowOff>129274</xdr:rowOff>
    </xdr:to>
    <xdr:sp macro="" textlink="">
      <xdr:nvSpPr>
        <xdr:cNvPr id="5" name="メモ 4"/>
        <xdr:cNvSpPr/>
      </xdr:nvSpPr>
      <xdr:spPr bwMode="auto">
        <a:xfrm>
          <a:off x="11125200" y="658345"/>
          <a:ext cx="3117272" cy="1356879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顧客と調整が必要な課題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53</xdr:col>
      <xdr:colOff>35954</xdr:colOff>
      <xdr:row>18</xdr:row>
      <xdr:rowOff>46975</xdr:rowOff>
    </xdr:from>
    <xdr:to>
      <xdr:col>68</xdr:col>
      <xdr:colOff>9977</xdr:colOff>
      <xdr:row>26</xdr:row>
      <xdr:rowOff>32255</xdr:rowOff>
    </xdr:to>
    <xdr:sp macro="" textlink="">
      <xdr:nvSpPr>
        <xdr:cNvPr id="6" name="メモ 5"/>
        <xdr:cNvSpPr/>
      </xdr:nvSpPr>
      <xdr:spPr bwMode="auto">
        <a:xfrm>
          <a:off x="11170679" y="3133075"/>
          <a:ext cx="3117273" cy="1356880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解決させる課題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57</xdr:col>
      <xdr:colOff>208431</xdr:colOff>
      <xdr:row>0</xdr:row>
      <xdr:rowOff>57150</xdr:rowOff>
    </xdr:from>
    <xdr:to>
      <xdr:col>103</xdr:col>
      <xdr:colOff>144557</xdr:colOff>
      <xdr:row>40</xdr:row>
      <xdr:rowOff>15689</xdr:rowOff>
    </xdr:to>
    <xdr:sp macro="" textlink="">
      <xdr:nvSpPr>
        <xdr:cNvPr id="7" name="角丸四角形 6"/>
        <xdr:cNvSpPr/>
      </xdr:nvSpPr>
      <xdr:spPr bwMode="auto">
        <a:xfrm>
          <a:off x="12181356" y="57150"/>
          <a:ext cx="9575426" cy="6816539"/>
        </a:xfrm>
        <a:prstGeom prst="roundRect">
          <a:avLst>
            <a:gd name="adj" fmla="val 6962"/>
          </a:avLst>
        </a:prstGeom>
        <a:solidFill>
          <a:srgbClr val="7F7F7F">
            <a:alpha val="34902"/>
          </a:srgbClr>
        </a:solidFill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ctr" upright="1"/>
        <a:lstStyle/>
        <a:p>
          <a:pPr marL="0" indent="0" algn="ctr"/>
          <a:r>
            <a:rPr kumimoji="1" lang="ja-JP" altLang="en-US" sz="4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仕様変更</a:t>
          </a:r>
          <a:endParaRPr kumimoji="1" lang="en-US" altLang="ja-JP" sz="4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ctr"/>
          <a:r>
            <a:rPr kumimoji="1" lang="ja-JP" altLang="en-US" sz="2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○○○</a:t>
          </a:r>
          <a:endParaRPr kumimoji="1" lang="en-US" altLang="ja-JP" sz="2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noFill/>
        <a:ln w="127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S45"/>
  <sheetViews>
    <sheetView showGridLines="0" tabSelected="1" workbookViewId="0">
      <pane xSplit="3" ySplit="4" topLeftCell="D5" activePane="bottomRight" state="frozen"/>
      <selection activeCell="E28" sqref="E28"/>
      <selection pane="topRight" activeCell="E28" sqref="E28"/>
      <selection pane="bottomLeft" activeCell="E28" sqref="E28"/>
      <selection pane="bottomRight" activeCell="B9" sqref="B9"/>
    </sheetView>
  </sheetViews>
  <sheetFormatPr defaultRowHeight="15" customHeight="1"/>
  <cols>
    <col min="1" max="2" width="25.7109375" style="172" customWidth="1"/>
    <col min="3" max="3" width="5.7109375" style="172" customWidth="1"/>
    <col min="4" max="4" width="20.140625" style="167" bestFit="1" customWidth="1"/>
    <col min="5" max="5" width="41.85546875" style="167" bestFit="1" customWidth="1"/>
    <col min="6" max="6" width="15.5703125" style="180" bestFit="1" customWidth="1"/>
    <col min="7" max="7" width="14.140625" style="167" bestFit="1" customWidth="1"/>
    <col min="8" max="8" width="9.140625" style="171"/>
    <col min="9" max="9" width="5.7109375" style="171" customWidth="1"/>
    <col min="10" max="10" width="18.140625" style="171" bestFit="1" customWidth="1"/>
    <col min="11" max="11" width="14.140625" style="167" bestFit="1" customWidth="1"/>
    <col min="12" max="12" width="9.140625" style="167"/>
    <col min="13" max="18" width="5.7109375" style="167" customWidth="1"/>
    <col min="19" max="16384" width="9.140625" style="167"/>
  </cols>
  <sheetData>
    <row r="1" spans="1:19" ht="15" customHeight="1">
      <c r="A1" s="164">
        <v>1</v>
      </c>
      <c r="B1" s="164">
        <v>2</v>
      </c>
      <c r="C1" s="164">
        <v>3</v>
      </c>
      <c r="D1" s="165">
        <v>4</v>
      </c>
      <c r="E1" s="165">
        <v>5</v>
      </c>
      <c r="F1" s="165">
        <v>6</v>
      </c>
      <c r="G1" s="165">
        <v>7</v>
      </c>
      <c r="H1" s="166">
        <v>8</v>
      </c>
      <c r="I1" s="166">
        <v>9</v>
      </c>
      <c r="J1" s="166">
        <v>10</v>
      </c>
      <c r="K1" s="165">
        <v>11</v>
      </c>
      <c r="L1" s="165">
        <v>12</v>
      </c>
      <c r="M1" s="165">
        <v>13</v>
      </c>
      <c r="N1" s="165">
        <v>14</v>
      </c>
      <c r="O1" s="165">
        <v>15</v>
      </c>
      <c r="P1" s="165">
        <v>16</v>
      </c>
      <c r="Q1" s="165">
        <v>17</v>
      </c>
      <c r="R1" s="165">
        <v>18</v>
      </c>
      <c r="S1" s="165">
        <v>19</v>
      </c>
    </row>
    <row r="3" spans="1:19" ht="15" customHeight="1">
      <c r="A3" s="168" t="s">
        <v>126</v>
      </c>
      <c r="B3" s="169"/>
      <c r="C3" s="170"/>
      <c r="D3" s="44" t="s">
        <v>8</v>
      </c>
      <c r="E3" s="45"/>
      <c r="F3"/>
      <c r="G3"/>
      <c r="H3"/>
      <c r="I3"/>
      <c r="J3"/>
      <c r="K3"/>
      <c r="L3"/>
    </row>
    <row r="4" spans="1:19" ht="15" customHeight="1">
      <c r="A4" s="1" t="s">
        <v>5</v>
      </c>
      <c r="B4" s="1" t="s">
        <v>6</v>
      </c>
      <c r="D4" s="192" t="s">
        <v>5</v>
      </c>
      <c r="E4" s="192" t="s">
        <v>6</v>
      </c>
      <c r="F4"/>
      <c r="G4"/>
      <c r="H4"/>
      <c r="I4"/>
      <c r="J4"/>
      <c r="K4"/>
      <c r="L4"/>
    </row>
    <row r="5" spans="1:19" ht="15" customHeight="1">
      <c r="A5" s="173" t="s">
        <v>127</v>
      </c>
      <c r="B5" s="174" t="s">
        <v>128</v>
      </c>
      <c r="D5" s="193" t="s">
        <v>0</v>
      </c>
      <c r="E5" s="194" t="s">
        <v>125</v>
      </c>
      <c r="F5"/>
      <c r="G5"/>
      <c r="H5"/>
      <c r="I5"/>
      <c r="J5"/>
      <c r="K5"/>
      <c r="L5"/>
    </row>
    <row r="6" spans="1:19" ht="15" customHeight="1">
      <c r="A6" s="173"/>
      <c r="B6" s="174"/>
      <c r="D6" s="193" t="s">
        <v>1</v>
      </c>
      <c r="E6" s="195">
        <v>44287</v>
      </c>
      <c r="F6"/>
      <c r="G6"/>
      <c r="H6"/>
      <c r="I6"/>
      <c r="J6"/>
      <c r="K6"/>
      <c r="L6"/>
    </row>
    <row r="7" spans="1:19" ht="15" customHeight="1">
      <c r="A7" s="200" t="s">
        <v>163</v>
      </c>
      <c r="B7" s="201" t="s">
        <v>164</v>
      </c>
      <c r="D7" s="193" t="s">
        <v>3</v>
      </c>
      <c r="E7" s="196" t="s">
        <v>190</v>
      </c>
      <c r="F7"/>
      <c r="G7"/>
      <c r="H7"/>
      <c r="I7"/>
      <c r="J7"/>
      <c r="K7"/>
      <c r="L7"/>
    </row>
    <row r="8" spans="1:19" ht="15" customHeight="1">
      <c r="A8" s="173"/>
      <c r="B8" s="176"/>
      <c r="D8" s="193" t="s">
        <v>32</v>
      </c>
      <c r="E8" s="197" t="s">
        <v>124</v>
      </c>
      <c r="F8"/>
      <c r="G8"/>
      <c r="H8"/>
      <c r="I8"/>
      <c r="J8"/>
      <c r="K8"/>
      <c r="L8"/>
    </row>
    <row r="9" spans="1:19" ht="15" customHeight="1">
      <c r="A9" s="200" t="s">
        <v>165</v>
      </c>
      <c r="B9" s="202" t="s">
        <v>166</v>
      </c>
      <c r="D9" s="193" t="s">
        <v>7</v>
      </c>
      <c r="E9" s="197" t="s">
        <v>123</v>
      </c>
      <c r="F9"/>
      <c r="G9"/>
      <c r="H9"/>
      <c r="I9"/>
      <c r="J9"/>
      <c r="K9"/>
      <c r="L9"/>
    </row>
    <row r="10" spans="1:19" ht="15" customHeight="1">
      <c r="A10" s="200" t="s">
        <v>167</v>
      </c>
      <c r="B10" s="177">
        <v>2</v>
      </c>
      <c r="D10" s="193" t="s">
        <v>9</v>
      </c>
      <c r="E10" s="197" t="str">
        <f>IF(E9="",E8 &amp; " 設計書"," [" &amp; E8 &amp;"]" &amp; E9 &amp; "  設計書")</f>
        <v xml:space="preserve"> [○△□プロジェクト]○✕システム  設計書</v>
      </c>
      <c r="F10"/>
      <c r="G10"/>
      <c r="H10"/>
      <c r="I10"/>
      <c r="J10"/>
      <c r="K10"/>
      <c r="L10"/>
    </row>
    <row r="11" spans="1:19" ht="15" customHeight="1">
      <c r="A11" s="200" t="s">
        <v>171</v>
      </c>
      <c r="B11" s="203" t="s">
        <v>175</v>
      </c>
      <c r="D11" s="198" t="s">
        <v>170</v>
      </c>
      <c r="E11" s="199"/>
      <c r="F11"/>
      <c r="G11"/>
      <c r="H11"/>
      <c r="I11"/>
      <c r="J11"/>
      <c r="K11"/>
      <c r="L11"/>
    </row>
    <row r="12" spans="1:19" ht="15" customHeight="1">
      <c r="A12" s="200" t="s">
        <v>169</v>
      </c>
      <c r="B12" s="203">
        <v>24</v>
      </c>
      <c r="D12"/>
      <c r="E12"/>
      <c r="F12"/>
      <c r="G12"/>
      <c r="H12"/>
      <c r="I12"/>
      <c r="J12"/>
      <c r="K12"/>
      <c r="L12"/>
    </row>
    <row r="13" spans="1:19" ht="15" customHeight="1">
      <c r="A13" s="175" t="s">
        <v>168</v>
      </c>
      <c r="B13" s="203" t="s">
        <v>172</v>
      </c>
      <c r="D13"/>
      <c r="E13"/>
      <c r="F13"/>
      <c r="G13"/>
      <c r="H13"/>
      <c r="I13"/>
      <c r="J13"/>
      <c r="K13"/>
      <c r="L13"/>
    </row>
    <row r="14" spans="1:19" ht="15" customHeight="1">
      <c r="A14" s="175"/>
      <c r="B14" s="203"/>
      <c r="D14"/>
      <c r="E14"/>
      <c r="F14"/>
      <c r="G14"/>
      <c r="H14"/>
      <c r="I14"/>
      <c r="J14"/>
      <c r="K14"/>
      <c r="L14"/>
    </row>
    <row r="15" spans="1:19" ht="15" customHeight="1">
      <c r="A15" s="200" t="s">
        <v>173</v>
      </c>
      <c r="B15" s="203" t="s">
        <v>174</v>
      </c>
      <c r="D15"/>
      <c r="E15"/>
      <c r="F15"/>
      <c r="G15"/>
      <c r="H15"/>
      <c r="I15"/>
      <c r="J15"/>
      <c r="K15"/>
      <c r="L15"/>
    </row>
    <row r="16" spans="1:19" ht="15" customHeight="1">
      <c r="A16" s="175"/>
      <c r="B16" s="203"/>
      <c r="D16"/>
      <c r="E16"/>
      <c r="F16"/>
      <c r="G16"/>
      <c r="H16"/>
      <c r="I16"/>
      <c r="J16"/>
      <c r="K16"/>
      <c r="L16"/>
    </row>
    <row r="17" spans="1:12" ht="15" customHeight="1">
      <c r="A17" s="178"/>
      <c r="B17" s="203"/>
      <c r="D17"/>
      <c r="E17"/>
      <c r="F17"/>
      <c r="G17"/>
      <c r="H17"/>
      <c r="I17"/>
      <c r="J17"/>
      <c r="K17"/>
      <c r="L17"/>
    </row>
    <row r="18" spans="1:12" ht="15" customHeight="1">
      <c r="A18" s="175"/>
      <c r="B18" s="203"/>
      <c r="D18"/>
      <c r="E18"/>
      <c r="F18"/>
      <c r="G18"/>
      <c r="H18"/>
      <c r="I18"/>
      <c r="J18"/>
      <c r="K18"/>
      <c r="L18"/>
    </row>
    <row r="19" spans="1:12" ht="15" customHeight="1">
      <c r="A19" s="175"/>
      <c r="B19" s="203"/>
      <c r="D19"/>
      <c r="E19"/>
      <c r="F19"/>
      <c r="G19"/>
      <c r="H19"/>
      <c r="I19"/>
      <c r="J19"/>
      <c r="K19"/>
      <c r="L19"/>
    </row>
    <row r="20" spans="1:12" ht="15" customHeight="1">
      <c r="A20" s="175"/>
      <c r="B20" s="203"/>
      <c r="D20"/>
      <c r="E20"/>
      <c r="F20"/>
      <c r="G20"/>
      <c r="H20"/>
      <c r="I20"/>
      <c r="J20"/>
      <c r="K20"/>
      <c r="L20"/>
    </row>
    <row r="21" spans="1:12" ht="15" customHeight="1">
      <c r="A21" s="175"/>
      <c r="B21" s="203"/>
      <c r="D21"/>
      <c r="E21"/>
      <c r="F21"/>
      <c r="G21"/>
      <c r="H21"/>
      <c r="I21"/>
      <c r="J21"/>
      <c r="K21"/>
      <c r="L21"/>
    </row>
    <row r="22" spans="1:12" ht="15" customHeight="1">
      <c r="A22" s="175"/>
      <c r="B22" s="203"/>
      <c r="D22"/>
      <c r="E22"/>
      <c r="F22"/>
      <c r="G22"/>
      <c r="H22"/>
      <c r="I22"/>
      <c r="J22"/>
      <c r="K22"/>
      <c r="L22"/>
    </row>
    <row r="23" spans="1:12" ht="15" customHeight="1">
      <c r="A23" s="175"/>
      <c r="B23" s="203"/>
      <c r="D23"/>
      <c r="E23"/>
      <c r="F23"/>
      <c r="G23"/>
      <c r="H23"/>
      <c r="I23"/>
      <c r="J23"/>
      <c r="K23"/>
      <c r="L23"/>
    </row>
    <row r="24" spans="1:12" ht="15" customHeight="1">
      <c r="A24" s="175"/>
      <c r="B24" s="203"/>
      <c r="D24"/>
      <c r="E24"/>
      <c r="F24"/>
      <c r="G24"/>
      <c r="H24"/>
      <c r="I24"/>
      <c r="J24"/>
      <c r="K24"/>
      <c r="L24"/>
    </row>
    <row r="25" spans="1:12" ht="15" customHeight="1">
      <c r="A25" s="175"/>
      <c r="B25" s="203"/>
      <c r="D25"/>
      <c r="E25"/>
      <c r="F25"/>
      <c r="G25"/>
      <c r="H25"/>
      <c r="I25"/>
      <c r="J25"/>
      <c r="K25"/>
      <c r="L25"/>
    </row>
    <row r="26" spans="1:12" ht="15" customHeight="1">
      <c r="A26" s="175"/>
      <c r="B26" s="203"/>
      <c r="D26"/>
      <c r="E26"/>
      <c r="F26"/>
      <c r="G26"/>
      <c r="H26"/>
      <c r="I26"/>
      <c r="J26"/>
      <c r="K26"/>
      <c r="L26"/>
    </row>
    <row r="27" spans="1:12" ht="15" customHeight="1">
      <c r="A27" s="175"/>
      <c r="B27" s="175"/>
      <c r="D27"/>
      <c r="E27"/>
      <c r="F27"/>
      <c r="G27"/>
      <c r="H27"/>
      <c r="I27"/>
      <c r="J27"/>
      <c r="K27"/>
      <c r="L27"/>
    </row>
    <row r="28" spans="1:12" ht="15" customHeight="1">
      <c r="A28" s="175"/>
      <c r="B28" s="175"/>
      <c r="D28"/>
      <c r="E28"/>
      <c r="F28"/>
      <c r="G28"/>
      <c r="H28"/>
      <c r="I28"/>
      <c r="J28"/>
      <c r="K28"/>
      <c r="L28"/>
    </row>
    <row r="29" spans="1:12" ht="15" customHeight="1">
      <c r="A29" s="175"/>
      <c r="B29" s="175"/>
      <c r="D29"/>
      <c r="E29"/>
      <c r="F29"/>
      <c r="G29"/>
      <c r="H29"/>
      <c r="I29"/>
      <c r="J29"/>
      <c r="K29"/>
      <c r="L29"/>
    </row>
    <row r="30" spans="1:12" ht="15" customHeight="1">
      <c r="A30" s="175"/>
      <c r="B30" s="175"/>
      <c r="D30"/>
      <c r="E30"/>
      <c r="F30"/>
      <c r="G30"/>
      <c r="H30"/>
      <c r="I30"/>
      <c r="J30"/>
      <c r="K30"/>
      <c r="L30"/>
    </row>
    <row r="31" spans="1:12" ht="15" customHeight="1">
      <c r="A31" s="175"/>
      <c r="B31" s="175"/>
      <c r="D31"/>
      <c r="E31"/>
      <c r="F31"/>
      <c r="G31"/>
      <c r="H31"/>
      <c r="I31"/>
      <c r="J31"/>
      <c r="K31"/>
      <c r="L31"/>
    </row>
    <row r="32" spans="1:12" ht="15" customHeight="1">
      <c r="A32" s="175"/>
      <c r="B32" s="175"/>
      <c r="D32"/>
      <c r="E32"/>
      <c r="F32"/>
      <c r="G32"/>
      <c r="H32"/>
      <c r="I32"/>
      <c r="J32"/>
      <c r="K32"/>
      <c r="L32"/>
    </row>
    <row r="33" spans="1:12" ht="15" customHeight="1">
      <c r="A33" s="175"/>
      <c r="B33" s="175"/>
      <c r="D33"/>
      <c r="E33"/>
      <c r="F33"/>
      <c r="G33"/>
      <c r="H33"/>
      <c r="I33"/>
      <c r="J33"/>
      <c r="K33"/>
      <c r="L33"/>
    </row>
    <row r="34" spans="1:12" ht="15" customHeight="1">
      <c r="A34" s="175"/>
      <c r="B34" s="175"/>
      <c r="D34"/>
      <c r="E34"/>
      <c r="F34"/>
      <c r="G34"/>
      <c r="H34"/>
      <c r="I34"/>
      <c r="J34"/>
      <c r="K34"/>
      <c r="L34"/>
    </row>
    <row r="35" spans="1:12" ht="15" customHeight="1">
      <c r="A35" s="175"/>
      <c r="B35" s="175"/>
      <c r="D35"/>
      <c r="E35"/>
      <c r="F35"/>
      <c r="G35"/>
      <c r="H35"/>
      <c r="I35"/>
      <c r="J35"/>
      <c r="K35"/>
      <c r="L35"/>
    </row>
    <row r="36" spans="1:12" ht="15" customHeight="1">
      <c r="A36" s="175"/>
      <c r="B36" s="175"/>
      <c r="D36"/>
      <c r="E36"/>
      <c r="F36"/>
      <c r="G36"/>
      <c r="H36"/>
      <c r="I36"/>
      <c r="J36"/>
      <c r="K36"/>
      <c r="L36"/>
    </row>
    <row r="37" spans="1:12" ht="15" customHeight="1">
      <c r="A37" s="175"/>
      <c r="B37" s="175"/>
      <c r="D37"/>
      <c r="E37"/>
      <c r="F37"/>
      <c r="G37"/>
      <c r="H37"/>
      <c r="I37"/>
      <c r="J37"/>
      <c r="K37"/>
      <c r="L37"/>
    </row>
    <row r="38" spans="1:12" ht="15" customHeight="1">
      <c r="A38" s="175"/>
      <c r="B38" s="175"/>
      <c r="D38"/>
      <c r="E38"/>
      <c r="F38"/>
      <c r="G38"/>
      <c r="H38"/>
      <c r="I38"/>
      <c r="J38"/>
      <c r="K38"/>
      <c r="L38"/>
    </row>
    <row r="39" spans="1:12" ht="15" customHeight="1">
      <c r="A39" s="175"/>
      <c r="B39" s="175"/>
      <c r="F39"/>
      <c r="G39"/>
      <c r="H39"/>
      <c r="I39"/>
      <c r="J39"/>
      <c r="K39"/>
      <c r="L39"/>
    </row>
    <row r="40" spans="1:12" ht="15" customHeight="1">
      <c r="A40" s="175"/>
      <c r="B40" s="175"/>
      <c r="F40" s="171"/>
    </row>
    <row r="41" spans="1:12" ht="15" customHeight="1">
      <c r="A41" s="175"/>
      <c r="B41" s="175"/>
      <c r="F41" s="171"/>
    </row>
    <row r="42" spans="1:12" ht="15" customHeight="1">
      <c r="A42" s="175"/>
      <c r="B42" s="175"/>
      <c r="F42" s="171"/>
    </row>
    <row r="43" spans="1:12" ht="15" customHeight="1">
      <c r="A43" s="175"/>
      <c r="B43" s="175"/>
      <c r="F43" s="171"/>
    </row>
    <row r="44" spans="1:12" ht="15" customHeight="1">
      <c r="A44" s="175"/>
      <c r="B44" s="175"/>
      <c r="F44" s="171"/>
    </row>
    <row r="45" spans="1:12" ht="15" customHeight="1">
      <c r="A45" s="179"/>
      <c r="B45" s="179"/>
      <c r="F45" s="171"/>
    </row>
  </sheetData>
  <phoneticPr fontId="44"/>
  <dataValidations count="1">
    <dataValidation type="list" allowBlank="1" showInputMessage="1" showErrorMessage="1" sqref="B5">
      <formula1>"all,file,form,speak,none,develop"</formula1>
    </dataValidation>
  </dataValidations>
  <pageMargins left="0.70866141732283472" right="0.70866141732283472" top="0.74803149606299213" bottom="0.74803149606299213" header="0.31496062992125984" footer="0.31496062992125984"/>
  <pageSetup paperSize="9" scale="4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56"/>
  <sheetViews>
    <sheetView showGridLines="0" workbookViewId="0">
      <pane ySplit="1" topLeftCell="A2" activePane="bottomLeft" state="frozen"/>
      <selection activeCell="J4" sqref="J4:L4"/>
      <selection pane="bottomLeft"/>
    </sheetView>
  </sheetViews>
  <sheetFormatPr defaultRowHeight="15" customHeight="1"/>
  <cols>
    <col min="1" max="1" width="9.140625" style="190"/>
    <col min="2" max="2" width="80.7109375" style="191" customWidth="1"/>
    <col min="3" max="3" width="9.140625" style="182"/>
    <col min="4" max="16384" width="9.140625" style="191"/>
  </cols>
  <sheetData>
    <row r="1" spans="1:2" ht="15" customHeight="1">
      <c r="A1" s="181" t="s">
        <v>129</v>
      </c>
      <c r="B1" s="181" t="s">
        <v>130</v>
      </c>
    </row>
    <row r="2" spans="1:2" ht="15" customHeight="1">
      <c r="A2" s="183"/>
      <c r="B2" s="184" t="s">
        <v>131</v>
      </c>
    </row>
    <row r="3" spans="1:2" ht="15" customHeight="1">
      <c r="A3" s="185">
        <v>1</v>
      </c>
      <c r="B3" s="186" t="s">
        <v>132</v>
      </c>
    </row>
    <row r="4" spans="1:2" ht="15" customHeight="1">
      <c r="A4" s="185">
        <v>2</v>
      </c>
      <c r="B4" s="186" t="s">
        <v>133</v>
      </c>
    </row>
    <row r="5" spans="1:2" ht="15" customHeight="1">
      <c r="A5" s="185">
        <v>3</v>
      </c>
      <c r="B5" s="186" t="s">
        <v>134</v>
      </c>
    </row>
    <row r="6" spans="1:2" ht="15" customHeight="1">
      <c r="A6" s="185">
        <v>4</v>
      </c>
      <c r="B6" s="186" t="s">
        <v>135</v>
      </c>
    </row>
    <row r="7" spans="1:2" ht="15" customHeight="1">
      <c r="A7" s="185">
        <v>5</v>
      </c>
      <c r="B7" s="186"/>
    </row>
    <row r="8" spans="1:2" ht="15" customHeight="1">
      <c r="A8" s="185"/>
      <c r="B8" s="186"/>
    </row>
    <row r="9" spans="1:2" ht="15" customHeight="1">
      <c r="A9" s="185">
        <v>10</v>
      </c>
      <c r="B9" s="186" t="s">
        <v>136</v>
      </c>
    </row>
    <row r="10" spans="1:2" ht="15" customHeight="1">
      <c r="A10" s="185"/>
      <c r="B10" s="186"/>
    </row>
    <row r="11" spans="1:2" ht="15" customHeight="1">
      <c r="A11" s="185"/>
      <c r="B11" s="186"/>
    </row>
    <row r="12" spans="1:2" ht="15" customHeight="1">
      <c r="A12" s="185"/>
      <c r="B12" s="186"/>
    </row>
    <row r="13" spans="1:2" ht="15" customHeight="1">
      <c r="A13" s="185">
        <v>100</v>
      </c>
      <c r="B13" s="186" t="s">
        <v>137</v>
      </c>
    </row>
    <row r="14" spans="1:2" ht="15" customHeight="1">
      <c r="A14" s="185"/>
      <c r="B14" s="186"/>
    </row>
    <row r="15" spans="1:2" ht="15" customHeight="1">
      <c r="A15" s="185">
        <v>200</v>
      </c>
      <c r="B15" s="186" t="s">
        <v>138</v>
      </c>
    </row>
    <row r="16" spans="1:2" ht="15" customHeight="1">
      <c r="A16" s="185">
        <v>201</v>
      </c>
      <c r="B16" s="186" t="s">
        <v>139</v>
      </c>
    </row>
    <row r="17" spans="1:2" ht="15" customHeight="1">
      <c r="A17" s="185">
        <v>202</v>
      </c>
      <c r="B17" s="186" t="s">
        <v>140</v>
      </c>
    </row>
    <row r="18" spans="1:2" ht="15" customHeight="1">
      <c r="A18" s="185">
        <v>203</v>
      </c>
      <c r="B18" s="186" t="s">
        <v>141</v>
      </c>
    </row>
    <row r="19" spans="1:2" ht="15" customHeight="1">
      <c r="A19" s="185">
        <v>204</v>
      </c>
      <c r="B19" s="186" t="s">
        <v>142</v>
      </c>
    </row>
    <row r="20" spans="1:2" ht="15" customHeight="1">
      <c r="A20" s="185">
        <v>205</v>
      </c>
      <c r="B20" s="186" t="s">
        <v>143</v>
      </c>
    </row>
    <row r="21" spans="1:2" ht="15" customHeight="1">
      <c r="A21" s="185"/>
      <c r="B21" s="186"/>
    </row>
    <row r="22" spans="1:2" ht="15" customHeight="1">
      <c r="A22" s="185"/>
      <c r="B22" s="187"/>
    </row>
    <row r="23" spans="1:2" ht="15" customHeight="1">
      <c r="A23" s="185"/>
      <c r="B23" s="186"/>
    </row>
    <row r="24" spans="1:2" ht="15" customHeight="1">
      <c r="A24" s="183"/>
      <c r="B24" s="184" t="s">
        <v>144</v>
      </c>
    </row>
    <row r="25" spans="1:2" ht="15" customHeight="1">
      <c r="A25" s="185">
        <v>400</v>
      </c>
      <c r="B25" s="187" t="s">
        <v>145</v>
      </c>
    </row>
    <row r="26" spans="1:2" ht="15" customHeight="1">
      <c r="A26" s="185">
        <v>401</v>
      </c>
      <c r="B26" s="186" t="s">
        <v>146</v>
      </c>
    </row>
    <row r="27" spans="1:2" ht="15" customHeight="1">
      <c r="A27" s="185">
        <v>402</v>
      </c>
      <c r="B27" s="186" t="s">
        <v>147</v>
      </c>
    </row>
    <row r="28" spans="1:2" ht="15" customHeight="1">
      <c r="A28" s="185">
        <v>403</v>
      </c>
      <c r="B28" s="187" t="s">
        <v>148</v>
      </c>
    </row>
    <row r="29" spans="1:2" ht="15" customHeight="1">
      <c r="A29" s="185">
        <v>404</v>
      </c>
      <c r="B29" s="186" t="s">
        <v>149</v>
      </c>
    </row>
    <row r="30" spans="1:2" ht="15" customHeight="1">
      <c r="A30" s="185">
        <v>405</v>
      </c>
      <c r="B30" s="186" t="s">
        <v>150</v>
      </c>
    </row>
    <row r="31" spans="1:2" ht="15" customHeight="1">
      <c r="A31" s="185">
        <v>406</v>
      </c>
      <c r="B31" s="186" t="s">
        <v>151</v>
      </c>
    </row>
    <row r="32" spans="1:2" ht="15" customHeight="1">
      <c r="A32" s="185">
        <v>407</v>
      </c>
      <c r="B32" s="187" t="s">
        <v>152</v>
      </c>
    </row>
    <row r="33" spans="1:2" ht="15" customHeight="1">
      <c r="A33" s="185">
        <v>408</v>
      </c>
      <c r="B33" s="186" t="s">
        <v>153</v>
      </c>
    </row>
    <row r="34" spans="1:2" ht="15" customHeight="1">
      <c r="A34" s="185">
        <v>409</v>
      </c>
      <c r="B34" s="187" t="s">
        <v>154</v>
      </c>
    </row>
    <row r="35" spans="1:2" ht="15" customHeight="1">
      <c r="A35" s="185">
        <v>410</v>
      </c>
      <c r="B35" s="186" t="s">
        <v>155</v>
      </c>
    </row>
    <row r="36" spans="1:2" ht="15" customHeight="1">
      <c r="A36" s="185">
        <v>411</v>
      </c>
      <c r="B36" s="187" t="s">
        <v>156</v>
      </c>
    </row>
    <row r="37" spans="1:2" ht="15" customHeight="1">
      <c r="A37" s="185"/>
      <c r="B37" s="187"/>
    </row>
    <row r="38" spans="1:2" ht="15" customHeight="1">
      <c r="A38" s="185"/>
      <c r="B38" s="187"/>
    </row>
    <row r="39" spans="1:2" ht="15" customHeight="1">
      <c r="A39" s="185"/>
      <c r="B39" s="187"/>
    </row>
    <row r="40" spans="1:2" ht="15" customHeight="1">
      <c r="A40" s="185"/>
      <c r="B40" s="187"/>
    </row>
    <row r="41" spans="1:2" ht="15" customHeight="1">
      <c r="A41" s="185"/>
      <c r="B41" s="187"/>
    </row>
    <row r="42" spans="1:2" ht="15" customHeight="1">
      <c r="A42" s="185"/>
      <c r="B42" s="187"/>
    </row>
    <row r="43" spans="1:2" ht="15" customHeight="1">
      <c r="A43" s="183"/>
      <c r="B43" s="184" t="s">
        <v>157</v>
      </c>
    </row>
    <row r="44" spans="1:2" ht="15" customHeight="1">
      <c r="A44" s="185"/>
      <c r="B44" s="186"/>
    </row>
    <row r="45" spans="1:2" ht="15" customHeight="1">
      <c r="A45" s="185"/>
      <c r="B45" s="186"/>
    </row>
    <row r="46" spans="1:2" ht="15" customHeight="1">
      <c r="A46" s="185"/>
      <c r="B46" s="186"/>
    </row>
    <row r="47" spans="1:2" ht="15" customHeight="1">
      <c r="A47" s="185"/>
      <c r="B47" s="186"/>
    </row>
    <row r="48" spans="1:2" ht="15" customHeight="1">
      <c r="A48" s="185"/>
      <c r="B48" s="186"/>
    </row>
    <row r="49" spans="1:2" ht="15" customHeight="1">
      <c r="A49" s="185"/>
      <c r="B49" s="186"/>
    </row>
    <row r="50" spans="1:2" ht="15" customHeight="1">
      <c r="A50" s="185"/>
      <c r="B50" s="186"/>
    </row>
    <row r="51" spans="1:2" ht="15" customHeight="1">
      <c r="A51" s="183"/>
      <c r="B51" s="184"/>
    </row>
    <row r="52" spans="1:2" ht="15" customHeight="1">
      <c r="A52" s="185">
        <v>9</v>
      </c>
      <c r="B52" s="186" t="s">
        <v>158</v>
      </c>
    </row>
    <row r="53" spans="1:2" ht="15" customHeight="1">
      <c r="A53" s="185">
        <v>13</v>
      </c>
      <c r="B53" s="186" t="s">
        <v>159</v>
      </c>
    </row>
    <row r="54" spans="1:2" ht="15" customHeight="1">
      <c r="A54" s="185">
        <v>53</v>
      </c>
      <c r="B54" s="186" t="s">
        <v>160</v>
      </c>
    </row>
    <row r="55" spans="1:2" ht="15" customHeight="1">
      <c r="A55" s="185">
        <v>91</v>
      </c>
      <c r="B55" s="186" t="s">
        <v>161</v>
      </c>
    </row>
    <row r="56" spans="1:2" ht="15" customHeight="1">
      <c r="A56" s="188">
        <v>1004</v>
      </c>
      <c r="B56" s="189" t="s">
        <v>162</v>
      </c>
    </row>
  </sheetData>
  <phoneticPr fontId="4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AY344"/>
  <sheetViews>
    <sheetView showGridLines="0" workbookViewId="0">
      <selection activeCell="M38" sqref="M38"/>
    </sheetView>
  </sheetViews>
  <sheetFormatPr defaultColWidth="3.140625" defaultRowHeight="13.5" customHeight="1"/>
  <cols>
    <col min="1" max="2" width="3.140625" style="113" customWidth="1"/>
    <col min="3" max="3" width="3.140625" style="111" customWidth="1"/>
    <col min="4" max="4" width="3.140625" style="54" customWidth="1"/>
    <col min="5" max="6" width="3.140625" style="113" customWidth="1"/>
    <col min="7" max="7" width="3" style="113" customWidth="1"/>
    <col min="8" max="25" width="3.140625" style="113" customWidth="1"/>
    <col min="26" max="26" width="3.140625" style="163" customWidth="1"/>
    <col min="27" max="46" width="3.140625" style="113" customWidth="1"/>
    <col min="47" max="47" width="3.7109375" style="113" customWidth="1"/>
    <col min="48" max="16384" width="3.140625" style="113"/>
  </cols>
  <sheetData>
    <row r="1" spans="1:51" s="204" customFormat="1" ht="13.5" customHeight="1">
      <c r="A1" s="225" t="s">
        <v>39</v>
      </c>
      <c r="B1" s="226"/>
      <c r="C1" s="227"/>
      <c r="D1" s="228" t="str">
        <f>システム名</f>
        <v>○✕システム</v>
      </c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  <c r="P1" s="231" t="s">
        <v>0</v>
      </c>
      <c r="Q1" s="226"/>
      <c r="R1" s="227"/>
      <c r="S1" s="232" t="str">
        <f>IF(顧客名&lt;&gt;"",顧客名,"")</f>
        <v>○✕○✕株式会社</v>
      </c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4"/>
      <c r="AG1" s="235" t="s">
        <v>35</v>
      </c>
      <c r="AH1" s="235"/>
      <c r="AI1" s="235"/>
      <c r="AJ1" s="236">
        <f>作成日</f>
        <v>44287</v>
      </c>
      <c r="AK1" s="237"/>
      <c r="AL1" s="237"/>
      <c r="AM1" s="237"/>
      <c r="AN1" s="237"/>
      <c r="AO1" s="235" t="s">
        <v>36</v>
      </c>
      <c r="AP1" s="235"/>
      <c r="AQ1" s="235"/>
      <c r="AR1" s="238" t="str">
        <f>作成者</f>
        <v>○○　✕✕</v>
      </c>
      <c r="AS1" s="239"/>
      <c r="AT1" s="239"/>
      <c r="AU1" s="239"/>
      <c r="AV1" s="240"/>
      <c r="AX1" s="241" t="s">
        <v>179</v>
      </c>
      <c r="AY1" s="241"/>
    </row>
    <row r="2" spans="1:51" s="204" customFormat="1" ht="13.5" customHeight="1">
      <c r="A2" s="242" t="s">
        <v>30</v>
      </c>
      <c r="B2" s="243"/>
      <c r="C2" s="244"/>
      <c r="D2" s="245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7"/>
      <c r="P2" s="248" t="s">
        <v>2</v>
      </c>
      <c r="Q2" s="243"/>
      <c r="R2" s="244"/>
      <c r="S2" s="249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7"/>
      <c r="AG2" s="250" t="s">
        <v>34</v>
      </c>
      <c r="AH2" s="250"/>
      <c r="AI2" s="250"/>
      <c r="AJ2" s="251"/>
      <c r="AK2" s="252"/>
      <c r="AL2" s="252"/>
      <c r="AM2" s="252"/>
      <c r="AN2" s="252"/>
      <c r="AO2" s="250" t="s">
        <v>33</v>
      </c>
      <c r="AP2" s="250"/>
      <c r="AQ2" s="250"/>
      <c r="AR2" s="253"/>
      <c r="AS2" s="254"/>
      <c r="AT2" s="254"/>
      <c r="AU2" s="254"/>
      <c r="AV2" s="255"/>
      <c r="AX2" s="241"/>
      <c r="AY2" s="241"/>
    </row>
    <row r="3" spans="1:51" ht="13.5" customHeight="1">
      <c r="A3" s="47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48"/>
    </row>
    <row r="4" spans="1:51" ht="13.5" customHeight="1">
      <c r="A4" s="3"/>
      <c r="B4" s="14" t="s">
        <v>84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7"/>
    </row>
    <row r="5" spans="1:51" ht="13.5" customHeight="1">
      <c r="A5" s="9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96"/>
    </row>
    <row r="6" spans="1:51" ht="13.5" customHeight="1">
      <c r="A6" s="95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96"/>
    </row>
    <row r="7" spans="1:51" ht="13.5" customHeight="1">
      <c r="A7" s="9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96"/>
    </row>
    <row r="8" spans="1:51" ht="13.5" customHeight="1">
      <c r="A8" s="9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96"/>
    </row>
    <row r="9" spans="1:51" ht="13.5" customHeight="1">
      <c r="A9" s="95"/>
      <c r="B9" s="14" t="s">
        <v>121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96"/>
    </row>
    <row r="10" spans="1:51" ht="13.5" customHeight="1">
      <c r="A10" s="9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96"/>
    </row>
    <row r="11" spans="1:51" ht="13.5" customHeight="1">
      <c r="A11" s="9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96"/>
    </row>
    <row r="12" spans="1:51" ht="13.5" customHeight="1">
      <c r="A12" s="9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96"/>
    </row>
    <row r="13" spans="1:51" ht="13.5" customHeight="1">
      <c r="A13" s="95"/>
      <c r="B13" s="14" t="s">
        <v>122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96"/>
    </row>
    <row r="14" spans="1:51" ht="13.5" customHeight="1">
      <c r="A14" s="9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96"/>
    </row>
    <row r="15" spans="1:51" ht="13.5" customHeight="1">
      <c r="A15" s="9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96"/>
    </row>
    <row r="16" spans="1:51" ht="13.5" customHeight="1">
      <c r="A16" s="9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96"/>
    </row>
    <row r="17" spans="1:48" ht="13.5" customHeight="1">
      <c r="A17" s="9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96"/>
    </row>
    <row r="18" spans="1:48" ht="13.5" customHeight="1">
      <c r="A18" s="9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96"/>
    </row>
    <row r="19" spans="1:48" ht="13.5" customHeight="1">
      <c r="A19" s="9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96"/>
    </row>
    <row r="20" spans="1:48" ht="13.5" customHeight="1">
      <c r="A20" s="9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96"/>
    </row>
    <row r="21" spans="1:48" ht="13.5" customHeight="1">
      <c r="A21" s="9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96"/>
    </row>
    <row r="22" spans="1:48" ht="13.5" customHeight="1">
      <c r="A22" s="9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96"/>
    </row>
    <row r="23" spans="1:48" ht="13.5" customHeight="1">
      <c r="A23" s="9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96"/>
    </row>
    <row r="24" spans="1:48" ht="13.5" customHeight="1">
      <c r="A24" s="9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96"/>
    </row>
    <row r="25" spans="1:48" ht="13.5" customHeight="1">
      <c r="A25" s="9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96"/>
    </row>
    <row r="26" spans="1:48" ht="13.5" customHeight="1">
      <c r="A26" s="9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96"/>
    </row>
    <row r="27" spans="1:48" ht="13.5" customHeight="1">
      <c r="A27" s="9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96"/>
    </row>
    <row r="28" spans="1:48" ht="13.5" customHeight="1">
      <c r="A28" s="9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96"/>
    </row>
    <row r="29" spans="1:48" ht="13.5" customHeight="1">
      <c r="A29" s="9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96"/>
    </row>
    <row r="30" spans="1:48" ht="13.5" customHeight="1">
      <c r="A30" s="9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96"/>
    </row>
    <row r="31" spans="1:48" ht="13.5" customHeight="1">
      <c r="A31" s="9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96"/>
    </row>
    <row r="32" spans="1:48" ht="13.5" customHeight="1">
      <c r="A32" s="95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96"/>
    </row>
    <row r="33" spans="1:51" ht="13.5" customHeight="1">
      <c r="A33" s="9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96"/>
    </row>
    <row r="34" spans="1:51" ht="13.5" customHeight="1">
      <c r="A34" s="9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96"/>
    </row>
    <row r="35" spans="1:51" ht="13.5" customHeight="1">
      <c r="A35" s="9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96"/>
    </row>
    <row r="36" spans="1:51" ht="13.5" customHeight="1">
      <c r="A36" s="9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96"/>
    </row>
    <row r="37" spans="1:51" ht="13.5" customHeight="1">
      <c r="A37" s="9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96"/>
    </row>
    <row r="38" spans="1:51" ht="13.5" customHeight="1">
      <c r="A38" s="9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96"/>
    </row>
    <row r="39" spans="1:51" ht="13.5" customHeight="1">
      <c r="A39" s="9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96"/>
    </row>
    <row r="40" spans="1:51" ht="13.5" customHeight="1">
      <c r="A40" s="9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96"/>
    </row>
    <row r="41" spans="1:51" ht="13.5" customHeight="1">
      <c r="A41" s="9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96"/>
    </row>
    <row r="42" spans="1:51" ht="13.5" customHeight="1">
      <c r="A42" s="95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96"/>
    </row>
    <row r="43" spans="1:51" ht="13.5" customHeight="1" thickBot="1">
      <c r="A43" s="97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98"/>
      <c r="AX43" s="223" t="str">
        <f>HYPERLINK("#$A$1","目次へ")</f>
        <v>目次へ</v>
      </c>
      <c r="AY43" s="224"/>
    </row>
    <row r="44" spans="1:51" s="204" customFormat="1" ht="13.5" customHeight="1">
      <c r="A44" s="225" t="s">
        <v>39</v>
      </c>
      <c r="B44" s="226"/>
      <c r="C44" s="227"/>
      <c r="D44" s="228" t="str">
        <f>システム名</f>
        <v>○✕システム</v>
      </c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30"/>
      <c r="P44" s="231" t="s">
        <v>0</v>
      </c>
      <c r="Q44" s="226"/>
      <c r="R44" s="227"/>
      <c r="S44" s="232" t="str">
        <f>IF(顧客名&lt;&gt;"",顧客名,"")</f>
        <v>○✕○✕株式会社</v>
      </c>
      <c r="T44" s="233"/>
      <c r="U44" s="233"/>
      <c r="V44" s="233"/>
      <c r="W44" s="233"/>
      <c r="X44" s="233"/>
      <c r="Y44" s="233"/>
      <c r="Z44" s="233"/>
      <c r="AA44" s="233"/>
      <c r="AB44" s="233"/>
      <c r="AC44" s="233"/>
      <c r="AD44" s="233"/>
      <c r="AE44" s="233"/>
      <c r="AF44" s="234"/>
      <c r="AG44" s="235" t="s">
        <v>35</v>
      </c>
      <c r="AH44" s="235"/>
      <c r="AI44" s="235"/>
      <c r="AJ44" s="236">
        <f>作成日</f>
        <v>44287</v>
      </c>
      <c r="AK44" s="237"/>
      <c r="AL44" s="237"/>
      <c r="AM44" s="237"/>
      <c r="AN44" s="237"/>
      <c r="AO44" s="235" t="s">
        <v>36</v>
      </c>
      <c r="AP44" s="235"/>
      <c r="AQ44" s="235"/>
      <c r="AR44" s="238" t="str">
        <f>作成者</f>
        <v>○○　✕✕</v>
      </c>
      <c r="AS44" s="239"/>
      <c r="AT44" s="239"/>
      <c r="AU44" s="239"/>
      <c r="AV44" s="240"/>
      <c r="AX44" s="241" t="s">
        <v>179</v>
      </c>
      <c r="AY44" s="241"/>
    </row>
    <row r="45" spans="1:51" s="204" customFormat="1" ht="13.5" customHeight="1">
      <c r="A45" s="242" t="s">
        <v>30</v>
      </c>
      <c r="B45" s="243"/>
      <c r="C45" s="244"/>
      <c r="D45" s="245" t="s">
        <v>176</v>
      </c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7"/>
      <c r="P45" s="248" t="s">
        <v>2</v>
      </c>
      <c r="Q45" s="243"/>
      <c r="R45" s="244"/>
      <c r="S45" s="249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7"/>
      <c r="AG45" s="250" t="s">
        <v>34</v>
      </c>
      <c r="AH45" s="250"/>
      <c r="AI45" s="250"/>
      <c r="AJ45" s="251">
        <v>44441</v>
      </c>
      <c r="AK45" s="252"/>
      <c r="AL45" s="252"/>
      <c r="AM45" s="252"/>
      <c r="AN45" s="252"/>
      <c r="AO45" s="250" t="s">
        <v>33</v>
      </c>
      <c r="AP45" s="250"/>
      <c r="AQ45" s="250"/>
      <c r="AR45" s="253" t="s">
        <v>180</v>
      </c>
      <c r="AS45" s="254"/>
      <c r="AT45" s="254"/>
      <c r="AU45" s="254"/>
      <c r="AV45" s="255"/>
      <c r="AX45" s="241"/>
      <c r="AY45" s="241"/>
    </row>
    <row r="46" spans="1:51" s="163" customFormat="1" ht="13.5" customHeight="1">
      <c r="A46" s="47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48"/>
    </row>
    <row r="47" spans="1:51" s="163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</row>
    <row r="48" spans="1:51" s="163" customFormat="1" ht="13.5" customHeight="1">
      <c r="A48" s="95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96"/>
    </row>
    <row r="49" spans="1:48" s="163" customFormat="1" ht="13.5" customHeight="1">
      <c r="A49" s="95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96"/>
    </row>
    <row r="50" spans="1:48" s="163" customFormat="1" ht="13.5" customHeight="1">
      <c r="A50" s="95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96"/>
    </row>
    <row r="51" spans="1:48" s="163" customFormat="1" ht="13.5" customHeight="1">
      <c r="A51" s="95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96"/>
    </row>
    <row r="52" spans="1:48" s="163" customFormat="1" ht="13.5" customHeight="1">
      <c r="A52" s="9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96"/>
    </row>
    <row r="53" spans="1:48" s="163" customFormat="1" ht="13.5" customHeight="1">
      <c r="A53" s="95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96"/>
    </row>
    <row r="54" spans="1:48" s="163" customFormat="1" ht="13.5" customHeight="1">
      <c r="A54" s="95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96"/>
    </row>
    <row r="55" spans="1:48" s="163" customFormat="1" ht="13.5" customHeight="1">
      <c r="A55" s="95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96"/>
    </row>
    <row r="56" spans="1:48" s="163" customFormat="1" ht="13.5" customHeight="1">
      <c r="A56" s="95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96"/>
    </row>
    <row r="57" spans="1:48" s="163" customFormat="1" ht="13.5" customHeight="1">
      <c r="A57" s="95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96"/>
    </row>
    <row r="58" spans="1:48" s="163" customFormat="1" ht="13.5" customHeight="1">
      <c r="A58" s="95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96"/>
    </row>
    <row r="59" spans="1:48" s="163" customFormat="1" ht="13.5" customHeight="1">
      <c r="A59" s="95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96"/>
    </row>
    <row r="60" spans="1:48" s="163" customFormat="1" ht="13.5" customHeight="1">
      <c r="A60" s="95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96"/>
    </row>
    <row r="61" spans="1:48" s="163" customFormat="1" ht="13.5" customHeight="1">
      <c r="A61" s="95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96"/>
    </row>
    <row r="62" spans="1:48" s="163" customFormat="1" ht="13.5" customHeight="1">
      <c r="A62" s="95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96"/>
    </row>
    <row r="63" spans="1:48" s="163" customFormat="1" ht="13.5" customHeight="1">
      <c r="A63" s="95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96"/>
    </row>
    <row r="64" spans="1:48" s="163" customFormat="1" ht="13.5" customHeight="1">
      <c r="A64" s="95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96"/>
    </row>
    <row r="65" spans="1:48" s="163" customFormat="1" ht="13.5" customHeight="1">
      <c r="A65" s="95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96"/>
    </row>
    <row r="66" spans="1:48" s="163" customFormat="1" ht="13.5" customHeight="1">
      <c r="A66" s="9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96"/>
    </row>
    <row r="67" spans="1:48" s="163" customFormat="1" ht="13.5" customHeight="1">
      <c r="A67" s="9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96"/>
    </row>
    <row r="68" spans="1:48" s="163" customFormat="1" ht="13.5" customHeight="1">
      <c r="A68" s="9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96"/>
    </row>
    <row r="69" spans="1:48" s="163" customFormat="1" ht="13.5" customHeight="1">
      <c r="A69" s="9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96"/>
    </row>
    <row r="70" spans="1:48" s="163" customFormat="1" ht="13.5" customHeight="1">
      <c r="A70" s="9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96"/>
    </row>
    <row r="71" spans="1:48" s="163" customFormat="1" ht="13.5" customHeight="1">
      <c r="A71" s="9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96"/>
    </row>
    <row r="72" spans="1:48" s="163" customFormat="1" ht="13.5" customHeight="1">
      <c r="A72" s="95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96"/>
    </row>
    <row r="73" spans="1:48" s="163" customFormat="1" ht="13.5" customHeight="1">
      <c r="A73" s="95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96"/>
    </row>
    <row r="74" spans="1:48" s="163" customFormat="1" ht="13.5" customHeight="1">
      <c r="A74" s="9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96"/>
    </row>
    <row r="75" spans="1:48" s="163" customFormat="1" ht="13.5" customHeight="1">
      <c r="A75" s="9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96"/>
    </row>
    <row r="76" spans="1:48" s="163" customFormat="1" ht="13.5" customHeight="1">
      <c r="A76" s="9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96"/>
    </row>
    <row r="77" spans="1:48" s="163" customFormat="1" ht="13.5" customHeight="1">
      <c r="A77" s="9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96"/>
    </row>
    <row r="78" spans="1:48" s="163" customFormat="1" ht="13.5" customHeight="1">
      <c r="A78" s="9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96"/>
    </row>
    <row r="79" spans="1:48" s="163" customFormat="1" ht="13.5" customHeight="1">
      <c r="A79" s="9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96"/>
    </row>
    <row r="80" spans="1:48" s="163" customFormat="1" ht="13.5" customHeight="1">
      <c r="A80" s="95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96"/>
    </row>
    <row r="81" spans="1:51" s="163" customFormat="1" ht="13.5" customHeight="1">
      <c r="A81" s="95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96"/>
    </row>
    <row r="82" spans="1:51" s="163" customFormat="1" ht="13.5" customHeight="1">
      <c r="A82" s="9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96"/>
    </row>
    <row r="83" spans="1:51" s="163" customFormat="1" ht="13.5" customHeight="1">
      <c r="A83" s="9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96"/>
    </row>
    <row r="84" spans="1:51" s="163" customFormat="1" ht="13.5" customHeight="1">
      <c r="A84" s="9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96"/>
    </row>
    <row r="85" spans="1:51" s="163" customFormat="1" ht="13.5" customHeight="1">
      <c r="A85" s="9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96"/>
    </row>
    <row r="86" spans="1:51" s="163" customFormat="1" ht="13.5" customHeight="1" thickBot="1">
      <c r="A86" s="97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98"/>
      <c r="AX86" s="223" t="str">
        <f>HYPERLINK("#$A$1","目次へ")</f>
        <v>目次へ</v>
      </c>
      <c r="AY86" s="224"/>
    </row>
    <row r="87" spans="1:51" s="204" customFormat="1" ht="13.5" customHeight="1">
      <c r="A87" s="261" t="s">
        <v>39</v>
      </c>
      <c r="B87" s="262"/>
      <c r="C87" s="263"/>
      <c r="D87" s="228" t="str">
        <f>システム名</f>
        <v>○✕システム</v>
      </c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30"/>
      <c r="P87" s="264" t="s">
        <v>0</v>
      </c>
      <c r="Q87" s="262"/>
      <c r="R87" s="263"/>
      <c r="S87" s="232" t="str">
        <f>IF(顧客名&lt;&gt;"",顧客名,"")</f>
        <v>○✕○✕株式会社</v>
      </c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4"/>
      <c r="AG87" s="276" t="s">
        <v>35</v>
      </c>
      <c r="AH87" s="276"/>
      <c r="AI87" s="276"/>
      <c r="AJ87" s="236">
        <f>作成日</f>
        <v>44287</v>
      </c>
      <c r="AK87" s="237"/>
      <c r="AL87" s="237"/>
      <c r="AM87" s="237"/>
      <c r="AN87" s="237"/>
      <c r="AO87" s="276" t="s">
        <v>36</v>
      </c>
      <c r="AP87" s="276"/>
      <c r="AQ87" s="276"/>
      <c r="AR87" s="238" t="str">
        <f>作成者</f>
        <v>○○　✕✕</v>
      </c>
      <c r="AS87" s="239"/>
      <c r="AT87" s="239"/>
      <c r="AU87" s="239"/>
      <c r="AV87" s="240"/>
      <c r="AX87" s="241" t="s">
        <v>179</v>
      </c>
      <c r="AY87" s="241"/>
    </row>
    <row r="88" spans="1:51" s="204" customFormat="1" ht="13.5" customHeight="1">
      <c r="A88" s="265" t="s">
        <v>30</v>
      </c>
      <c r="B88" s="266"/>
      <c r="C88" s="267"/>
      <c r="D88" s="245" t="s">
        <v>176</v>
      </c>
      <c r="E88" s="246"/>
      <c r="F88" s="246"/>
      <c r="G88" s="246"/>
      <c r="H88" s="246"/>
      <c r="I88" s="246"/>
      <c r="J88" s="246"/>
      <c r="K88" s="246"/>
      <c r="L88" s="246"/>
      <c r="M88" s="246"/>
      <c r="N88" s="246"/>
      <c r="O88" s="247"/>
      <c r="P88" s="268" t="s">
        <v>2</v>
      </c>
      <c r="Q88" s="266"/>
      <c r="R88" s="267"/>
      <c r="S88" s="249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7"/>
      <c r="AG88" s="275" t="s">
        <v>34</v>
      </c>
      <c r="AH88" s="275"/>
      <c r="AI88" s="275"/>
      <c r="AJ88" s="251">
        <v>44441</v>
      </c>
      <c r="AK88" s="252"/>
      <c r="AL88" s="252"/>
      <c r="AM88" s="252"/>
      <c r="AN88" s="252"/>
      <c r="AO88" s="275" t="s">
        <v>33</v>
      </c>
      <c r="AP88" s="275"/>
      <c r="AQ88" s="275"/>
      <c r="AR88" s="253" t="s">
        <v>180</v>
      </c>
      <c r="AS88" s="254"/>
      <c r="AT88" s="254"/>
      <c r="AU88" s="254"/>
      <c r="AV88" s="255"/>
      <c r="AX88" s="241"/>
      <c r="AY88" s="241"/>
    </row>
    <row r="89" spans="1:51" ht="13.5" customHeight="1">
      <c r="A89" s="3"/>
      <c r="B89" s="4"/>
      <c r="C89" s="5"/>
      <c r="D89" s="6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7"/>
    </row>
    <row r="90" spans="1:51" ht="13.5" customHeight="1">
      <c r="A90" s="3"/>
      <c r="B90" s="15" t="s">
        <v>12</v>
      </c>
      <c r="C90" s="6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5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</row>
    <row r="91" spans="1:51" ht="13.5" customHeight="1">
      <c r="A91" s="3"/>
      <c r="B91" s="16" t="s">
        <v>25</v>
      </c>
      <c r="C91" s="17"/>
      <c r="D91" s="17"/>
      <c r="E91" s="17"/>
      <c r="F91" s="17"/>
      <c r="G91" s="18"/>
      <c r="H91" s="102" t="s">
        <v>37</v>
      </c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4"/>
      <c r="AN91" s="4"/>
      <c r="AO91" s="4"/>
      <c r="AP91" s="4"/>
      <c r="AQ91" s="4"/>
      <c r="AR91" s="4"/>
      <c r="AS91" s="4"/>
      <c r="AT91" s="4"/>
      <c r="AU91" s="4"/>
      <c r="AV91" s="7"/>
    </row>
    <row r="92" spans="1:51" ht="13.5" customHeight="1">
      <c r="A92" s="3"/>
      <c r="B92" s="16" t="s">
        <v>26</v>
      </c>
      <c r="C92" s="17"/>
      <c r="D92" s="17"/>
      <c r="E92" s="17"/>
      <c r="F92" s="17"/>
      <c r="G92" s="18"/>
      <c r="H92" s="102" t="s">
        <v>38</v>
      </c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4"/>
      <c r="AN92" s="4"/>
      <c r="AO92" s="4"/>
      <c r="AP92" s="4"/>
      <c r="AQ92" s="4"/>
      <c r="AR92" s="4"/>
      <c r="AS92" s="4"/>
      <c r="AT92" s="4"/>
      <c r="AU92" s="4"/>
      <c r="AV92" s="7"/>
    </row>
    <row r="93" spans="1:51" ht="13.5" customHeight="1">
      <c r="A93" s="3"/>
      <c r="B93" s="19" t="s">
        <v>27</v>
      </c>
      <c r="C93" s="20"/>
      <c r="D93" s="20"/>
      <c r="E93" s="20"/>
      <c r="F93" s="20"/>
      <c r="G93" s="21"/>
      <c r="H93" s="105" t="s">
        <v>51</v>
      </c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106"/>
      <c r="AN93" s="4"/>
      <c r="AO93" s="4"/>
      <c r="AP93" s="4"/>
      <c r="AQ93" s="4"/>
      <c r="AR93" s="4"/>
      <c r="AS93" s="4"/>
      <c r="AT93" s="4"/>
      <c r="AU93" s="4"/>
      <c r="AV93" s="7"/>
    </row>
    <row r="94" spans="1:51" ht="13.5" customHeight="1">
      <c r="A94" s="3"/>
      <c r="B94" s="22"/>
      <c r="C94" s="23"/>
      <c r="D94" s="23"/>
      <c r="E94" s="23"/>
      <c r="F94" s="23"/>
      <c r="G94" s="24"/>
      <c r="H94" s="105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106"/>
      <c r="AN94" s="4"/>
      <c r="AO94" s="4"/>
      <c r="AP94" s="4"/>
      <c r="AQ94" s="4"/>
      <c r="AR94" s="4"/>
      <c r="AS94" s="4"/>
      <c r="AT94" s="4"/>
      <c r="AU94" s="4"/>
      <c r="AV94" s="7"/>
    </row>
    <row r="95" spans="1:51" ht="13.5" customHeight="1">
      <c r="A95" s="3"/>
      <c r="B95" s="22"/>
      <c r="C95" s="23"/>
      <c r="D95" s="23"/>
      <c r="E95" s="23"/>
      <c r="F95" s="23"/>
      <c r="G95" s="24"/>
      <c r="H95" s="105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106"/>
      <c r="AN95" s="4"/>
      <c r="AO95" s="4"/>
      <c r="AP95" s="4"/>
      <c r="AQ95" s="4"/>
      <c r="AR95" s="4"/>
      <c r="AS95" s="4"/>
      <c r="AT95" s="4"/>
      <c r="AU95" s="4"/>
      <c r="AV95" s="7"/>
    </row>
    <row r="96" spans="1:51" ht="13.5" customHeight="1">
      <c r="A96" s="3"/>
      <c r="B96" s="25"/>
      <c r="C96" s="26"/>
      <c r="D96" s="26"/>
      <c r="E96" s="26"/>
      <c r="F96" s="26"/>
      <c r="G96" s="27"/>
      <c r="H96" s="105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106"/>
      <c r="AN96" s="4"/>
      <c r="AO96" s="4"/>
      <c r="AP96" s="4"/>
      <c r="AQ96" s="4"/>
      <c r="AR96" s="4"/>
      <c r="AS96" s="4"/>
      <c r="AT96" s="4"/>
      <c r="AU96" s="4"/>
      <c r="AV96" s="7"/>
    </row>
    <row r="97" spans="1:48" ht="13.5" customHeight="1">
      <c r="A97" s="3"/>
      <c r="B97" s="16" t="s">
        <v>28</v>
      </c>
      <c r="C97" s="17"/>
      <c r="D97" s="17"/>
      <c r="E97" s="17"/>
      <c r="F97" s="17"/>
      <c r="G97" s="18"/>
      <c r="H97" s="102" t="s">
        <v>50</v>
      </c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3"/>
      <c r="AD97" s="103"/>
      <c r="AE97" s="103"/>
      <c r="AF97" s="103"/>
      <c r="AG97" s="103"/>
      <c r="AH97" s="103"/>
      <c r="AI97" s="103"/>
      <c r="AJ97" s="103"/>
      <c r="AK97" s="103"/>
      <c r="AL97" s="103"/>
      <c r="AM97" s="104"/>
      <c r="AN97" s="4"/>
      <c r="AO97" s="4"/>
      <c r="AP97" s="4"/>
      <c r="AQ97" s="4"/>
      <c r="AR97" s="4"/>
      <c r="AS97" s="4"/>
      <c r="AT97" s="4"/>
      <c r="AU97" s="4"/>
      <c r="AV97" s="7"/>
    </row>
    <row r="98" spans="1:48" ht="13.5" customHeight="1">
      <c r="A98" s="3"/>
      <c r="B98" s="1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7"/>
    </row>
    <row r="99" spans="1:48" ht="13.5" customHeight="1">
      <c r="A99" s="3"/>
      <c r="B99" s="28" t="s">
        <v>29</v>
      </c>
      <c r="C99" s="5"/>
      <c r="D99" s="6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7"/>
    </row>
    <row r="100" spans="1:48" ht="13.5" customHeight="1">
      <c r="A100" s="3"/>
      <c r="B100" s="4"/>
      <c r="C100" s="15" t="s">
        <v>13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4"/>
      <c r="AS100" s="4"/>
      <c r="AT100" s="4"/>
      <c r="AU100" s="4"/>
      <c r="AV100" s="7"/>
    </row>
    <row r="101" spans="1:48" ht="13.5" customHeight="1">
      <c r="A101" s="3"/>
      <c r="B101" s="4"/>
      <c r="C101" s="205" t="s">
        <v>120</v>
      </c>
      <c r="D101" s="205" t="s">
        <v>5</v>
      </c>
      <c r="E101" s="206"/>
      <c r="F101" s="206"/>
      <c r="G101" s="206"/>
      <c r="H101" s="206"/>
      <c r="I101" s="206"/>
      <c r="J101" s="206"/>
      <c r="K101" s="206"/>
      <c r="L101" s="207"/>
      <c r="M101" s="206" t="s">
        <v>14</v>
      </c>
      <c r="N101" s="206"/>
      <c r="O101" s="206"/>
      <c r="P101" s="206"/>
      <c r="Q101" s="207"/>
      <c r="R101" s="205" t="s">
        <v>10</v>
      </c>
      <c r="S101" s="206"/>
      <c r="T101" s="206"/>
      <c r="U101" s="206"/>
      <c r="V101" s="206"/>
      <c r="W101" s="207"/>
      <c r="X101" s="205" t="s">
        <v>15</v>
      </c>
      <c r="Y101" s="207"/>
      <c r="Z101" s="206"/>
      <c r="AA101" s="205" t="s">
        <v>16</v>
      </c>
      <c r="AB101" s="206"/>
      <c r="AC101" s="206"/>
      <c r="AD101" s="206"/>
      <c r="AE101" s="206"/>
      <c r="AF101" s="206"/>
      <c r="AG101" s="206"/>
      <c r="AH101" s="206"/>
      <c r="AI101" s="206"/>
      <c r="AJ101" s="206"/>
      <c r="AK101" s="206"/>
      <c r="AL101" s="206"/>
      <c r="AM101" s="206"/>
      <c r="AN101" s="206"/>
      <c r="AO101" s="206"/>
      <c r="AP101" s="206"/>
      <c r="AQ101" s="207"/>
      <c r="AR101" s="4"/>
      <c r="AS101" s="4"/>
      <c r="AT101" s="4"/>
      <c r="AU101" s="4"/>
      <c r="AV101" s="7"/>
    </row>
    <row r="102" spans="1:48" ht="13.5" customHeight="1">
      <c r="A102" s="3"/>
      <c r="B102" s="4"/>
      <c r="C102" s="110">
        <v>1</v>
      </c>
      <c r="D102" s="99"/>
      <c r="E102" s="31"/>
      <c r="F102" s="31"/>
      <c r="G102" s="31"/>
      <c r="H102" s="31"/>
      <c r="I102" s="31"/>
      <c r="J102" s="31"/>
      <c r="K102" s="31"/>
      <c r="L102" s="31"/>
      <c r="M102" s="100"/>
      <c r="N102" s="31"/>
      <c r="O102" s="31"/>
      <c r="P102" s="31"/>
      <c r="Q102" s="101"/>
      <c r="R102" s="100"/>
      <c r="S102" s="31"/>
      <c r="T102" s="31"/>
      <c r="U102" s="31"/>
      <c r="V102" s="31"/>
      <c r="W102" s="31"/>
      <c r="X102" s="100"/>
      <c r="Y102" s="10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101"/>
      <c r="AR102" s="4"/>
      <c r="AS102" s="4"/>
      <c r="AT102" s="4"/>
      <c r="AU102" s="4"/>
      <c r="AV102" s="7"/>
    </row>
    <row r="103" spans="1:48" ht="13.5" customHeight="1">
      <c r="A103" s="3"/>
      <c r="B103" s="5"/>
      <c r="C103" s="110">
        <v>2</v>
      </c>
      <c r="D103" s="99"/>
      <c r="E103" s="31"/>
      <c r="F103" s="31"/>
      <c r="G103" s="31"/>
      <c r="H103" s="31"/>
      <c r="I103" s="31"/>
      <c r="J103" s="31"/>
      <c r="K103" s="31"/>
      <c r="L103" s="31"/>
      <c r="M103" s="100"/>
      <c r="N103" s="31"/>
      <c r="O103" s="31"/>
      <c r="P103" s="31"/>
      <c r="Q103" s="101"/>
      <c r="R103" s="100"/>
      <c r="S103" s="31"/>
      <c r="T103" s="31"/>
      <c r="U103" s="31"/>
      <c r="V103" s="31"/>
      <c r="W103" s="31"/>
      <c r="X103" s="100"/>
      <c r="Y103" s="10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101"/>
      <c r="AR103" s="4"/>
      <c r="AS103" s="4"/>
      <c r="AT103" s="4"/>
      <c r="AU103" s="4"/>
      <c r="AV103" s="7"/>
    </row>
    <row r="104" spans="1:48" ht="13.5" customHeight="1">
      <c r="A104" s="3"/>
      <c r="B104" s="5"/>
      <c r="C104" s="110">
        <v>3</v>
      </c>
      <c r="D104" s="99"/>
      <c r="E104" s="31"/>
      <c r="F104" s="31"/>
      <c r="G104" s="31"/>
      <c r="H104" s="31"/>
      <c r="I104" s="31"/>
      <c r="J104" s="31"/>
      <c r="K104" s="31"/>
      <c r="L104" s="31"/>
      <c r="M104" s="100"/>
      <c r="N104" s="31"/>
      <c r="O104" s="31"/>
      <c r="P104" s="31"/>
      <c r="Q104" s="101"/>
      <c r="R104" s="100"/>
      <c r="S104" s="31"/>
      <c r="T104" s="31"/>
      <c r="U104" s="31"/>
      <c r="V104" s="31"/>
      <c r="W104" s="31"/>
      <c r="X104" s="100"/>
      <c r="Y104" s="10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101"/>
      <c r="AR104" s="4"/>
      <c r="AS104" s="4"/>
      <c r="AT104" s="4"/>
      <c r="AU104" s="4"/>
      <c r="AV104" s="7"/>
    </row>
    <row r="105" spans="1:48" ht="13.5" customHeight="1">
      <c r="A105" s="3"/>
      <c r="B105" s="5"/>
      <c r="C105" s="110">
        <v>4</v>
      </c>
      <c r="D105" s="99"/>
      <c r="E105" s="31"/>
      <c r="F105" s="31"/>
      <c r="G105" s="31"/>
      <c r="H105" s="31"/>
      <c r="I105" s="31"/>
      <c r="J105" s="31"/>
      <c r="K105" s="31"/>
      <c r="L105" s="31"/>
      <c r="M105" s="100"/>
      <c r="N105" s="31"/>
      <c r="O105" s="31"/>
      <c r="P105" s="31"/>
      <c r="Q105" s="101"/>
      <c r="R105" s="100"/>
      <c r="S105" s="31"/>
      <c r="T105" s="31"/>
      <c r="U105" s="31"/>
      <c r="V105" s="31"/>
      <c r="W105" s="31"/>
      <c r="X105" s="100"/>
      <c r="Y105" s="10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101"/>
      <c r="AR105" s="4"/>
      <c r="AS105" s="4"/>
      <c r="AT105" s="4"/>
      <c r="AU105" s="4"/>
      <c r="AV105" s="7"/>
    </row>
    <row r="106" spans="1:48" ht="13.5" customHeight="1">
      <c r="A106" s="3"/>
      <c r="B106" s="5"/>
      <c r="C106" s="5"/>
      <c r="D106" s="6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7"/>
    </row>
    <row r="107" spans="1:48" ht="13.5" customHeight="1">
      <c r="A107" s="3"/>
      <c r="B107" s="5"/>
      <c r="C107" s="15" t="s">
        <v>13</v>
      </c>
      <c r="D107" s="5"/>
      <c r="E107" s="6"/>
      <c r="F107" s="4"/>
      <c r="G107" s="4"/>
      <c r="H107" s="4"/>
      <c r="I107" s="32"/>
      <c r="J107" s="33"/>
      <c r="K107" s="34"/>
      <c r="L107" s="34"/>
      <c r="M107" s="34"/>
      <c r="N107" s="34"/>
      <c r="O107" s="34"/>
      <c r="P107" s="34"/>
      <c r="Q107" s="34"/>
      <c r="R107" s="34"/>
      <c r="S107" s="4"/>
      <c r="T107" s="4"/>
      <c r="U107" s="4"/>
      <c r="V107" s="4"/>
      <c r="W107" s="34"/>
      <c r="X107" s="34"/>
      <c r="Y107" s="34"/>
      <c r="Z107" s="34"/>
      <c r="AA107" s="3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7"/>
    </row>
    <row r="108" spans="1:48" ht="13.5" customHeight="1">
      <c r="A108" s="3"/>
      <c r="B108" s="5"/>
      <c r="C108" s="205" t="s">
        <v>120</v>
      </c>
      <c r="D108" s="205" t="s">
        <v>5</v>
      </c>
      <c r="E108" s="206"/>
      <c r="F108" s="206"/>
      <c r="G108" s="206"/>
      <c r="H108" s="206"/>
      <c r="I108" s="207"/>
      <c r="J108" s="205" t="s">
        <v>17</v>
      </c>
      <c r="K108" s="206"/>
      <c r="L108" s="206"/>
      <c r="M108" s="206"/>
      <c r="N108" s="206"/>
      <c r="O108" s="206"/>
      <c r="P108" s="206"/>
      <c r="Q108" s="207"/>
      <c r="R108" s="205" t="s">
        <v>18</v>
      </c>
      <c r="S108" s="206"/>
      <c r="T108" s="206"/>
      <c r="U108" s="206"/>
      <c r="V108" s="206"/>
      <c r="W108" s="206"/>
      <c r="X108" s="206"/>
      <c r="Y108" s="206"/>
      <c r="Z108" s="206"/>
      <c r="AA108" s="207"/>
      <c r="AB108" s="205" t="s">
        <v>19</v>
      </c>
      <c r="AC108" s="206"/>
      <c r="AD108" s="206"/>
      <c r="AE108" s="206"/>
      <c r="AF108" s="206"/>
      <c r="AG108" s="206"/>
      <c r="AH108" s="206"/>
      <c r="AI108" s="206"/>
      <c r="AJ108" s="206"/>
      <c r="AK108" s="206"/>
      <c r="AL108" s="206"/>
      <c r="AM108" s="206"/>
      <c r="AN108" s="206"/>
      <c r="AO108" s="206"/>
      <c r="AP108" s="206"/>
      <c r="AQ108" s="207"/>
      <c r="AR108" s="4"/>
      <c r="AS108" s="4"/>
      <c r="AT108" s="4"/>
      <c r="AU108" s="4"/>
      <c r="AV108" s="7"/>
    </row>
    <row r="109" spans="1:48" ht="13.5" customHeight="1">
      <c r="A109" s="3"/>
      <c r="B109" s="4"/>
      <c r="C109" s="110">
        <v>1</v>
      </c>
      <c r="D109" s="99"/>
      <c r="E109" s="31"/>
      <c r="F109" s="31"/>
      <c r="G109" s="31"/>
      <c r="H109" s="31"/>
      <c r="I109" s="101"/>
      <c r="J109" s="100"/>
      <c r="K109" s="31"/>
      <c r="L109" s="31"/>
      <c r="M109" s="31"/>
      <c r="N109" s="31"/>
      <c r="O109" s="31"/>
      <c r="P109" s="31"/>
      <c r="Q109" s="101"/>
      <c r="R109" s="100"/>
      <c r="S109" s="31"/>
      <c r="T109" s="31"/>
      <c r="U109" s="31"/>
      <c r="V109" s="31"/>
      <c r="W109" s="31"/>
      <c r="X109" s="31"/>
      <c r="Y109" s="31"/>
      <c r="Z109" s="31"/>
      <c r="AA109" s="31"/>
      <c r="AB109" s="100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101"/>
      <c r="AR109" s="4"/>
      <c r="AS109" s="4"/>
      <c r="AT109" s="4"/>
      <c r="AU109" s="4"/>
      <c r="AV109" s="7"/>
    </row>
    <row r="110" spans="1:48" ht="13.5" customHeight="1">
      <c r="A110" s="3"/>
      <c r="B110" s="4"/>
      <c r="C110" s="110">
        <v>2</v>
      </c>
      <c r="D110" s="99"/>
      <c r="E110" s="31"/>
      <c r="F110" s="31"/>
      <c r="G110" s="31"/>
      <c r="H110" s="31"/>
      <c r="I110" s="101"/>
      <c r="J110" s="100"/>
      <c r="K110" s="31"/>
      <c r="L110" s="31"/>
      <c r="M110" s="31"/>
      <c r="N110" s="31"/>
      <c r="O110" s="31"/>
      <c r="P110" s="31"/>
      <c r="Q110" s="101"/>
      <c r="R110" s="100"/>
      <c r="S110" s="31"/>
      <c r="T110" s="31"/>
      <c r="U110" s="31"/>
      <c r="V110" s="31"/>
      <c r="W110" s="31"/>
      <c r="X110" s="31"/>
      <c r="Y110" s="31"/>
      <c r="Z110" s="31"/>
      <c r="AA110" s="31"/>
      <c r="AB110" s="100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101"/>
      <c r="AR110" s="4"/>
      <c r="AS110" s="4"/>
      <c r="AT110" s="4"/>
      <c r="AU110" s="4"/>
      <c r="AV110" s="7"/>
    </row>
    <row r="111" spans="1:48" ht="13.5" customHeight="1">
      <c r="A111" s="3"/>
      <c r="B111" s="4"/>
      <c r="C111" s="110">
        <v>3</v>
      </c>
      <c r="D111" s="99"/>
      <c r="E111" s="31"/>
      <c r="F111" s="31"/>
      <c r="G111" s="31"/>
      <c r="H111" s="31"/>
      <c r="I111" s="101"/>
      <c r="J111" s="100"/>
      <c r="K111" s="31"/>
      <c r="L111" s="31"/>
      <c r="M111" s="31"/>
      <c r="N111" s="31"/>
      <c r="O111" s="31"/>
      <c r="P111" s="31"/>
      <c r="Q111" s="101"/>
      <c r="R111" s="100"/>
      <c r="S111" s="31"/>
      <c r="T111" s="31"/>
      <c r="U111" s="31"/>
      <c r="V111" s="31"/>
      <c r="W111" s="31"/>
      <c r="X111" s="31"/>
      <c r="Y111" s="31"/>
      <c r="Z111" s="31"/>
      <c r="AA111" s="31"/>
      <c r="AB111" s="100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101"/>
      <c r="AR111" s="4"/>
      <c r="AS111" s="4"/>
      <c r="AT111" s="4"/>
      <c r="AU111" s="4"/>
      <c r="AV111" s="7"/>
    </row>
    <row r="112" spans="1:48" ht="13.5" customHeight="1">
      <c r="A112" s="3"/>
      <c r="B112" s="4"/>
      <c r="C112" s="5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7"/>
    </row>
    <row r="113" spans="1:51" ht="13.5" customHeight="1">
      <c r="A113" s="3"/>
      <c r="B113" s="4"/>
      <c r="C113" s="15" t="s">
        <v>20</v>
      </c>
      <c r="D113" s="5"/>
      <c r="E113" s="6"/>
      <c r="F113" s="4"/>
      <c r="G113" s="4"/>
      <c r="H113" s="4"/>
      <c r="I113" s="32"/>
      <c r="J113" s="33"/>
      <c r="K113" s="34"/>
      <c r="L113" s="34"/>
      <c r="M113" s="34"/>
      <c r="N113" s="34"/>
      <c r="O113" s="34"/>
      <c r="P113" s="34"/>
      <c r="Q113" s="34"/>
      <c r="R113" s="34"/>
      <c r="S113" s="4"/>
      <c r="T113" s="4"/>
      <c r="U113" s="4"/>
      <c r="V113" s="4"/>
      <c r="W113" s="34"/>
      <c r="X113" s="34"/>
      <c r="Y113" s="34"/>
      <c r="Z113" s="34"/>
      <c r="AA113" s="3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7"/>
    </row>
    <row r="114" spans="1:51" ht="13.5" customHeight="1">
      <c r="A114" s="3"/>
      <c r="B114" s="4"/>
      <c r="C114" s="205" t="s">
        <v>120</v>
      </c>
      <c r="D114" s="205" t="s">
        <v>5</v>
      </c>
      <c r="E114" s="206"/>
      <c r="F114" s="206"/>
      <c r="G114" s="206"/>
      <c r="H114" s="206"/>
      <c r="I114" s="207"/>
      <c r="J114" s="205" t="s">
        <v>21</v>
      </c>
      <c r="K114" s="206"/>
      <c r="L114" s="206"/>
      <c r="M114" s="206"/>
      <c r="N114" s="206"/>
      <c r="O114" s="206"/>
      <c r="P114" s="206"/>
      <c r="Q114" s="207"/>
      <c r="R114" s="205" t="s">
        <v>22</v>
      </c>
      <c r="S114" s="206"/>
      <c r="T114" s="206"/>
      <c r="U114" s="206"/>
      <c r="V114" s="206"/>
      <c r="W114" s="206"/>
      <c r="X114" s="206"/>
      <c r="Y114" s="206"/>
      <c r="Z114" s="206"/>
      <c r="AA114" s="207"/>
      <c r="AB114" s="205" t="s">
        <v>23</v>
      </c>
      <c r="AC114" s="206"/>
      <c r="AD114" s="206"/>
      <c r="AE114" s="206"/>
      <c r="AF114" s="206"/>
      <c r="AG114" s="206"/>
      <c r="AH114" s="206"/>
      <c r="AI114" s="206"/>
      <c r="AJ114" s="206"/>
      <c r="AK114" s="206"/>
      <c r="AL114" s="206"/>
      <c r="AM114" s="206"/>
      <c r="AN114" s="206"/>
      <c r="AO114" s="206"/>
      <c r="AP114" s="206"/>
      <c r="AQ114" s="207"/>
      <c r="AR114" s="4"/>
      <c r="AS114" s="4"/>
      <c r="AT114" s="4"/>
      <c r="AU114" s="4"/>
      <c r="AV114" s="7"/>
    </row>
    <row r="115" spans="1:51" ht="13.5" customHeight="1">
      <c r="A115" s="3"/>
      <c r="B115" s="4"/>
      <c r="C115" s="110">
        <v>1</v>
      </c>
      <c r="D115" s="99"/>
      <c r="E115" s="31"/>
      <c r="F115" s="31"/>
      <c r="G115" s="31"/>
      <c r="H115" s="31"/>
      <c r="I115" s="101"/>
      <c r="J115" s="100"/>
      <c r="K115" s="31"/>
      <c r="L115" s="31"/>
      <c r="M115" s="31"/>
      <c r="N115" s="31"/>
      <c r="O115" s="31"/>
      <c r="P115" s="31"/>
      <c r="Q115" s="101"/>
      <c r="R115" s="100"/>
      <c r="S115" s="31"/>
      <c r="T115" s="31"/>
      <c r="U115" s="31"/>
      <c r="V115" s="31"/>
      <c r="W115" s="31"/>
      <c r="X115" s="31"/>
      <c r="Y115" s="31"/>
      <c r="Z115" s="31"/>
      <c r="AA115" s="31"/>
      <c r="AB115" s="100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101"/>
      <c r="AR115" s="4"/>
      <c r="AS115" s="4"/>
      <c r="AT115" s="4"/>
      <c r="AU115" s="4"/>
      <c r="AV115" s="7"/>
    </row>
    <row r="116" spans="1:51" ht="13.5" customHeight="1">
      <c r="A116" s="3"/>
      <c r="B116" s="4"/>
      <c r="C116" s="110">
        <v>2</v>
      </c>
      <c r="D116" s="99"/>
      <c r="E116" s="31"/>
      <c r="F116" s="31"/>
      <c r="G116" s="31"/>
      <c r="H116" s="31"/>
      <c r="I116" s="101"/>
      <c r="J116" s="100"/>
      <c r="K116" s="31"/>
      <c r="L116" s="31"/>
      <c r="M116" s="31"/>
      <c r="N116" s="31"/>
      <c r="O116" s="31"/>
      <c r="P116" s="31"/>
      <c r="Q116" s="101"/>
      <c r="R116" s="100"/>
      <c r="S116" s="31"/>
      <c r="T116" s="31"/>
      <c r="U116" s="31"/>
      <c r="V116" s="31"/>
      <c r="W116" s="31"/>
      <c r="X116" s="31"/>
      <c r="Y116" s="31"/>
      <c r="Z116" s="31"/>
      <c r="AA116" s="31"/>
      <c r="AB116" s="100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101"/>
      <c r="AR116" s="4"/>
      <c r="AS116" s="4"/>
      <c r="AT116" s="4"/>
      <c r="AU116" s="4"/>
      <c r="AV116" s="7"/>
    </row>
    <row r="117" spans="1:51" ht="13.5" customHeight="1">
      <c r="A117" s="3"/>
      <c r="B117" s="4"/>
      <c r="C117" s="110">
        <v>3</v>
      </c>
      <c r="D117" s="99"/>
      <c r="E117" s="31"/>
      <c r="F117" s="31"/>
      <c r="G117" s="31"/>
      <c r="H117" s="31"/>
      <c r="I117" s="101"/>
      <c r="J117" s="100"/>
      <c r="K117" s="31"/>
      <c r="L117" s="31"/>
      <c r="M117" s="31"/>
      <c r="N117" s="31"/>
      <c r="O117" s="31"/>
      <c r="P117" s="31"/>
      <c r="Q117" s="101"/>
      <c r="R117" s="100"/>
      <c r="S117" s="31"/>
      <c r="T117" s="31"/>
      <c r="U117" s="31"/>
      <c r="V117" s="31"/>
      <c r="W117" s="31"/>
      <c r="X117" s="31"/>
      <c r="Y117" s="31"/>
      <c r="Z117" s="31"/>
      <c r="AA117" s="31"/>
      <c r="AB117" s="100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101"/>
      <c r="AR117" s="4"/>
      <c r="AS117" s="4"/>
      <c r="AT117" s="4"/>
      <c r="AU117" s="4"/>
      <c r="AV117" s="7"/>
    </row>
    <row r="118" spans="1:51" ht="13.5" customHeight="1">
      <c r="A118" s="3"/>
      <c r="B118" s="4"/>
      <c r="C118" s="5"/>
      <c r="D118" s="6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7"/>
    </row>
    <row r="119" spans="1:51" ht="13.5" customHeight="1">
      <c r="A119" s="3"/>
      <c r="B119" s="4"/>
      <c r="C119" s="15" t="s">
        <v>24</v>
      </c>
      <c r="D119" s="4"/>
      <c r="E119" s="6"/>
      <c r="F119" s="4"/>
      <c r="G119" s="4"/>
      <c r="H119" s="4"/>
      <c r="I119" s="32"/>
      <c r="J119" s="33"/>
      <c r="K119" s="34"/>
      <c r="L119" s="34"/>
      <c r="M119" s="34"/>
      <c r="N119" s="34"/>
      <c r="O119" s="34"/>
      <c r="P119" s="34"/>
      <c r="Q119" s="34"/>
      <c r="R119" s="34"/>
      <c r="S119" s="4"/>
      <c r="T119" s="4"/>
      <c r="U119" s="4"/>
      <c r="V119" s="4"/>
      <c r="W119" s="34"/>
      <c r="X119" s="34"/>
      <c r="Y119" s="34"/>
      <c r="Z119" s="34"/>
      <c r="AA119" s="3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7"/>
    </row>
    <row r="120" spans="1:51" ht="13.5" customHeight="1">
      <c r="A120" s="3"/>
      <c r="B120" s="4"/>
      <c r="C120" s="205" t="s">
        <v>120</v>
      </c>
      <c r="D120" s="205" t="s">
        <v>5</v>
      </c>
      <c r="E120" s="206"/>
      <c r="F120" s="206"/>
      <c r="G120" s="206"/>
      <c r="H120" s="206"/>
      <c r="I120" s="207"/>
      <c r="J120" s="206" t="s">
        <v>14</v>
      </c>
      <c r="K120" s="206"/>
      <c r="L120" s="206"/>
      <c r="M120" s="206"/>
      <c r="N120" s="206"/>
      <c r="O120" s="205" t="s">
        <v>17</v>
      </c>
      <c r="P120" s="206"/>
      <c r="Q120" s="206"/>
      <c r="R120" s="206"/>
      <c r="S120" s="206"/>
      <c r="T120" s="206"/>
      <c r="U120" s="206"/>
      <c r="V120" s="207"/>
      <c r="W120" s="205" t="s">
        <v>18</v>
      </c>
      <c r="X120" s="206"/>
      <c r="Y120" s="206"/>
      <c r="Z120" s="206"/>
      <c r="AA120" s="206"/>
      <c r="AB120" s="206"/>
      <c r="AC120" s="206"/>
      <c r="AD120" s="206"/>
      <c r="AE120" s="205" t="s">
        <v>19</v>
      </c>
      <c r="AF120" s="206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7"/>
      <c r="AR120" s="4"/>
      <c r="AS120" s="4"/>
      <c r="AT120" s="4"/>
      <c r="AU120" s="4"/>
      <c r="AV120" s="7"/>
    </row>
    <row r="121" spans="1:51" ht="13.5" customHeight="1">
      <c r="A121" s="3"/>
      <c r="B121" s="4"/>
      <c r="C121" s="110">
        <v>1</v>
      </c>
      <c r="D121" s="100"/>
      <c r="E121" s="31"/>
      <c r="F121" s="31"/>
      <c r="G121" s="31"/>
      <c r="H121" s="31"/>
      <c r="I121" s="101"/>
      <c r="J121" s="31"/>
      <c r="K121" s="31"/>
      <c r="L121" s="31"/>
      <c r="M121" s="31"/>
      <c r="N121" s="31"/>
      <c r="O121" s="100"/>
      <c r="P121" s="31"/>
      <c r="Q121" s="31"/>
      <c r="R121" s="31"/>
      <c r="S121" s="31"/>
      <c r="T121" s="31"/>
      <c r="U121" s="31"/>
      <c r="V121" s="31"/>
      <c r="W121" s="100"/>
      <c r="X121" s="31"/>
      <c r="Y121" s="31"/>
      <c r="Z121" s="31"/>
      <c r="AA121" s="31"/>
      <c r="AB121" s="31"/>
      <c r="AC121" s="31"/>
      <c r="AD121" s="31"/>
      <c r="AE121" s="100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101"/>
      <c r="AR121" s="4"/>
      <c r="AS121" s="4"/>
      <c r="AT121" s="4"/>
      <c r="AU121" s="4"/>
      <c r="AV121" s="7"/>
    </row>
    <row r="122" spans="1:51" ht="13.5" customHeight="1">
      <c r="A122" s="3"/>
      <c r="B122" s="4"/>
      <c r="C122" s="110">
        <v>2</v>
      </c>
      <c r="D122" s="100"/>
      <c r="E122" s="31"/>
      <c r="F122" s="31"/>
      <c r="G122" s="31"/>
      <c r="H122" s="31"/>
      <c r="I122" s="101"/>
      <c r="J122" s="31"/>
      <c r="K122" s="31"/>
      <c r="L122" s="31"/>
      <c r="M122" s="31"/>
      <c r="N122" s="31"/>
      <c r="O122" s="100"/>
      <c r="P122" s="31"/>
      <c r="Q122" s="31"/>
      <c r="R122" s="31"/>
      <c r="S122" s="31"/>
      <c r="T122" s="31"/>
      <c r="U122" s="31"/>
      <c r="V122" s="31"/>
      <c r="W122" s="100"/>
      <c r="X122" s="31"/>
      <c r="Y122" s="31"/>
      <c r="Z122" s="31"/>
      <c r="AA122" s="31"/>
      <c r="AB122" s="31"/>
      <c r="AC122" s="31"/>
      <c r="AD122" s="31"/>
      <c r="AE122" s="100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101"/>
      <c r="AR122" s="4"/>
      <c r="AS122" s="4"/>
      <c r="AT122" s="4"/>
      <c r="AU122" s="4"/>
      <c r="AV122" s="7"/>
    </row>
    <row r="123" spans="1:51" ht="13.5" customHeight="1">
      <c r="A123" s="3"/>
      <c r="B123" s="4"/>
      <c r="C123" s="110">
        <v>3</v>
      </c>
      <c r="D123" s="100"/>
      <c r="E123" s="31"/>
      <c r="F123" s="31"/>
      <c r="G123" s="31"/>
      <c r="H123" s="31"/>
      <c r="I123" s="101"/>
      <c r="J123" s="31"/>
      <c r="K123" s="31"/>
      <c r="L123" s="31"/>
      <c r="M123" s="31"/>
      <c r="N123" s="31"/>
      <c r="O123" s="100"/>
      <c r="P123" s="31"/>
      <c r="Q123" s="31"/>
      <c r="R123" s="31"/>
      <c r="S123" s="31"/>
      <c r="T123" s="31"/>
      <c r="U123" s="31"/>
      <c r="V123" s="31"/>
      <c r="W123" s="100"/>
      <c r="X123" s="31"/>
      <c r="Y123" s="31"/>
      <c r="Z123" s="31"/>
      <c r="AA123" s="31"/>
      <c r="AB123" s="31"/>
      <c r="AC123" s="31"/>
      <c r="AD123" s="31"/>
      <c r="AE123" s="100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101"/>
      <c r="AR123" s="4"/>
      <c r="AS123" s="4"/>
      <c r="AT123" s="4"/>
      <c r="AU123" s="4"/>
      <c r="AV123" s="7"/>
    </row>
    <row r="124" spans="1:51" ht="13.5" customHeight="1">
      <c r="A124" s="3"/>
      <c r="B124" s="4"/>
      <c r="C124" s="110">
        <v>4</v>
      </c>
      <c r="D124" s="100"/>
      <c r="E124" s="31"/>
      <c r="F124" s="31"/>
      <c r="G124" s="31"/>
      <c r="H124" s="31"/>
      <c r="I124" s="101"/>
      <c r="J124" s="31"/>
      <c r="K124" s="31"/>
      <c r="L124" s="31"/>
      <c r="M124" s="31"/>
      <c r="N124" s="31"/>
      <c r="O124" s="100"/>
      <c r="P124" s="31"/>
      <c r="Q124" s="31"/>
      <c r="R124" s="31"/>
      <c r="S124" s="31"/>
      <c r="T124" s="31"/>
      <c r="U124" s="31"/>
      <c r="V124" s="31"/>
      <c r="W124" s="100"/>
      <c r="X124" s="31"/>
      <c r="Y124" s="31"/>
      <c r="Z124" s="31"/>
      <c r="AA124" s="31"/>
      <c r="AB124" s="31"/>
      <c r="AC124" s="31"/>
      <c r="AD124" s="31"/>
      <c r="AE124" s="100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101"/>
      <c r="AR124" s="4"/>
      <c r="AS124" s="4"/>
      <c r="AT124" s="4"/>
      <c r="AU124" s="4"/>
      <c r="AV124" s="7"/>
    </row>
    <row r="125" spans="1:51" ht="13.5" customHeight="1">
      <c r="A125" s="3"/>
      <c r="B125" s="4"/>
      <c r="C125" s="110">
        <v>5</v>
      </c>
      <c r="D125" s="100"/>
      <c r="E125" s="31"/>
      <c r="F125" s="31"/>
      <c r="G125" s="31"/>
      <c r="H125" s="31"/>
      <c r="I125" s="101"/>
      <c r="J125" s="31"/>
      <c r="K125" s="31"/>
      <c r="L125" s="31"/>
      <c r="M125" s="31"/>
      <c r="N125" s="31"/>
      <c r="O125" s="100"/>
      <c r="P125" s="31"/>
      <c r="Q125" s="31"/>
      <c r="R125" s="31"/>
      <c r="S125" s="31"/>
      <c r="T125" s="31"/>
      <c r="U125" s="31"/>
      <c r="V125" s="31"/>
      <c r="W125" s="100"/>
      <c r="X125" s="31"/>
      <c r="Y125" s="31"/>
      <c r="Z125" s="31"/>
      <c r="AA125" s="31"/>
      <c r="AB125" s="31"/>
      <c r="AC125" s="31"/>
      <c r="AD125" s="31"/>
      <c r="AE125" s="100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101"/>
      <c r="AR125" s="4"/>
      <c r="AS125" s="4"/>
      <c r="AT125" s="4"/>
      <c r="AU125" s="4"/>
      <c r="AV125" s="7"/>
    </row>
    <row r="126" spans="1:51" ht="13.5" customHeight="1">
      <c r="A126" s="3"/>
      <c r="B126" s="4"/>
      <c r="C126" s="5"/>
      <c r="D126" s="6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7"/>
    </row>
    <row r="127" spans="1:51" ht="13.5" customHeight="1">
      <c r="A127" s="3"/>
      <c r="B127" s="4"/>
      <c r="C127" s="5"/>
      <c r="D127" s="6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7"/>
    </row>
    <row r="128" spans="1:51" ht="13.5" customHeight="1">
      <c r="A128" s="3"/>
      <c r="B128" s="4"/>
      <c r="C128" s="5"/>
      <c r="D128" s="6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7"/>
      <c r="AX128" s="50"/>
      <c r="AY128" s="50"/>
    </row>
    <row r="129" spans="1:51" ht="13.5" customHeight="1" thickBot="1">
      <c r="A129" s="8"/>
      <c r="B129" s="9"/>
      <c r="C129" s="10"/>
      <c r="D129" s="11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12"/>
      <c r="AX129" s="223" t="str">
        <f>HYPERLINK("#$A$1","目次へ")</f>
        <v>目次へ</v>
      </c>
      <c r="AY129" s="224"/>
    </row>
    <row r="130" spans="1:51" ht="13.5" customHeight="1">
      <c r="A130" s="225" t="s">
        <v>39</v>
      </c>
      <c r="B130" s="226"/>
      <c r="C130" s="227"/>
      <c r="D130" s="228" t="str">
        <f>システム名</f>
        <v>○✕システム</v>
      </c>
      <c r="E130" s="229"/>
      <c r="F130" s="229"/>
      <c r="G130" s="229"/>
      <c r="H130" s="229"/>
      <c r="I130" s="229"/>
      <c r="J130" s="229"/>
      <c r="K130" s="229"/>
      <c r="L130" s="229"/>
      <c r="M130" s="229"/>
      <c r="N130" s="229"/>
      <c r="O130" s="230"/>
      <c r="P130" s="231" t="s">
        <v>0</v>
      </c>
      <c r="Q130" s="226"/>
      <c r="R130" s="227"/>
      <c r="S130" s="232" t="str">
        <f>IF(顧客名&lt;&gt;"",顧客名,"")</f>
        <v>○✕○✕株式会社</v>
      </c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4"/>
      <c r="AG130" s="235" t="s">
        <v>35</v>
      </c>
      <c r="AH130" s="235"/>
      <c r="AI130" s="235"/>
      <c r="AJ130" s="236">
        <f>作成日</f>
        <v>44287</v>
      </c>
      <c r="AK130" s="237"/>
      <c r="AL130" s="237"/>
      <c r="AM130" s="237"/>
      <c r="AN130" s="237"/>
      <c r="AO130" s="235" t="s">
        <v>36</v>
      </c>
      <c r="AP130" s="235"/>
      <c r="AQ130" s="235"/>
      <c r="AR130" s="238" t="str">
        <f>作成者</f>
        <v>○○　✕✕</v>
      </c>
      <c r="AS130" s="239"/>
      <c r="AT130" s="239"/>
      <c r="AU130" s="239"/>
      <c r="AV130" s="240"/>
      <c r="AX130" s="256"/>
      <c r="AY130" s="257"/>
    </row>
    <row r="131" spans="1:51" ht="13.5" customHeight="1">
      <c r="A131" s="242" t="s">
        <v>30</v>
      </c>
      <c r="B131" s="243"/>
      <c r="C131" s="244"/>
      <c r="D131" s="245" t="s">
        <v>45</v>
      </c>
      <c r="E131" s="246"/>
      <c r="F131" s="246"/>
      <c r="G131" s="246"/>
      <c r="H131" s="246"/>
      <c r="I131" s="246"/>
      <c r="J131" s="246"/>
      <c r="K131" s="246"/>
      <c r="L131" s="246"/>
      <c r="M131" s="246"/>
      <c r="N131" s="246"/>
      <c r="O131" s="247"/>
      <c r="P131" s="248" t="s">
        <v>2</v>
      </c>
      <c r="Q131" s="243"/>
      <c r="R131" s="244"/>
      <c r="S131" s="258" t="s">
        <v>40</v>
      </c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E131" s="259"/>
      <c r="AF131" s="260"/>
      <c r="AG131" s="250" t="s">
        <v>34</v>
      </c>
      <c r="AH131" s="250"/>
      <c r="AI131" s="250"/>
      <c r="AJ131" s="251"/>
      <c r="AK131" s="252"/>
      <c r="AL131" s="252"/>
      <c r="AM131" s="252"/>
      <c r="AN131" s="252"/>
      <c r="AO131" s="250" t="s">
        <v>33</v>
      </c>
      <c r="AP131" s="250"/>
      <c r="AQ131" s="250"/>
      <c r="AR131" s="253"/>
      <c r="AS131" s="254"/>
      <c r="AT131" s="254"/>
      <c r="AU131" s="254"/>
      <c r="AV131" s="255"/>
      <c r="AX131" s="257"/>
      <c r="AY131" s="257"/>
    </row>
    <row r="132" spans="1:51" ht="13.5" customHeight="1">
      <c r="A132" s="51"/>
      <c r="B132" s="13"/>
      <c r="C132" s="13"/>
      <c r="D132" s="52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53"/>
      <c r="AX132" s="50"/>
      <c r="AY132" s="50"/>
    </row>
    <row r="133" spans="1:51" ht="13.5" customHeight="1">
      <c r="A133" s="51"/>
      <c r="B133" s="14" t="s">
        <v>57</v>
      </c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53"/>
      <c r="AX133" s="50"/>
      <c r="AY133" s="50"/>
    </row>
    <row r="134" spans="1:51" ht="13.5" customHeight="1">
      <c r="A134" s="51"/>
      <c r="AV134" s="53"/>
      <c r="AX134" s="50"/>
      <c r="AY134" s="50"/>
    </row>
    <row r="135" spans="1:51" ht="13.5" customHeight="1">
      <c r="A135" s="51"/>
      <c r="B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59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1"/>
      <c r="AM135" s="111"/>
      <c r="AN135" s="111"/>
      <c r="AO135" s="111"/>
      <c r="AP135" s="111"/>
      <c r="AQ135" s="111"/>
      <c r="AR135" s="111"/>
      <c r="AS135" s="111"/>
      <c r="AT135" s="111"/>
      <c r="AU135" s="111"/>
      <c r="AV135" s="53"/>
    </row>
    <row r="136" spans="1:51" ht="13.5" customHeight="1">
      <c r="A136" s="51"/>
      <c r="C136" s="113"/>
      <c r="D136" s="113"/>
      <c r="AV136" s="53"/>
    </row>
    <row r="137" spans="1:51" ht="13.5" customHeight="1">
      <c r="A137" s="51"/>
      <c r="B137" s="15" t="s">
        <v>58</v>
      </c>
      <c r="C137" s="4"/>
      <c r="D137" s="6"/>
      <c r="E137" s="4"/>
      <c r="F137" s="4"/>
      <c r="G137" s="4"/>
      <c r="H137" s="32"/>
      <c r="I137" s="33"/>
      <c r="J137" s="34"/>
      <c r="K137" s="34"/>
      <c r="L137" s="34"/>
      <c r="M137" s="34"/>
      <c r="N137" s="34"/>
      <c r="O137" s="34"/>
      <c r="P137" s="34"/>
      <c r="Q137" s="34"/>
      <c r="R137" s="4"/>
      <c r="S137" s="4"/>
      <c r="T137" s="4"/>
      <c r="U137" s="4"/>
      <c r="V137" s="34"/>
      <c r="W137" s="34"/>
      <c r="X137" s="34"/>
      <c r="Y137" s="34"/>
      <c r="Z137" s="3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13"/>
      <c r="AR137" s="13"/>
      <c r="AS137" s="13"/>
      <c r="AT137" s="13"/>
      <c r="AV137" s="53"/>
    </row>
    <row r="138" spans="1:51" ht="13.5" customHeight="1">
      <c r="A138" s="51"/>
      <c r="B138" s="205" t="s">
        <v>181</v>
      </c>
      <c r="C138" s="205" t="s">
        <v>41</v>
      </c>
      <c r="D138" s="206"/>
      <c r="E138" s="206"/>
      <c r="F138" s="206"/>
      <c r="G138" s="206"/>
      <c r="H138" s="206"/>
      <c r="I138" s="206"/>
      <c r="J138" s="248" t="s">
        <v>44</v>
      </c>
      <c r="K138" s="243"/>
      <c r="L138" s="243"/>
      <c r="M138" s="243"/>
      <c r="N138" s="244"/>
      <c r="O138" s="248" t="s">
        <v>42</v>
      </c>
      <c r="P138" s="243"/>
      <c r="Q138" s="243"/>
      <c r="R138" s="244"/>
      <c r="S138" s="248" t="s">
        <v>62</v>
      </c>
      <c r="T138" s="243"/>
      <c r="U138" s="243"/>
      <c r="V138" s="244"/>
      <c r="W138" s="248" t="s">
        <v>43</v>
      </c>
      <c r="X138" s="243"/>
      <c r="Y138" s="244"/>
      <c r="Z138" s="206"/>
      <c r="AA138" s="248" t="s">
        <v>15</v>
      </c>
      <c r="AB138" s="244"/>
      <c r="AC138" s="248" t="s">
        <v>10</v>
      </c>
      <c r="AD138" s="243"/>
      <c r="AE138" s="243"/>
      <c r="AF138" s="244"/>
      <c r="AG138" s="248" t="s">
        <v>63</v>
      </c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4"/>
      <c r="AV138" s="53"/>
    </row>
    <row r="139" spans="1:51" ht="13.5" customHeight="1">
      <c r="A139" s="51"/>
      <c r="B139" s="110">
        <v>1</v>
      </c>
      <c r="C139" s="269" t="s">
        <v>52</v>
      </c>
      <c r="D139" s="270"/>
      <c r="E139" s="270"/>
      <c r="F139" s="270"/>
      <c r="G139" s="270"/>
      <c r="H139" s="270"/>
      <c r="I139" s="271"/>
      <c r="J139" s="269" t="s">
        <v>89</v>
      </c>
      <c r="K139" s="272"/>
      <c r="L139" s="272"/>
      <c r="M139" s="272"/>
      <c r="N139" s="273"/>
      <c r="O139" s="269"/>
      <c r="P139" s="270"/>
      <c r="Q139" s="270"/>
      <c r="R139" s="271"/>
      <c r="S139" s="278" t="s">
        <v>64</v>
      </c>
      <c r="T139" s="279"/>
      <c r="U139" s="279"/>
      <c r="V139" s="280"/>
      <c r="W139" s="245"/>
      <c r="X139" s="277"/>
      <c r="Y139" s="274"/>
      <c r="Z139" s="162"/>
      <c r="AA139" s="245" t="s">
        <v>76</v>
      </c>
      <c r="AB139" s="274"/>
      <c r="AC139" s="269"/>
      <c r="AD139" s="270"/>
      <c r="AE139" s="270"/>
      <c r="AF139" s="271"/>
      <c r="AG139" s="269"/>
      <c r="AH139" s="270"/>
      <c r="AI139" s="270"/>
      <c r="AJ139" s="270"/>
      <c r="AK139" s="270"/>
      <c r="AL139" s="270"/>
      <c r="AM139" s="270"/>
      <c r="AN139" s="270"/>
      <c r="AO139" s="270"/>
      <c r="AP139" s="270"/>
      <c r="AQ139" s="270"/>
      <c r="AR139" s="270"/>
      <c r="AS139" s="270"/>
      <c r="AT139" s="271"/>
      <c r="AV139" s="53"/>
    </row>
    <row r="140" spans="1:51" ht="13.5" customHeight="1">
      <c r="A140" s="51"/>
      <c r="B140" s="110">
        <v>2</v>
      </c>
      <c r="C140" s="269" t="s">
        <v>53</v>
      </c>
      <c r="D140" s="270"/>
      <c r="E140" s="270"/>
      <c r="F140" s="270"/>
      <c r="G140" s="270"/>
      <c r="H140" s="270"/>
      <c r="I140" s="271"/>
      <c r="J140" s="269" t="s">
        <v>60</v>
      </c>
      <c r="K140" s="272"/>
      <c r="L140" s="272"/>
      <c r="M140" s="272"/>
      <c r="N140" s="273"/>
      <c r="O140" s="269" t="s">
        <v>47</v>
      </c>
      <c r="P140" s="270"/>
      <c r="Q140" s="270"/>
      <c r="R140" s="271"/>
      <c r="S140" s="281" t="s">
        <v>65</v>
      </c>
      <c r="T140" s="282"/>
      <c r="U140" s="282"/>
      <c r="V140" s="283"/>
      <c r="W140" s="245" t="s">
        <v>90</v>
      </c>
      <c r="X140" s="277"/>
      <c r="Y140" s="274"/>
      <c r="Z140" s="162"/>
      <c r="AA140" s="245" t="s">
        <v>76</v>
      </c>
      <c r="AB140" s="274"/>
      <c r="AC140" s="269"/>
      <c r="AD140" s="270"/>
      <c r="AE140" s="270"/>
      <c r="AF140" s="271"/>
      <c r="AG140" s="269"/>
      <c r="AH140" s="270"/>
      <c r="AI140" s="270"/>
      <c r="AJ140" s="270"/>
      <c r="AK140" s="270"/>
      <c r="AL140" s="270"/>
      <c r="AM140" s="270"/>
      <c r="AN140" s="270"/>
      <c r="AO140" s="270"/>
      <c r="AP140" s="270"/>
      <c r="AQ140" s="270"/>
      <c r="AR140" s="270"/>
      <c r="AS140" s="270"/>
      <c r="AT140" s="271"/>
      <c r="AU140" s="13"/>
      <c r="AV140" s="53"/>
    </row>
    <row r="141" spans="1:51" ht="13.5" customHeight="1">
      <c r="A141" s="51"/>
      <c r="B141" s="110">
        <v>3</v>
      </c>
      <c r="C141" s="269" t="s">
        <v>78</v>
      </c>
      <c r="D141" s="272"/>
      <c r="E141" s="272"/>
      <c r="F141" s="272"/>
      <c r="G141" s="272"/>
      <c r="H141" s="272"/>
      <c r="I141" s="273"/>
      <c r="J141" s="269" t="s">
        <v>59</v>
      </c>
      <c r="K141" s="272"/>
      <c r="L141" s="272"/>
      <c r="M141" s="272"/>
      <c r="N141" s="273"/>
      <c r="O141" s="269" t="s">
        <v>49</v>
      </c>
      <c r="P141" s="270"/>
      <c r="Q141" s="270"/>
      <c r="R141" s="271"/>
      <c r="S141" s="278" t="s">
        <v>66</v>
      </c>
      <c r="T141" s="279"/>
      <c r="U141" s="279"/>
      <c r="V141" s="280"/>
      <c r="W141" s="245">
        <v>200</v>
      </c>
      <c r="X141" s="277"/>
      <c r="Y141" s="274"/>
      <c r="Z141" s="162"/>
      <c r="AA141" s="245" t="s">
        <v>76</v>
      </c>
      <c r="AB141" s="274"/>
      <c r="AC141" s="269"/>
      <c r="AD141" s="270"/>
      <c r="AE141" s="270"/>
      <c r="AF141" s="271"/>
      <c r="AG141" s="269"/>
      <c r="AH141" s="270"/>
      <c r="AI141" s="270"/>
      <c r="AJ141" s="270"/>
      <c r="AK141" s="270"/>
      <c r="AL141" s="270"/>
      <c r="AM141" s="270"/>
      <c r="AN141" s="270"/>
      <c r="AO141" s="270"/>
      <c r="AP141" s="270"/>
      <c r="AQ141" s="270"/>
      <c r="AR141" s="270"/>
      <c r="AS141" s="270"/>
      <c r="AT141" s="271"/>
      <c r="AU141" s="13"/>
      <c r="AV141" s="53"/>
    </row>
    <row r="142" spans="1:51" ht="13.5" customHeight="1">
      <c r="A142" s="51"/>
      <c r="B142" s="110">
        <v>4</v>
      </c>
      <c r="C142" s="269" t="s">
        <v>79</v>
      </c>
      <c r="D142" s="272"/>
      <c r="E142" s="272"/>
      <c r="F142" s="272"/>
      <c r="G142" s="272"/>
      <c r="H142" s="272"/>
      <c r="I142" s="273"/>
      <c r="J142" s="269" t="s">
        <v>87</v>
      </c>
      <c r="K142" s="272"/>
      <c r="L142" s="272"/>
      <c r="M142" s="272"/>
      <c r="N142" s="273"/>
      <c r="O142" s="269"/>
      <c r="P142" s="270"/>
      <c r="Q142" s="270"/>
      <c r="R142" s="271"/>
      <c r="S142" s="278" t="s">
        <v>67</v>
      </c>
      <c r="T142" s="279"/>
      <c r="U142" s="279"/>
      <c r="V142" s="280"/>
      <c r="W142" s="245">
        <v>20</v>
      </c>
      <c r="X142" s="277"/>
      <c r="Y142" s="274"/>
      <c r="Z142" s="162"/>
      <c r="AA142" s="245" t="s">
        <v>76</v>
      </c>
      <c r="AB142" s="274"/>
      <c r="AC142" s="269"/>
      <c r="AD142" s="270"/>
      <c r="AE142" s="270"/>
      <c r="AF142" s="271"/>
      <c r="AG142" s="269"/>
      <c r="AH142" s="270"/>
      <c r="AI142" s="270"/>
      <c r="AJ142" s="270"/>
      <c r="AK142" s="270"/>
      <c r="AL142" s="270"/>
      <c r="AM142" s="270"/>
      <c r="AN142" s="270"/>
      <c r="AO142" s="270"/>
      <c r="AP142" s="270"/>
      <c r="AQ142" s="270"/>
      <c r="AR142" s="270"/>
      <c r="AS142" s="270"/>
      <c r="AT142" s="271"/>
      <c r="AU142" s="13"/>
      <c r="AV142" s="53"/>
    </row>
    <row r="143" spans="1:51" ht="13.5" customHeight="1">
      <c r="A143" s="51"/>
      <c r="B143" s="110">
        <v>5</v>
      </c>
      <c r="C143" s="269" t="s">
        <v>80</v>
      </c>
      <c r="D143" s="272"/>
      <c r="E143" s="272"/>
      <c r="F143" s="272"/>
      <c r="G143" s="272"/>
      <c r="H143" s="272"/>
      <c r="I143" s="273"/>
      <c r="J143" s="269" t="s">
        <v>59</v>
      </c>
      <c r="K143" s="272"/>
      <c r="L143" s="272"/>
      <c r="M143" s="272"/>
      <c r="N143" s="273"/>
      <c r="O143" s="269" t="s">
        <v>47</v>
      </c>
      <c r="P143" s="270"/>
      <c r="Q143" s="270"/>
      <c r="R143" s="271"/>
      <c r="S143" s="278" t="s">
        <v>68</v>
      </c>
      <c r="T143" s="279"/>
      <c r="U143" s="279"/>
      <c r="V143" s="280"/>
      <c r="W143" s="245" t="s">
        <v>91</v>
      </c>
      <c r="X143" s="277"/>
      <c r="Y143" s="274"/>
      <c r="Z143" s="162"/>
      <c r="AA143" s="245" t="s">
        <v>76</v>
      </c>
      <c r="AB143" s="274"/>
      <c r="AC143" s="269"/>
      <c r="AD143" s="270"/>
      <c r="AE143" s="270"/>
      <c r="AF143" s="271"/>
      <c r="AG143" s="269"/>
      <c r="AH143" s="270"/>
      <c r="AI143" s="270"/>
      <c r="AJ143" s="270"/>
      <c r="AK143" s="270"/>
      <c r="AL143" s="270"/>
      <c r="AM143" s="270"/>
      <c r="AN143" s="270"/>
      <c r="AO143" s="270"/>
      <c r="AP143" s="270"/>
      <c r="AQ143" s="270"/>
      <c r="AR143" s="270"/>
      <c r="AS143" s="270"/>
      <c r="AT143" s="271"/>
      <c r="AU143" s="13"/>
      <c r="AV143" s="53"/>
    </row>
    <row r="144" spans="1:51" ht="13.5" customHeight="1">
      <c r="A144" s="51"/>
      <c r="B144" s="110">
        <v>6</v>
      </c>
      <c r="C144" s="269" t="s">
        <v>81</v>
      </c>
      <c r="D144" s="272"/>
      <c r="E144" s="272"/>
      <c r="F144" s="272"/>
      <c r="G144" s="272"/>
      <c r="H144" s="272"/>
      <c r="I144" s="273"/>
      <c r="J144" s="269" t="s">
        <v>59</v>
      </c>
      <c r="K144" s="272"/>
      <c r="L144" s="272"/>
      <c r="M144" s="272"/>
      <c r="N144" s="273"/>
      <c r="O144" s="269" t="s">
        <v>47</v>
      </c>
      <c r="P144" s="270"/>
      <c r="Q144" s="270"/>
      <c r="R144" s="271"/>
      <c r="S144" s="278" t="s">
        <v>69</v>
      </c>
      <c r="T144" s="279"/>
      <c r="U144" s="279"/>
      <c r="V144" s="280"/>
      <c r="W144" s="245">
        <v>4</v>
      </c>
      <c r="X144" s="277"/>
      <c r="Y144" s="274"/>
      <c r="Z144" s="162"/>
      <c r="AA144" s="245" t="s">
        <v>76</v>
      </c>
      <c r="AB144" s="274"/>
      <c r="AC144" s="269"/>
      <c r="AD144" s="270"/>
      <c r="AE144" s="270"/>
      <c r="AF144" s="271"/>
      <c r="AG144" s="269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1"/>
      <c r="AU144" s="13"/>
      <c r="AV144" s="53"/>
    </row>
    <row r="145" spans="1:48" ht="13.5" customHeight="1">
      <c r="A145" s="51"/>
      <c r="B145" s="110">
        <v>7</v>
      </c>
      <c r="C145" s="269" t="s">
        <v>82</v>
      </c>
      <c r="D145" s="272"/>
      <c r="E145" s="272"/>
      <c r="F145" s="272"/>
      <c r="G145" s="272"/>
      <c r="H145" s="272"/>
      <c r="I145" s="273"/>
      <c r="J145" s="269" t="s">
        <v>59</v>
      </c>
      <c r="K145" s="272"/>
      <c r="L145" s="272"/>
      <c r="M145" s="272"/>
      <c r="N145" s="273"/>
      <c r="O145" s="269" t="s">
        <v>47</v>
      </c>
      <c r="P145" s="270"/>
      <c r="Q145" s="270"/>
      <c r="R145" s="271"/>
      <c r="S145" s="278" t="s">
        <v>70</v>
      </c>
      <c r="T145" s="279"/>
      <c r="U145" s="279"/>
      <c r="V145" s="280"/>
      <c r="W145" s="245">
        <v>5</v>
      </c>
      <c r="X145" s="277"/>
      <c r="Y145" s="274"/>
      <c r="Z145" s="162"/>
      <c r="AA145" s="245" t="s">
        <v>76</v>
      </c>
      <c r="AB145" s="274"/>
      <c r="AC145" s="269"/>
      <c r="AD145" s="270"/>
      <c r="AE145" s="270"/>
      <c r="AF145" s="271"/>
      <c r="AG145" s="269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1"/>
      <c r="AU145" s="13"/>
      <c r="AV145" s="53"/>
    </row>
    <row r="146" spans="1:48" ht="13.5" customHeight="1">
      <c r="A146" s="51"/>
      <c r="B146" s="110">
        <v>8</v>
      </c>
      <c r="C146" s="269" t="s">
        <v>54</v>
      </c>
      <c r="D146" s="272"/>
      <c r="E146" s="272"/>
      <c r="F146" s="272"/>
      <c r="G146" s="272"/>
      <c r="H146" s="272"/>
      <c r="I146" s="273"/>
      <c r="J146" s="269" t="s">
        <v>59</v>
      </c>
      <c r="K146" s="272"/>
      <c r="L146" s="272"/>
      <c r="M146" s="272"/>
      <c r="N146" s="273"/>
      <c r="O146" s="269" t="s">
        <v>48</v>
      </c>
      <c r="P146" s="270"/>
      <c r="Q146" s="270"/>
      <c r="R146" s="271"/>
      <c r="S146" s="278" t="s">
        <v>71</v>
      </c>
      <c r="T146" s="279"/>
      <c r="U146" s="279"/>
      <c r="V146" s="280"/>
      <c r="W146" s="245"/>
      <c r="X146" s="277"/>
      <c r="Y146" s="274"/>
      <c r="Z146" s="162"/>
      <c r="AA146" s="245" t="s">
        <v>76</v>
      </c>
      <c r="AB146" s="274"/>
      <c r="AC146" s="269"/>
      <c r="AD146" s="270"/>
      <c r="AE146" s="270"/>
      <c r="AF146" s="271"/>
      <c r="AG146" s="269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1"/>
      <c r="AU146" s="13"/>
      <c r="AV146" s="53"/>
    </row>
    <row r="147" spans="1:48" ht="13.5" customHeight="1">
      <c r="A147" s="51"/>
      <c r="B147" s="110">
        <v>9</v>
      </c>
      <c r="C147" s="269" t="s">
        <v>61</v>
      </c>
      <c r="D147" s="272"/>
      <c r="E147" s="272"/>
      <c r="F147" s="272"/>
      <c r="G147" s="272"/>
      <c r="H147" s="272"/>
      <c r="I147" s="273"/>
      <c r="J147" s="269" t="s">
        <v>59</v>
      </c>
      <c r="K147" s="272"/>
      <c r="L147" s="272"/>
      <c r="M147" s="272"/>
      <c r="N147" s="273"/>
      <c r="O147" s="269" t="s">
        <v>83</v>
      </c>
      <c r="P147" s="270"/>
      <c r="Q147" s="270"/>
      <c r="R147" s="271"/>
      <c r="S147" s="278" t="s">
        <v>72</v>
      </c>
      <c r="T147" s="279"/>
      <c r="U147" s="279"/>
      <c r="V147" s="280"/>
      <c r="W147" s="245"/>
      <c r="X147" s="277"/>
      <c r="Y147" s="274"/>
      <c r="Z147" s="162"/>
      <c r="AA147" s="245" t="s">
        <v>76</v>
      </c>
      <c r="AB147" s="274"/>
      <c r="AC147" s="269"/>
      <c r="AD147" s="270"/>
      <c r="AE147" s="270"/>
      <c r="AF147" s="271"/>
      <c r="AG147" s="269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1"/>
      <c r="AU147" s="13"/>
      <c r="AV147" s="53"/>
    </row>
    <row r="148" spans="1:48" ht="13.5" customHeight="1">
      <c r="A148" s="51"/>
      <c r="B148" s="110">
        <v>10</v>
      </c>
      <c r="C148" s="269" t="s">
        <v>55</v>
      </c>
      <c r="D148" s="272"/>
      <c r="E148" s="272"/>
      <c r="F148" s="272"/>
      <c r="G148" s="272"/>
      <c r="H148" s="272"/>
      <c r="I148" s="273"/>
      <c r="J148" s="269" t="s">
        <v>87</v>
      </c>
      <c r="K148" s="272"/>
      <c r="L148" s="272"/>
      <c r="M148" s="272"/>
      <c r="N148" s="273"/>
      <c r="O148" s="269"/>
      <c r="P148" s="270"/>
      <c r="Q148" s="270"/>
      <c r="R148" s="271"/>
      <c r="S148" s="269" t="s">
        <v>74</v>
      </c>
      <c r="T148" s="270"/>
      <c r="U148" s="270"/>
      <c r="V148" s="271"/>
      <c r="W148" s="245"/>
      <c r="X148" s="277"/>
      <c r="Y148" s="274"/>
      <c r="Z148" s="162"/>
      <c r="AA148" s="245" t="s">
        <v>76</v>
      </c>
      <c r="AB148" s="274"/>
      <c r="AC148" s="269"/>
      <c r="AD148" s="270"/>
      <c r="AE148" s="270"/>
      <c r="AF148" s="271"/>
      <c r="AG148" s="269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1"/>
      <c r="AU148" s="13"/>
      <c r="AV148" s="53"/>
    </row>
    <row r="149" spans="1:48" ht="13.5" customHeight="1">
      <c r="A149" s="51"/>
      <c r="B149" s="110">
        <v>11</v>
      </c>
      <c r="C149" s="269" t="s">
        <v>56</v>
      </c>
      <c r="D149" s="272"/>
      <c r="E149" s="272"/>
      <c r="F149" s="272"/>
      <c r="G149" s="272"/>
      <c r="H149" s="272"/>
      <c r="I149" s="273"/>
      <c r="J149" s="269" t="s">
        <v>88</v>
      </c>
      <c r="K149" s="272"/>
      <c r="L149" s="272"/>
      <c r="M149" s="272"/>
      <c r="N149" s="273"/>
      <c r="O149" s="269"/>
      <c r="P149" s="270"/>
      <c r="Q149" s="270"/>
      <c r="R149" s="271"/>
      <c r="S149" s="269" t="s">
        <v>75</v>
      </c>
      <c r="T149" s="270"/>
      <c r="U149" s="270"/>
      <c r="V149" s="271"/>
      <c r="W149" s="245"/>
      <c r="X149" s="277"/>
      <c r="Y149" s="274"/>
      <c r="Z149" s="162"/>
      <c r="AA149" s="245" t="s">
        <v>76</v>
      </c>
      <c r="AB149" s="274"/>
      <c r="AC149" s="269"/>
      <c r="AD149" s="270"/>
      <c r="AE149" s="270"/>
      <c r="AF149" s="271"/>
      <c r="AG149" s="269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1"/>
      <c r="AU149" s="13"/>
      <c r="AV149" s="53"/>
    </row>
    <row r="150" spans="1:48" ht="13.5" customHeight="1">
      <c r="A150" s="51"/>
      <c r="B150" s="110">
        <v>12</v>
      </c>
      <c r="C150" s="269" t="s">
        <v>77</v>
      </c>
      <c r="D150" s="272"/>
      <c r="E150" s="272"/>
      <c r="F150" s="272"/>
      <c r="G150" s="272"/>
      <c r="H150" s="272"/>
      <c r="I150" s="273"/>
      <c r="J150" s="269" t="s">
        <v>46</v>
      </c>
      <c r="K150" s="272"/>
      <c r="L150" s="272"/>
      <c r="M150" s="272"/>
      <c r="N150" s="273"/>
      <c r="O150" s="269"/>
      <c r="P150" s="270"/>
      <c r="Q150" s="270"/>
      <c r="R150" s="271"/>
      <c r="S150" s="269"/>
      <c r="T150" s="270"/>
      <c r="U150" s="270"/>
      <c r="V150" s="271"/>
      <c r="W150" s="245"/>
      <c r="X150" s="277"/>
      <c r="Y150" s="274"/>
      <c r="Z150" s="162"/>
      <c r="AA150" s="245" t="s">
        <v>76</v>
      </c>
      <c r="AB150" s="274"/>
      <c r="AC150" s="269"/>
      <c r="AD150" s="270"/>
      <c r="AE150" s="270"/>
      <c r="AF150" s="271"/>
      <c r="AG150" s="269" t="s">
        <v>73</v>
      </c>
      <c r="AH150" s="270"/>
      <c r="AI150" s="270"/>
      <c r="AJ150" s="270"/>
      <c r="AK150" s="270"/>
      <c r="AL150" s="270"/>
      <c r="AM150" s="270"/>
      <c r="AN150" s="270"/>
      <c r="AO150" s="270"/>
      <c r="AP150" s="270"/>
      <c r="AQ150" s="270"/>
      <c r="AR150" s="270"/>
      <c r="AS150" s="270"/>
      <c r="AT150" s="271"/>
      <c r="AU150" s="13"/>
      <c r="AV150" s="53"/>
    </row>
    <row r="151" spans="1:48" ht="13.5" customHeight="1">
      <c r="A151" s="51"/>
      <c r="B151" s="110">
        <v>13</v>
      </c>
      <c r="C151" s="269"/>
      <c r="D151" s="272"/>
      <c r="E151" s="272"/>
      <c r="F151" s="272"/>
      <c r="G151" s="272"/>
      <c r="H151" s="272"/>
      <c r="I151" s="273"/>
      <c r="J151" s="269"/>
      <c r="K151" s="272"/>
      <c r="L151" s="272"/>
      <c r="M151" s="272"/>
      <c r="N151" s="273"/>
      <c r="O151" s="269"/>
      <c r="P151" s="270"/>
      <c r="Q151" s="270"/>
      <c r="R151" s="271"/>
      <c r="S151" s="269"/>
      <c r="T151" s="270"/>
      <c r="U151" s="270"/>
      <c r="V151" s="271"/>
      <c r="W151" s="269"/>
      <c r="X151" s="270"/>
      <c r="Y151" s="271"/>
      <c r="Z151" s="160"/>
      <c r="AA151" s="269"/>
      <c r="AB151" s="271"/>
      <c r="AC151" s="269"/>
      <c r="AD151" s="270"/>
      <c r="AE151" s="270"/>
      <c r="AF151" s="271"/>
      <c r="AG151" s="269"/>
      <c r="AH151" s="270"/>
      <c r="AI151" s="270"/>
      <c r="AJ151" s="270"/>
      <c r="AK151" s="270"/>
      <c r="AL151" s="270"/>
      <c r="AM151" s="270"/>
      <c r="AN151" s="270"/>
      <c r="AO151" s="270"/>
      <c r="AP151" s="270"/>
      <c r="AQ151" s="270"/>
      <c r="AR151" s="270"/>
      <c r="AS151" s="270"/>
      <c r="AT151" s="271"/>
      <c r="AU151" s="13"/>
      <c r="AV151" s="53"/>
    </row>
    <row r="152" spans="1:48" ht="13.5" customHeight="1">
      <c r="A152" s="51"/>
      <c r="B152" s="110">
        <v>14</v>
      </c>
      <c r="C152" s="269"/>
      <c r="D152" s="272"/>
      <c r="E152" s="272"/>
      <c r="F152" s="272"/>
      <c r="G152" s="272"/>
      <c r="H152" s="272"/>
      <c r="I152" s="273"/>
      <c r="J152" s="269"/>
      <c r="K152" s="272"/>
      <c r="L152" s="272"/>
      <c r="M152" s="272"/>
      <c r="N152" s="273"/>
      <c r="O152" s="269"/>
      <c r="P152" s="270"/>
      <c r="Q152" s="270"/>
      <c r="R152" s="271"/>
      <c r="S152" s="107"/>
      <c r="T152" s="108"/>
      <c r="U152" s="108"/>
      <c r="V152" s="109"/>
      <c r="W152" s="269"/>
      <c r="X152" s="270"/>
      <c r="Y152" s="271"/>
      <c r="Z152" s="160"/>
      <c r="AA152" s="269"/>
      <c r="AB152" s="271"/>
      <c r="AC152" s="269"/>
      <c r="AD152" s="270"/>
      <c r="AE152" s="270"/>
      <c r="AF152" s="271"/>
      <c r="AG152" s="269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1"/>
      <c r="AU152" s="13"/>
      <c r="AV152" s="53"/>
    </row>
    <row r="153" spans="1:48" ht="13.5" customHeight="1">
      <c r="A153" s="51"/>
      <c r="B153" s="110">
        <v>15</v>
      </c>
      <c r="C153" s="269"/>
      <c r="D153" s="272"/>
      <c r="E153" s="272"/>
      <c r="F153" s="272"/>
      <c r="G153" s="272"/>
      <c r="H153" s="272"/>
      <c r="I153" s="273"/>
      <c r="J153" s="269"/>
      <c r="K153" s="272"/>
      <c r="L153" s="272"/>
      <c r="M153" s="272"/>
      <c r="N153" s="273"/>
      <c r="O153" s="269"/>
      <c r="P153" s="270"/>
      <c r="Q153" s="270"/>
      <c r="R153" s="271"/>
      <c r="S153" s="107"/>
      <c r="T153" s="108"/>
      <c r="U153" s="108"/>
      <c r="V153" s="109"/>
      <c r="W153" s="269"/>
      <c r="X153" s="270"/>
      <c r="Y153" s="271"/>
      <c r="Z153" s="160"/>
      <c r="AA153" s="269"/>
      <c r="AB153" s="271"/>
      <c r="AC153" s="269"/>
      <c r="AD153" s="270"/>
      <c r="AE153" s="270"/>
      <c r="AF153" s="271"/>
      <c r="AG153" s="269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1"/>
      <c r="AU153" s="13"/>
      <c r="AV153" s="53"/>
    </row>
    <row r="154" spans="1:48" ht="13.5" customHeight="1">
      <c r="A154" s="51"/>
      <c r="B154" s="110">
        <v>16</v>
      </c>
      <c r="C154" s="269"/>
      <c r="D154" s="272"/>
      <c r="E154" s="272"/>
      <c r="F154" s="272"/>
      <c r="G154" s="272"/>
      <c r="H154" s="272"/>
      <c r="I154" s="273"/>
      <c r="J154" s="269"/>
      <c r="K154" s="272"/>
      <c r="L154" s="272"/>
      <c r="M154" s="272"/>
      <c r="N154" s="273"/>
      <c r="O154" s="269"/>
      <c r="P154" s="270"/>
      <c r="Q154" s="270"/>
      <c r="R154" s="271"/>
      <c r="S154" s="107"/>
      <c r="T154" s="108"/>
      <c r="U154" s="108"/>
      <c r="V154" s="109"/>
      <c r="W154" s="269"/>
      <c r="X154" s="270"/>
      <c r="Y154" s="271"/>
      <c r="Z154" s="160"/>
      <c r="AA154" s="269"/>
      <c r="AB154" s="271"/>
      <c r="AC154" s="269"/>
      <c r="AD154" s="270"/>
      <c r="AE154" s="270"/>
      <c r="AF154" s="271"/>
      <c r="AG154" s="269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1"/>
      <c r="AU154" s="13"/>
      <c r="AV154" s="53"/>
    </row>
    <row r="155" spans="1:48" ht="13.5" customHeight="1">
      <c r="A155" s="51"/>
      <c r="B155" s="110">
        <v>17</v>
      </c>
      <c r="C155" s="269"/>
      <c r="D155" s="272"/>
      <c r="E155" s="272"/>
      <c r="F155" s="272"/>
      <c r="G155" s="272"/>
      <c r="H155" s="272"/>
      <c r="I155" s="273"/>
      <c r="J155" s="269"/>
      <c r="K155" s="272"/>
      <c r="L155" s="272"/>
      <c r="M155" s="272"/>
      <c r="N155" s="273"/>
      <c r="O155" s="269"/>
      <c r="P155" s="270"/>
      <c r="Q155" s="270"/>
      <c r="R155" s="271"/>
      <c r="S155" s="269"/>
      <c r="T155" s="270"/>
      <c r="U155" s="270"/>
      <c r="V155" s="271"/>
      <c r="W155" s="269"/>
      <c r="X155" s="270"/>
      <c r="Y155" s="271"/>
      <c r="Z155" s="160"/>
      <c r="AA155" s="269"/>
      <c r="AB155" s="271"/>
      <c r="AC155" s="269"/>
      <c r="AD155" s="270"/>
      <c r="AE155" s="270"/>
      <c r="AF155" s="271"/>
      <c r="AG155" s="269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1"/>
      <c r="AU155" s="13"/>
      <c r="AV155" s="53"/>
    </row>
    <row r="156" spans="1:48" ht="13.5" customHeight="1">
      <c r="A156" s="51"/>
      <c r="B156" s="110">
        <v>18</v>
      </c>
      <c r="C156" s="269"/>
      <c r="D156" s="272"/>
      <c r="E156" s="272"/>
      <c r="F156" s="272"/>
      <c r="G156" s="272"/>
      <c r="H156" s="272"/>
      <c r="I156" s="273"/>
      <c r="J156" s="269"/>
      <c r="K156" s="272"/>
      <c r="L156" s="272"/>
      <c r="M156" s="272"/>
      <c r="N156" s="273"/>
      <c r="O156" s="269"/>
      <c r="P156" s="270"/>
      <c r="Q156" s="270"/>
      <c r="R156" s="271"/>
      <c r="S156" s="269"/>
      <c r="T156" s="270"/>
      <c r="U156" s="270"/>
      <c r="V156" s="271"/>
      <c r="W156" s="269"/>
      <c r="X156" s="270"/>
      <c r="Y156" s="271"/>
      <c r="Z156" s="160"/>
      <c r="AA156" s="269"/>
      <c r="AB156" s="271"/>
      <c r="AC156" s="269"/>
      <c r="AD156" s="270"/>
      <c r="AE156" s="270"/>
      <c r="AF156" s="271"/>
      <c r="AG156" s="269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1"/>
      <c r="AU156" s="13"/>
      <c r="AV156" s="53"/>
    </row>
    <row r="157" spans="1:48" ht="13.5" customHeight="1">
      <c r="A157" s="51"/>
      <c r="B157" s="110">
        <v>19</v>
      </c>
      <c r="C157" s="269"/>
      <c r="D157" s="272"/>
      <c r="E157" s="272"/>
      <c r="F157" s="272"/>
      <c r="G157" s="272"/>
      <c r="H157" s="272"/>
      <c r="I157" s="273"/>
      <c r="J157" s="269"/>
      <c r="K157" s="272"/>
      <c r="L157" s="272"/>
      <c r="M157" s="272"/>
      <c r="N157" s="273"/>
      <c r="O157" s="269"/>
      <c r="P157" s="270"/>
      <c r="Q157" s="270"/>
      <c r="R157" s="271"/>
      <c r="S157" s="269"/>
      <c r="T157" s="270"/>
      <c r="U157" s="270"/>
      <c r="V157" s="271"/>
      <c r="W157" s="269"/>
      <c r="X157" s="270"/>
      <c r="Y157" s="271"/>
      <c r="Z157" s="160"/>
      <c r="AA157" s="269"/>
      <c r="AB157" s="271"/>
      <c r="AC157" s="269"/>
      <c r="AD157" s="270"/>
      <c r="AE157" s="270"/>
      <c r="AF157" s="271"/>
      <c r="AG157" s="269"/>
      <c r="AH157" s="270"/>
      <c r="AI157" s="270"/>
      <c r="AJ157" s="270"/>
      <c r="AK157" s="270"/>
      <c r="AL157" s="270"/>
      <c r="AM157" s="270"/>
      <c r="AN157" s="270"/>
      <c r="AO157" s="270"/>
      <c r="AP157" s="270"/>
      <c r="AQ157" s="270"/>
      <c r="AR157" s="270"/>
      <c r="AS157" s="270"/>
      <c r="AT157" s="271"/>
      <c r="AU157" s="13"/>
      <c r="AV157" s="53"/>
    </row>
    <row r="158" spans="1:48" ht="13.5" customHeight="1">
      <c r="A158" s="51"/>
      <c r="B158" s="110">
        <v>20</v>
      </c>
      <c r="C158" s="269"/>
      <c r="D158" s="272"/>
      <c r="E158" s="272"/>
      <c r="F158" s="272"/>
      <c r="G158" s="272"/>
      <c r="H158" s="272"/>
      <c r="I158" s="273"/>
      <c r="J158" s="269"/>
      <c r="K158" s="272"/>
      <c r="L158" s="272"/>
      <c r="M158" s="272"/>
      <c r="N158" s="273"/>
      <c r="O158" s="269"/>
      <c r="P158" s="270"/>
      <c r="Q158" s="270"/>
      <c r="R158" s="271"/>
      <c r="S158" s="269"/>
      <c r="T158" s="270"/>
      <c r="U158" s="270"/>
      <c r="V158" s="271"/>
      <c r="W158" s="269"/>
      <c r="X158" s="270"/>
      <c r="Y158" s="271"/>
      <c r="Z158" s="160"/>
      <c r="AA158" s="269"/>
      <c r="AB158" s="271"/>
      <c r="AC158" s="269"/>
      <c r="AD158" s="270"/>
      <c r="AE158" s="270"/>
      <c r="AF158" s="271"/>
      <c r="AG158" s="269"/>
      <c r="AH158" s="270"/>
      <c r="AI158" s="270"/>
      <c r="AJ158" s="270"/>
      <c r="AK158" s="270"/>
      <c r="AL158" s="270"/>
      <c r="AM158" s="270"/>
      <c r="AN158" s="270"/>
      <c r="AO158" s="270"/>
      <c r="AP158" s="270"/>
      <c r="AQ158" s="270"/>
      <c r="AR158" s="270"/>
      <c r="AS158" s="270"/>
      <c r="AT158" s="271"/>
      <c r="AU158" s="13"/>
      <c r="AV158" s="53"/>
    </row>
    <row r="159" spans="1:48" ht="13.5" customHeight="1">
      <c r="A159" s="51"/>
      <c r="B159" s="110">
        <v>21</v>
      </c>
      <c r="C159" s="269"/>
      <c r="D159" s="272"/>
      <c r="E159" s="272"/>
      <c r="F159" s="272"/>
      <c r="G159" s="272"/>
      <c r="H159" s="272"/>
      <c r="I159" s="273"/>
      <c r="J159" s="269"/>
      <c r="K159" s="272"/>
      <c r="L159" s="272"/>
      <c r="M159" s="272"/>
      <c r="N159" s="273"/>
      <c r="O159" s="269"/>
      <c r="P159" s="270"/>
      <c r="Q159" s="270"/>
      <c r="R159" s="271"/>
      <c r="S159" s="269"/>
      <c r="T159" s="270"/>
      <c r="U159" s="270"/>
      <c r="V159" s="271"/>
      <c r="W159" s="269"/>
      <c r="X159" s="270"/>
      <c r="Y159" s="271"/>
      <c r="Z159" s="160"/>
      <c r="AA159" s="269"/>
      <c r="AB159" s="271"/>
      <c r="AC159" s="269"/>
      <c r="AD159" s="270"/>
      <c r="AE159" s="270"/>
      <c r="AF159" s="271"/>
      <c r="AG159" s="269"/>
      <c r="AH159" s="270"/>
      <c r="AI159" s="270"/>
      <c r="AJ159" s="270"/>
      <c r="AK159" s="270"/>
      <c r="AL159" s="270"/>
      <c r="AM159" s="270"/>
      <c r="AN159" s="270"/>
      <c r="AO159" s="270"/>
      <c r="AP159" s="270"/>
      <c r="AQ159" s="270"/>
      <c r="AR159" s="270"/>
      <c r="AS159" s="270"/>
      <c r="AT159" s="271"/>
      <c r="AU159" s="13"/>
      <c r="AV159" s="53"/>
    </row>
    <row r="160" spans="1:48" ht="13.5" customHeight="1">
      <c r="A160" s="51"/>
      <c r="B160" s="110">
        <v>22</v>
      </c>
      <c r="C160" s="269"/>
      <c r="D160" s="272"/>
      <c r="E160" s="272"/>
      <c r="F160" s="272"/>
      <c r="G160" s="272"/>
      <c r="H160" s="272"/>
      <c r="I160" s="273"/>
      <c r="J160" s="269"/>
      <c r="K160" s="272"/>
      <c r="L160" s="272"/>
      <c r="M160" s="272"/>
      <c r="N160" s="273"/>
      <c r="O160" s="269"/>
      <c r="P160" s="270"/>
      <c r="Q160" s="270"/>
      <c r="R160" s="271"/>
      <c r="S160" s="269"/>
      <c r="T160" s="270"/>
      <c r="U160" s="270"/>
      <c r="V160" s="271"/>
      <c r="W160" s="269"/>
      <c r="X160" s="270"/>
      <c r="Y160" s="271"/>
      <c r="Z160" s="160"/>
      <c r="AA160" s="269"/>
      <c r="AB160" s="271"/>
      <c r="AC160" s="269"/>
      <c r="AD160" s="270"/>
      <c r="AE160" s="270"/>
      <c r="AF160" s="271"/>
      <c r="AG160" s="269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1"/>
      <c r="AU160" s="13"/>
      <c r="AV160" s="53"/>
    </row>
    <row r="161" spans="1:51" ht="13.5" customHeight="1">
      <c r="A161" s="51"/>
      <c r="B161" s="110">
        <v>23</v>
      </c>
      <c r="C161" s="269"/>
      <c r="D161" s="272"/>
      <c r="E161" s="272"/>
      <c r="F161" s="272"/>
      <c r="G161" s="272"/>
      <c r="H161" s="272"/>
      <c r="I161" s="273"/>
      <c r="J161" s="269"/>
      <c r="K161" s="272"/>
      <c r="L161" s="272"/>
      <c r="M161" s="272"/>
      <c r="N161" s="273"/>
      <c r="O161" s="269"/>
      <c r="P161" s="270"/>
      <c r="Q161" s="270"/>
      <c r="R161" s="271"/>
      <c r="S161" s="269"/>
      <c r="T161" s="270"/>
      <c r="U161" s="270"/>
      <c r="V161" s="271"/>
      <c r="W161" s="269"/>
      <c r="X161" s="270"/>
      <c r="Y161" s="271"/>
      <c r="Z161" s="160"/>
      <c r="AA161" s="269"/>
      <c r="AB161" s="271"/>
      <c r="AC161" s="269"/>
      <c r="AD161" s="270"/>
      <c r="AE161" s="270"/>
      <c r="AF161" s="271"/>
      <c r="AG161" s="269"/>
      <c r="AH161" s="270"/>
      <c r="AI161" s="270"/>
      <c r="AJ161" s="270"/>
      <c r="AK161" s="270"/>
      <c r="AL161" s="270"/>
      <c r="AM161" s="270"/>
      <c r="AN161" s="270"/>
      <c r="AO161" s="270"/>
      <c r="AP161" s="270"/>
      <c r="AQ161" s="270"/>
      <c r="AR161" s="270"/>
      <c r="AS161" s="270"/>
      <c r="AT161" s="271"/>
      <c r="AU161" s="13"/>
      <c r="AV161" s="53"/>
    </row>
    <row r="162" spans="1:51" ht="13.5" customHeight="1">
      <c r="A162" s="51"/>
      <c r="B162" s="110">
        <v>24</v>
      </c>
      <c r="C162" s="269"/>
      <c r="D162" s="272"/>
      <c r="E162" s="272"/>
      <c r="F162" s="272"/>
      <c r="G162" s="272"/>
      <c r="H162" s="272"/>
      <c r="I162" s="273"/>
      <c r="J162" s="269"/>
      <c r="K162" s="272"/>
      <c r="L162" s="272"/>
      <c r="M162" s="272"/>
      <c r="N162" s="273"/>
      <c r="O162" s="269"/>
      <c r="P162" s="270"/>
      <c r="Q162" s="270"/>
      <c r="R162" s="271"/>
      <c r="S162" s="269"/>
      <c r="T162" s="270"/>
      <c r="U162" s="270"/>
      <c r="V162" s="271"/>
      <c r="W162" s="269"/>
      <c r="X162" s="270"/>
      <c r="Y162" s="271"/>
      <c r="Z162" s="160"/>
      <c r="AA162" s="269"/>
      <c r="AB162" s="271"/>
      <c r="AC162" s="269"/>
      <c r="AD162" s="270"/>
      <c r="AE162" s="270"/>
      <c r="AF162" s="271"/>
      <c r="AG162" s="269"/>
      <c r="AH162" s="270"/>
      <c r="AI162" s="270"/>
      <c r="AJ162" s="270"/>
      <c r="AK162" s="270"/>
      <c r="AL162" s="270"/>
      <c r="AM162" s="270"/>
      <c r="AN162" s="270"/>
      <c r="AO162" s="270"/>
      <c r="AP162" s="270"/>
      <c r="AQ162" s="270"/>
      <c r="AR162" s="270"/>
      <c r="AS162" s="270"/>
      <c r="AT162" s="271"/>
      <c r="AU162" s="13"/>
      <c r="AV162" s="53"/>
    </row>
    <row r="163" spans="1:51" ht="13.5" customHeight="1">
      <c r="A163" s="51"/>
      <c r="B163" s="110">
        <v>25</v>
      </c>
      <c r="C163" s="269"/>
      <c r="D163" s="272"/>
      <c r="E163" s="272"/>
      <c r="F163" s="272"/>
      <c r="G163" s="272"/>
      <c r="H163" s="272"/>
      <c r="I163" s="273"/>
      <c r="J163" s="269"/>
      <c r="K163" s="272"/>
      <c r="L163" s="272"/>
      <c r="M163" s="272"/>
      <c r="N163" s="273"/>
      <c r="O163" s="269"/>
      <c r="P163" s="270"/>
      <c r="Q163" s="270"/>
      <c r="R163" s="271"/>
      <c r="S163" s="269"/>
      <c r="T163" s="270"/>
      <c r="U163" s="270"/>
      <c r="V163" s="271"/>
      <c r="W163" s="269"/>
      <c r="X163" s="270"/>
      <c r="Y163" s="271"/>
      <c r="Z163" s="160"/>
      <c r="AA163" s="269"/>
      <c r="AB163" s="271"/>
      <c r="AC163" s="269"/>
      <c r="AD163" s="270"/>
      <c r="AE163" s="270"/>
      <c r="AF163" s="271"/>
      <c r="AG163" s="269"/>
      <c r="AH163" s="270"/>
      <c r="AI163" s="270"/>
      <c r="AJ163" s="270"/>
      <c r="AK163" s="270"/>
      <c r="AL163" s="270"/>
      <c r="AM163" s="270"/>
      <c r="AN163" s="270"/>
      <c r="AO163" s="270"/>
      <c r="AP163" s="270"/>
      <c r="AQ163" s="270"/>
      <c r="AR163" s="270"/>
      <c r="AS163" s="270"/>
      <c r="AT163" s="271"/>
      <c r="AU163" s="13"/>
      <c r="AV163" s="53"/>
    </row>
    <row r="164" spans="1:51" ht="13.5" customHeight="1">
      <c r="A164" s="51"/>
      <c r="B164" s="110">
        <v>26</v>
      </c>
      <c r="C164" s="269"/>
      <c r="D164" s="272"/>
      <c r="E164" s="272"/>
      <c r="F164" s="272"/>
      <c r="G164" s="272"/>
      <c r="H164" s="272"/>
      <c r="I164" s="273"/>
      <c r="J164" s="269"/>
      <c r="K164" s="272"/>
      <c r="L164" s="272"/>
      <c r="M164" s="272"/>
      <c r="N164" s="273"/>
      <c r="O164" s="269"/>
      <c r="P164" s="270"/>
      <c r="Q164" s="270"/>
      <c r="R164" s="271"/>
      <c r="S164" s="269"/>
      <c r="T164" s="270"/>
      <c r="U164" s="270"/>
      <c r="V164" s="271"/>
      <c r="W164" s="269"/>
      <c r="X164" s="270"/>
      <c r="Y164" s="271"/>
      <c r="Z164" s="160"/>
      <c r="AA164" s="269"/>
      <c r="AB164" s="271"/>
      <c r="AC164" s="269"/>
      <c r="AD164" s="270"/>
      <c r="AE164" s="270"/>
      <c r="AF164" s="271"/>
      <c r="AG164" s="269"/>
      <c r="AH164" s="270"/>
      <c r="AI164" s="270"/>
      <c r="AJ164" s="270"/>
      <c r="AK164" s="270"/>
      <c r="AL164" s="270"/>
      <c r="AM164" s="270"/>
      <c r="AN164" s="270"/>
      <c r="AO164" s="270"/>
      <c r="AP164" s="270"/>
      <c r="AQ164" s="270"/>
      <c r="AR164" s="270"/>
      <c r="AS164" s="270"/>
      <c r="AT164" s="271"/>
      <c r="AU164" s="13"/>
      <c r="AV164" s="53"/>
    </row>
    <row r="165" spans="1:51" ht="13.5" customHeight="1">
      <c r="A165" s="51"/>
      <c r="B165" s="110">
        <v>27</v>
      </c>
      <c r="C165" s="269"/>
      <c r="D165" s="272"/>
      <c r="E165" s="272"/>
      <c r="F165" s="272"/>
      <c r="G165" s="272"/>
      <c r="H165" s="272"/>
      <c r="I165" s="273"/>
      <c r="J165" s="269"/>
      <c r="K165" s="272"/>
      <c r="L165" s="272"/>
      <c r="M165" s="272"/>
      <c r="N165" s="273"/>
      <c r="O165" s="269"/>
      <c r="P165" s="270"/>
      <c r="Q165" s="270"/>
      <c r="R165" s="271"/>
      <c r="S165" s="269"/>
      <c r="T165" s="270"/>
      <c r="U165" s="270"/>
      <c r="V165" s="271"/>
      <c r="W165" s="269"/>
      <c r="X165" s="270"/>
      <c r="Y165" s="271"/>
      <c r="Z165" s="160"/>
      <c r="AA165" s="269"/>
      <c r="AB165" s="271"/>
      <c r="AC165" s="269"/>
      <c r="AD165" s="270"/>
      <c r="AE165" s="270"/>
      <c r="AF165" s="271"/>
      <c r="AG165" s="269"/>
      <c r="AH165" s="270"/>
      <c r="AI165" s="270"/>
      <c r="AJ165" s="270"/>
      <c r="AK165" s="270"/>
      <c r="AL165" s="270"/>
      <c r="AM165" s="270"/>
      <c r="AN165" s="270"/>
      <c r="AO165" s="270"/>
      <c r="AP165" s="270"/>
      <c r="AQ165" s="270"/>
      <c r="AR165" s="270"/>
      <c r="AS165" s="270"/>
      <c r="AT165" s="271"/>
      <c r="AU165" s="13"/>
      <c r="AV165" s="53"/>
    </row>
    <row r="166" spans="1:51" ht="13.5" customHeight="1">
      <c r="A166" s="51"/>
      <c r="B166" s="110">
        <v>28</v>
      </c>
      <c r="C166" s="269"/>
      <c r="D166" s="272"/>
      <c r="E166" s="272"/>
      <c r="F166" s="272"/>
      <c r="G166" s="272"/>
      <c r="H166" s="272"/>
      <c r="I166" s="273"/>
      <c r="J166" s="269"/>
      <c r="K166" s="272"/>
      <c r="L166" s="272"/>
      <c r="M166" s="272"/>
      <c r="N166" s="273"/>
      <c r="O166" s="269"/>
      <c r="P166" s="270"/>
      <c r="Q166" s="270"/>
      <c r="R166" s="271"/>
      <c r="S166" s="269"/>
      <c r="T166" s="270"/>
      <c r="U166" s="270"/>
      <c r="V166" s="271"/>
      <c r="W166" s="269"/>
      <c r="X166" s="270"/>
      <c r="Y166" s="271"/>
      <c r="Z166" s="160"/>
      <c r="AA166" s="269"/>
      <c r="AB166" s="271"/>
      <c r="AC166" s="269"/>
      <c r="AD166" s="270"/>
      <c r="AE166" s="270"/>
      <c r="AF166" s="271"/>
      <c r="AG166" s="269"/>
      <c r="AH166" s="270"/>
      <c r="AI166" s="270"/>
      <c r="AJ166" s="270"/>
      <c r="AK166" s="270"/>
      <c r="AL166" s="270"/>
      <c r="AM166" s="270"/>
      <c r="AN166" s="270"/>
      <c r="AO166" s="270"/>
      <c r="AP166" s="270"/>
      <c r="AQ166" s="270"/>
      <c r="AR166" s="270"/>
      <c r="AS166" s="270"/>
      <c r="AT166" s="271"/>
      <c r="AU166" s="13"/>
      <c r="AV166" s="53"/>
    </row>
    <row r="167" spans="1:51" ht="13.5" customHeight="1">
      <c r="A167" s="51"/>
      <c r="B167" s="110">
        <v>29</v>
      </c>
      <c r="C167" s="269"/>
      <c r="D167" s="272"/>
      <c r="E167" s="272"/>
      <c r="F167" s="272"/>
      <c r="G167" s="272"/>
      <c r="H167" s="272"/>
      <c r="I167" s="273"/>
      <c r="J167" s="269"/>
      <c r="K167" s="272"/>
      <c r="L167" s="272"/>
      <c r="M167" s="272"/>
      <c r="N167" s="273"/>
      <c r="O167" s="269"/>
      <c r="P167" s="270"/>
      <c r="Q167" s="270"/>
      <c r="R167" s="271"/>
      <c r="S167" s="269"/>
      <c r="T167" s="270"/>
      <c r="U167" s="270"/>
      <c r="V167" s="271"/>
      <c r="W167" s="269"/>
      <c r="X167" s="270"/>
      <c r="Y167" s="271"/>
      <c r="Z167" s="160"/>
      <c r="AA167" s="269"/>
      <c r="AB167" s="271"/>
      <c r="AC167" s="269"/>
      <c r="AD167" s="270"/>
      <c r="AE167" s="270"/>
      <c r="AF167" s="271"/>
      <c r="AG167" s="269"/>
      <c r="AH167" s="270"/>
      <c r="AI167" s="270"/>
      <c r="AJ167" s="270"/>
      <c r="AK167" s="270"/>
      <c r="AL167" s="270"/>
      <c r="AM167" s="270"/>
      <c r="AN167" s="270"/>
      <c r="AO167" s="270"/>
      <c r="AP167" s="270"/>
      <c r="AQ167" s="270"/>
      <c r="AR167" s="270"/>
      <c r="AS167" s="270"/>
      <c r="AT167" s="271"/>
      <c r="AU167" s="13"/>
      <c r="AV167" s="53"/>
    </row>
    <row r="168" spans="1:51" ht="13.5" customHeight="1">
      <c r="A168" s="51"/>
      <c r="B168" s="110">
        <v>30</v>
      </c>
      <c r="C168" s="269"/>
      <c r="D168" s="272"/>
      <c r="E168" s="272"/>
      <c r="F168" s="272"/>
      <c r="G168" s="272"/>
      <c r="H168" s="272"/>
      <c r="I168" s="273"/>
      <c r="J168" s="269"/>
      <c r="K168" s="272"/>
      <c r="L168" s="272"/>
      <c r="M168" s="272"/>
      <c r="N168" s="273"/>
      <c r="O168" s="269"/>
      <c r="P168" s="270"/>
      <c r="Q168" s="270"/>
      <c r="R168" s="271"/>
      <c r="S168" s="269"/>
      <c r="T168" s="270"/>
      <c r="U168" s="270"/>
      <c r="V168" s="271"/>
      <c r="W168" s="269"/>
      <c r="X168" s="270"/>
      <c r="Y168" s="271"/>
      <c r="Z168" s="160"/>
      <c r="AA168" s="269"/>
      <c r="AB168" s="271"/>
      <c r="AC168" s="269"/>
      <c r="AD168" s="270"/>
      <c r="AE168" s="270"/>
      <c r="AF168" s="271"/>
      <c r="AG168" s="269"/>
      <c r="AH168" s="270"/>
      <c r="AI168" s="270"/>
      <c r="AJ168" s="270"/>
      <c r="AK168" s="270"/>
      <c r="AL168" s="270"/>
      <c r="AM168" s="270"/>
      <c r="AN168" s="270"/>
      <c r="AO168" s="270"/>
      <c r="AP168" s="270"/>
      <c r="AQ168" s="270"/>
      <c r="AR168" s="270"/>
      <c r="AS168" s="270"/>
      <c r="AT168" s="271"/>
      <c r="AU168" s="13"/>
      <c r="AV168" s="53"/>
    </row>
    <row r="169" spans="1:51" ht="13.5" customHeight="1">
      <c r="A169" s="51"/>
      <c r="B169" s="13"/>
      <c r="C169" s="13"/>
      <c r="D169" s="52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53"/>
    </row>
    <row r="170" spans="1:51" ht="13.5" customHeight="1">
      <c r="A170" s="51"/>
      <c r="B170" s="13"/>
      <c r="C170" s="13"/>
      <c r="D170" s="52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53"/>
      <c r="AX170" s="50"/>
      <c r="AY170" s="50"/>
    </row>
    <row r="171" spans="1:51" ht="13.5" customHeight="1">
      <c r="A171" s="51"/>
      <c r="B171" s="13"/>
      <c r="C171" s="13"/>
      <c r="D171" s="52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53"/>
      <c r="AX171" s="50"/>
      <c r="AY171" s="50"/>
    </row>
    <row r="172" spans="1:51" ht="13.5" customHeight="1" thickBot="1">
      <c r="A172" s="55"/>
      <c r="B172" s="56"/>
      <c r="C172" s="56"/>
      <c r="D172" s="5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8"/>
      <c r="AX172" s="223" t="str">
        <f>HYPERLINK("#$A$1","目次へ")</f>
        <v>目次へ</v>
      </c>
      <c r="AY172" s="224"/>
    </row>
    <row r="173" spans="1:51" ht="13.5" customHeight="1">
      <c r="A173" s="225" t="s">
        <v>39</v>
      </c>
      <c r="B173" s="226"/>
      <c r="C173" s="227"/>
      <c r="D173" s="228" t="str">
        <f>システム名</f>
        <v>○✕システム</v>
      </c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30"/>
      <c r="P173" s="231" t="s">
        <v>0</v>
      </c>
      <c r="Q173" s="226"/>
      <c r="R173" s="227"/>
      <c r="S173" s="232" t="str">
        <f>IF(顧客名&lt;&gt;"",顧客名,"")</f>
        <v>○✕○✕株式会社</v>
      </c>
      <c r="T173" s="233"/>
      <c r="U173" s="233"/>
      <c r="V173" s="233"/>
      <c r="W173" s="233"/>
      <c r="X173" s="233"/>
      <c r="Y173" s="233"/>
      <c r="Z173" s="233"/>
      <c r="AA173" s="233"/>
      <c r="AB173" s="233"/>
      <c r="AC173" s="233"/>
      <c r="AD173" s="233"/>
      <c r="AE173" s="233"/>
      <c r="AF173" s="234"/>
      <c r="AG173" s="235" t="s">
        <v>35</v>
      </c>
      <c r="AH173" s="235"/>
      <c r="AI173" s="235"/>
      <c r="AJ173" s="236">
        <f>作成日</f>
        <v>44287</v>
      </c>
      <c r="AK173" s="237"/>
      <c r="AL173" s="237"/>
      <c r="AM173" s="237"/>
      <c r="AN173" s="237"/>
      <c r="AO173" s="235" t="s">
        <v>36</v>
      </c>
      <c r="AP173" s="235"/>
      <c r="AQ173" s="235"/>
      <c r="AR173" s="238" t="str">
        <f>作成者</f>
        <v>○○　✕✕</v>
      </c>
      <c r="AS173" s="239"/>
      <c r="AT173" s="239"/>
      <c r="AU173" s="239"/>
      <c r="AV173" s="240"/>
      <c r="AX173" s="256"/>
      <c r="AY173" s="257"/>
    </row>
    <row r="174" spans="1:51" ht="13.5" customHeight="1">
      <c r="A174" s="242" t="s">
        <v>30</v>
      </c>
      <c r="B174" s="243"/>
      <c r="C174" s="244"/>
      <c r="D174" s="245"/>
      <c r="E174" s="246"/>
      <c r="F174" s="246"/>
      <c r="G174" s="246"/>
      <c r="H174" s="246"/>
      <c r="I174" s="246"/>
      <c r="J174" s="246"/>
      <c r="K174" s="246"/>
      <c r="L174" s="246"/>
      <c r="M174" s="246"/>
      <c r="N174" s="246"/>
      <c r="O174" s="247"/>
      <c r="P174" s="248" t="s">
        <v>2</v>
      </c>
      <c r="Q174" s="243"/>
      <c r="R174" s="244"/>
      <c r="S174" s="258"/>
      <c r="T174" s="259"/>
      <c r="U174" s="259"/>
      <c r="V174" s="259"/>
      <c r="W174" s="259"/>
      <c r="X174" s="259"/>
      <c r="Y174" s="259"/>
      <c r="Z174" s="259"/>
      <c r="AA174" s="259"/>
      <c r="AB174" s="259"/>
      <c r="AC174" s="259"/>
      <c r="AD174" s="259"/>
      <c r="AE174" s="259"/>
      <c r="AF174" s="260"/>
      <c r="AG174" s="250" t="s">
        <v>34</v>
      </c>
      <c r="AH174" s="250"/>
      <c r="AI174" s="250"/>
      <c r="AJ174" s="251"/>
      <c r="AK174" s="252"/>
      <c r="AL174" s="252"/>
      <c r="AM174" s="252"/>
      <c r="AN174" s="252"/>
      <c r="AO174" s="250" t="s">
        <v>33</v>
      </c>
      <c r="AP174" s="250"/>
      <c r="AQ174" s="250"/>
      <c r="AR174" s="253"/>
      <c r="AS174" s="254"/>
      <c r="AT174" s="254"/>
      <c r="AU174" s="254"/>
      <c r="AV174" s="255"/>
      <c r="AX174" s="257"/>
      <c r="AY174" s="257"/>
    </row>
    <row r="175" spans="1:51" ht="13.5" customHeight="1">
      <c r="A175" s="3"/>
      <c r="B175" s="4"/>
      <c r="C175" s="5"/>
      <c r="D175" s="6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7"/>
    </row>
    <row r="176" spans="1:51" ht="13.5" customHeight="1">
      <c r="A176" s="3"/>
      <c r="B176" s="4"/>
      <c r="C176" s="208" t="s">
        <v>31</v>
      </c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10"/>
      <c r="Q176" s="209" t="s">
        <v>11</v>
      </c>
      <c r="R176" s="209"/>
      <c r="S176" s="209"/>
      <c r="T176" s="209"/>
      <c r="U176" s="209"/>
      <c r="V176" s="209"/>
      <c r="W176" s="209"/>
      <c r="X176" s="209"/>
      <c r="Y176" s="209"/>
      <c r="Z176" s="209"/>
      <c r="AA176" s="209"/>
      <c r="AB176" s="209"/>
      <c r="AC176" s="209"/>
      <c r="AD176" s="209"/>
      <c r="AE176" s="209"/>
      <c r="AF176" s="209"/>
      <c r="AG176" s="209"/>
      <c r="AH176" s="209"/>
      <c r="AI176" s="209"/>
      <c r="AJ176" s="209"/>
      <c r="AK176" s="209"/>
      <c r="AL176" s="209"/>
      <c r="AM176" s="209"/>
      <c r="AN176" s="209"/>
      <c r="AO176" s="209"/>
      <c r="AP176" s="209"/>
      <c r="AQ176" s="209"/>
      <c r="AR176" s="209"/>
      <c r="AS176" s="209"/>
      <c r="AT176" s="210"/>
      <c r="AU176" s="4"/>
      <c r="AV176" s="7"/>
    </row>
    <row r="177" spans="1:48" ht="13.5" customHeight="1">
      <c r="A177" s="3"/>
      <c r="B177" s="4"/>
      <c r="C177" s="150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0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2"/>
      <c r="AU177" s="4"/>
      <c r="AV177" s="7"/>
    </row>
    <row r="178" spans="1:48" ht="13.5" customHeight="1">
      <c r="A178" s="3"/>
      <c r="B178" s="4"/>
      <c r="C178" s="153"/>
      <c r="D178" s="154"/>
      <c r="E178" s="154"/>
      <c r="F178" s="154"/>
      <c r="G178" s="154"/>
      <c r="H178" s="154"/>
      <c r="I178" s="154"/>
      <c r="J178" s="154"/>
      <c r="K178" s="154"/>
      <c r="L178" s="154"/>
      <c r="M178" s="154"/>
      <c r="N178" s="154"/>
      <c r="O178" s="154"/>
      <c r="P178" s="154"/>
      <c r="Q178" s="153"/>
      <c r="R178" s="154"/>
      <c r="S178" s="154"/>
      <c r="T178" s="154"/>
      <c r="U178" s="154"/>
      <c r="V178" s="154"/>
      <c r="W178" s="154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  <c r="AH178" s="154"/>
      <c r="AI178" s="154"/>
      <c r="AJ178" s="154"/>
      <c r="AK178" s="154"/>
      <c r="AL178" s="154"/>
      <c r="AM178" s="154"/>
      <c r="AN178" s="154"/>
      <c r="AO178" s="154"/>
      <c r="AP178" s="154"/>
      <c r="AQ178" s="154"/>
      <c r="AR178" s="154"/>
      <c r="AS178" s="154"/>
      <c r="AT178" s="155"/>
      <c r="AU178" s="4"/>
      <c r="AV178" s="7"/>
    </row>
    <row r="179" spans="1:48" ht="13.5" customHeight="1">
      <c r="A179" s="3"/>
      <c r="B179" s="4"/>
      <c r="C179" s="153"/>
      <c r="D179" s="154"/>
      <c r="E179" s="154"/>
      <c r="F179" s="154"/>
      <c r="G179" s="154"/>
      <c r="H179" s="154"/>
      <c r="I179" s="154"/>
      <c r="J179" s="154"/>
      <c r="K179" s="154"/>
      <c r="L179" s="154"/>
      <c r="M179" s="154"/>
      <c r="N179" s="154"/>
      <c r="O179" s="154"/>
      <c r="P179" s="154"/>
      <c r="Q179" s="153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  <c r="AI179" s="154"/>
      <c r="AJ179" s="154"/>
      <c r="AK179" s="154"/>
      <c r="AL179" s="154"/>
      <c r="AM179" s="154"/>
      <c r="AN179" s="154"/>
      <c r="AO179" s="154"/>
      <c r="AP179" s="154"/>
      <c r="AQ179" s="154"/>
      <c r="AR179" s="154"/>
      <c r="AS179" s="154"/>
      <c r="AT179" s="155"/>
      <c r="AU179" s="4"/>
      <c r="AV179" s="7"/>
    </row>
    <row r="180" spans="1:48" ht="13.5" customHeight="1">
      <c r="A180" s="3"/>
      <c r="B180" s="4"/>
      <c r="C180" s="153"/>
      <c r="D180" s="154"/>
      <c r="E180" s="154"/>
      <c r="F180" s="154"/>
      <c r="G180" s="154"/>
      <c r="H180" s="154"/>
      <c r="I180" s="154"/>
      <c r="J180" s="154"/>
      <c r="K180" s="154"/>
      <c r="L180" s="154"/>
      <c r="M180" s="154"/>
      <c r="N180" s="154"/>
      <c r="O180" s="154"/>
      <c r="P180" s="154"/>
      <c r="Q180" s="153"/>
      <c r="R180" s="154"/>
      <c r="S180" s="154"/>
      <c r="T180" s="154"/>
      <c r="U180" s="154"/>
      <c r="V180" s="154"/>
      <c r="W180" s="154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  <c r="AH180" s="154"/>
      <c r="AI180" s="154"/>
      <c r="AJ180" s="154"/>
      <c r="AK180" s="154"/>
      <c r="AL180" s="154"/>
      <c r="AM180" s="154"/>
      <c r="AN180" s="154"/>
      <c r="AO180" s="154"/>
      <c r="AP180" s="154"/>
      <c r="AQ180" s="154"/>
      <c r="AR180" s="154"/>
      <c r="AS180" s="154"/>
      <c r="AT180" s="155"/>
      <c r="AU180" s="4"/>
      <c r="AV180" s="7"/>
    </row>
    <row r="181" spans="1:48" ht="13.5" customHeight="1">
      <c r="A181" s="3"/>
      <c r="B181" s="4"/>
      <c r="C181" s="153"/>
      <c r="D181" s="154"/>
      <c r="E181" s="154"/>
      <c r="F181" s="154"/>
      <c r="G181" s="154"/>
      <c r="H181" s="154"/>
      <c r="I181" s="154"/>
      <c r="J181" s="154"/>
      <c r="K181" s="154"/>
      <c r="L181" s="154"/>
      <c r="M181" s="154"/>
      <c r="N181" s="154"/>
      <c r="O181" s="154"/>
      <c r="P181" s="154"/>
      <c r="Q181" s="153"/>
      <c r="R181" s="154"/>
      <c r="S181" s="154"/>
      <c r="T181" s="154"/>
      <c r="U181" s="154"/>
      <c r="V181" s="154"/>
      <c r="W181" s="154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  <c r="AH181" s="154"/>
      <c r="AI181" s="154"/>
      <c r="AJ181" s="154"/>
      <c r="AK181" s="154"/>
      <c r="AL181" s="154"/>
      <c r="AM181" s="154"/>
      <c r="AN181" s="154"/>
      <c r="AO181" s="154"/>
      <c r="AP181" s="154"/>
      <c r="AQ181" s="154"/>
      <c r="AR181" s="154"/>
      <c r="AS181" s="154"/>
      <c r="AT181" s="155"/>
      <c r="AU181" s="4"/>
      <c r="AV181" s="7"/>
    </row>
    <row r="182" spans="1:48" ht="13.5" customHeight="1">
      <c r="A182" s="3"/>
      <c r="B182" s="4"/>
      <c r="C182" s="153"/>
      <c r="D182" s="154"/>
      <c r="E182" s="154"/>
      <c r="F182" s="154"/>
      <c r="G182" s="154"/>
      <c r="H182" s="154"/>
      <c r="I182" s="154"/>
      <c r="J182" s="154"/>
      <c r="K182" s="154"/>
      <c r="L182" s="154"/>
      <c r="M182" s="154"/>
      <c r="N182" s="154"/>
      <c r="O182" s="154"/>
      <c r="P182" s="154"/>
      <c r="Q182" s="153"/>
      <c r="R182" s="154"/>
      <c r="S182" s="154"/>
      <c r="T182" s="154"/>
      <c r="U182" s="154"/>
      <c r="V182" s="154"/>
      <c r="W182" s="154"/>
      <c r="X182" s="154"/>
      <c r="Y182" s="154"/>
      <c r="Z182" s="154"/>
      <c r="AA182" s="154"/>
      <c r="AB182" s="154"/>
      <c r="AC182" s="154"/>
      <c r="AD182" s="154"/>
      <c r="AE182" s="154"/>
      <c r="AF182" s="154"/>
      <c r="AG182" s="154"/>
      <c r="AH182" s="154"/>
      <c r="AI182" s="154"/>
      <c r="AJ182" s="154"/>
      <c r="AK182" s="154"/>
      <c r="AL182" s="154"/>
      <c r="AM182" s="154"/>
      <c r="AN182" s="154"/>
      <c r="AO182" s="154"/>
      <c r="AP182" s="154"/>
      <c r="AQ182" s="154"/>
      <c r="AR182" s="154"/>
      <c r="AS182" s="154"/>
      <c r="AT182" s="155"/>
      <c r="AU182" s="4"/>
      <c r="AV182" s="7"/>
    </row>
    <row r="183" spans="1:48" ht="13.5" customHeight="1">
      <c r="A183" s="3"/>
      <c r="B183" s="4"/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3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5"/>
      <c r="AU183" s="4"/>
      <c r="AV183" s="7"/>
    </row>
    <row r="184" spans="1:48" ht="13.5" customHeight="1">
      <c r="A184" s="3"/>
      <c r="B184" s="4"/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4"/>
      <c r="O184" s="154"/>
      <c r="P184" s="154"/>
      <c r="Q184" s="153"/>
      <c r="R184" s="154"/>
      <c r="S184" s="154"/>
      <c r="T184" s="154"/>
      <c r="U184" s="154"/>
      <c r="V184" s="154"/>
      <c r="W184" s="154"/>
      <c r="X184" s="154"/>
      <c r="Y184" s="154"/>
      <c r="Z184" s="154"/>
      <c r="AA184" s="154"/>
      <c r="AB184" s="154"/>
      <c r="AC184" s="154"/>
      <c r="AD184" s="154"/>
      <c r="AE184" s="154"/>
      <c r="AF184" s="154"/>
      <c r="AG184" s="154"/>
      <c r="AH184" s="154"/>
      <c r="AI184" s="154"/>
      <c r="AJ184" s="154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4"/>
      <c r="AV184" s="7"/>
    </row>
    <row r="185" spans="1:48" ht="13.5" customHeight="1">
      <c r="A185" s="3"/>
      <c r="B185" s="4"/>
      <c r="C185" s="153"/>
      <c r="D185" s="154"/>
      <c r="E185" s="154"/>
      <c r="F185" s="154"/>
      <c r="G185" s="154"/>
      <c r="H185" s="154"/>
      <c r="I185" s="154"/>
      <c r="J185" s="154"/>
      <c r="K185" s="154"/>
      <c r="L185" s="154"/>
      <c r="M185" s="154"/>
      <c r="N185" s="154"/>
      <c r="O185" s="154"/>
      <c r="P185" s="154"/>
      <c r="Q185" s="153"/>
      <c r="R185" s="154"/>
      <c r="S185" s="154"/>
      <c r="T185" s="154"/>
      <c r="U185" s="154"/>
      <c r="V185" s="154"/>
      <c r="W185" s="154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54"/>
      <c r="AH185" s="154"/>
      <c r="AI185" s="154"/>
      <c r="AJ185" s="154"/>
      <c r="AK185" s="154"/>
      <c r="AL185" s="154"/>
      <c r="AM185" s="154"/>
      <c r="AN185" s="154"/>
      <c r="AO185" s="154"/>
      <c r="AP185" s="154"/>
      <c r="AQ185" s="154"/>
      <c r="AR185" s="154"/>
      <c r="AS185" s="154"/>
      <c r="AT185" s="155"/>
      <c r="AU185" s="4"/>
      <c r="AV185" s="7"/>
    </row>
    <row r="186" spans="1:48" ht="13.5" customHeight="1">
      <c r="A186" s="3"/>
      <c r="B186" s="4"/>
      <c r="C186" s="153"/>
      <c r="D186" s="154"/>
      <c r="E186" s="154"/>
      <c r="F186" s="154"/>
      <c r="G186" s="154"/>
      <c r="H186" s="154"/>
      <c r="I186" s="154"/>
      <c r="J186" s="154"/>
      <c r="K186" s="154"/>
      <c r="L186" s="154"/>
      <c r="M186" s="154"/>
      <c r="N186" s="154"/>
      <c r="O186" s="154"/>
      <c r="P186" s="154"/>
      <c r="Q186" s="153"/>
      <c r="R186" s="154"/>
      <c r="S186" s="154"/>
      <c r="T186" s="154"/>
      <c r="U186" s="154"/>
      <c r="V186" s="154"/>
      <c r="W186" s="154"/>
      <c r="X186" s="154"/>
      <c r="Y186" s="154"/>
      <c r="Z186" s="154"/>
      <c r="AA186" s="154"/>
      <c r="AB186" s="154"/>
      <c r="AC186" s="154"/>
      <c r="AD186" s="154"/>
      <c r="AE186" s="154"/>
      <c r="AF186" s="154"/>
      <c r="AG186" s="154"/>
      <c r="AH186" s="154"/>
      <c r="AI186" s="154"/>
      <c r="AJ186" s="154"/>
      <c r="AK186" s="154"/>
      <c r="AL186" s="154"/>
      <c r="AM186" s="154"/>
      <c r="AN186" s="154"/>
      <c r="AO186" s="154"/>
      <c r="AP186" s="154"/>
      <c r="AQ186" s="154"/>
      <c r="AR186" s="154"/>
      <c r="AS186" s="154"/>
      <c r="AT186" s="155"/>
      <c r="AU186" s="4"/>
      <c r="AV186" s="7"/>
    </row>
    <row r="187" spans="1:48" ht="13.5" customHeight="1">
      <c r="A187" s="3"/>
      <c r="B187" s="4"/>
      <c r="C187" s="153"/>
      <c r="D187" s="154"/>
      <c r="E187" s="154"/>
      <c r="F187" s="154"/>
      <c r="G187" s="154"/>
      <c r="H187" s="154"/>
      <c r="I187" s="154"/>
      <c r="J187" s="154"/>
      <c r="K187" s="154"/>
      <c r="L187" s="154"/>
      <c r="M187" s="154"/>
      <c r="N187" s="154"/>
      <c r="O187" s="154"/>
      <c r="P187" s="154"/>
      <c r="Q187" s="153"/>
      <c r="R187" s="154"/>
      <c r="S187" s="154"/>
      <c r="T187" s="154"/>
      <c r="U187" s="154"/>
      <c r="V187" s="154"/>
      <c r="W187" s="154"/>
      <c r="X187" s="154"/>
      <c r="Y187" s="154"/>
      <c r="Z187" s="154"/>
      <c r="AA187" s="154"/>
      <c r="AB187" s="154"/>
      <c r="AC187" s="154"/>
      <c r="AD187" s="154"/>
      <c r="AE187" s="154"/>
      <c r="AF187" s="154"/>
      <c r="AG187" s="154"/>
      <c r="AH187" s="154"/>
      <c r="AI187" s="154"/>
      <c r="AJ187" s="154"/>
      <c r="AK187" s="154"/>
      <c r="AL187" s="154"/>
      <c r="AM187" s="154"/>
      <c r="AN187" s="154"/>
      <c r="AO187" s="154"/>
      <c r="AP187" s="154"/>
      <c r="AQ187" s="154"/>
      <c r="AR187" s="154"/>
      <c r="AS187" s="154"/>
      <c r="AT187" s="155"/>
      <c r="AU187" s="4"/>
      <c r="AV187" s="7"/>
    </row>
    <row r="188" spans="1:48" ht="13.5" customHeight="1">
      <c r="A188" s="3"/>
      <c r="B188" s="4"/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4"/>
      <c r="O188" s="154"/>
      <c r="P188" s="154"/>
      <c r="Q188" s="153"/>
      <c r="R188" s="154"/>
      <c r="S188" s="154"/>
      <c r="T188" s="154"/>
      <c r="U188" s="154"/>
      <c r="V188" s="154"/>
      <c r="W188" s="154"/>
      <c r="X188" s="154"/>
      <c r="Y188" s="154"/>
      <c r="Z188" s="154"/>
      <c r="AA188" s="154"/>
      <c r="AB188" s="154"/>
      <c r="AC188" s="154"/>
      <c r="AD188" s="154"/>
      <c r="AE188" s="154"/>
      <c r="AF188" s="154"/>
      <c r="AG188" s="154"/>
      <c r="AH188" s="154"/>
      <c r="AI188" s="154"/>
      <c r="AJ188" s="154"/>
      <c r="AK188" s="154"/>
      <c r="AL188" s="154"/>
      <c r="AM188" s="154"/>
      <c r="AN188" s="154"/>
      <c r="AO188" s="154"/>
      <c r="AP188" s="154"/>
      <c r="AQ188" s="154"/>
      <c r="AR188" s="154"/>
      <c r="AS188" s="154"/>
      <c r="AT188" s="155"/>
      <c r="AU188" s="4"/>
      <c r="AV188" s="7"/>
    </row>
    <row r="189" spans="1:48" ht="13.5" customHeight="1">
      <c r="A189" s="3"/>
      <c r="B189" s="4"/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4"/>
      <c r="O189" s="154"/>
      <c r="P189" s="154"/>
      <c r="Q189" s="153"/>
      <c r="R189" s="154"/>
      <c r="S189" s="154"/>
      <c r="T189" s="154"/>
      <c r="U189" s="154"/>
      <c r="V189" s="154"/>
      <c r="W189" s="154"/>
      <c r="X189" s="154"/>
      <c r="Y189" s="154"/>
      <c r="Z189" s="154"/>
      <c r="AA189" s="154"/>
      <c r="AB189" s="154"/>
      <c r="AC189" s="154"/>
      <c r="AD189" s="154"/>
      <c r="AE189" s="154"/>
      <c r="AF189" s="154"/>
      <c r="AG189" s="154"/>
      <c r="AH189" s="154"/>
      <c r="AI189" s="154"/>
      <c r="AJ189" s="154"/>
      <c r="AK189" s="154"/>
      <c r="AL189" s="154"/>
      <c r="AM189" s="154"/>
      <c r="AN189" s="154"/>
      <c r="AO189" s="154"/>
      <c r="AP189" s="154"/>
      <c r="AQ189" s="154"/>
      <c r="AR189" s="154"/>
      <c r="AS189" s="154"/>
      <c r="AT189" s="155"/>
      <c r="AU189" s="4"/>
      <c r="AV189" s="7"/>
    </row>
    <row r="190" spans="1:48" ht="13.5" customHeight="1">
      <c r="A190" s="3"/>
      <c r="B190" s="4"/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4"/>
      <c r="O190" s="154"/>
      <c r="P190" s="154"/>
      <c r="Q190" s="153"/>
      <c r="R190" s="154"/>
      <c r="S190" s="154"/>
      <c r="T190" s="154"/>
      <c r="U190" s="154"/>
      <c r="V190" s="154"/>
      <c r="W190" s="154"/>
      <c r="X190" s="154"/>
      <c r="Y190" s="154"/>
      <c r="Z190" s="154"/>
      <c r="AA190" s="154"/>
      <c r="AB190" s="154"/>
      <c r="AC190" s="154"/>
      <c r="AD190" s="154"/>
      <c r="AE190" s="154"/>
      <c r="AF190" s="154"/>
      <c r="AG190" s="154"/>
      <c r="AH190" s="154"/>
      <c r="AI190" s="154"/>
      <c r="AJ190" s="154"/>
      <c r="AK190" s="154"/>
      <c r="AL190" s="154"/>
      <c r="AM190" s="154"/>
      <c r="AN190" s="154"/>
      <c r="AO190" s="154"/>
      <c r="AP190" s="154"/>
      <c r="AQ190" s="154"/>
      <c r="AR190" s="154"/>
      <c r="AS190" s="154"/>
      <c r="AT190" s="155"/>
      <c r="AU190" s="4"/>
      <c r="AV190" s="7"/>
    </row>
    <row r="191" spans="1:48" ht="13.5" customHeight="1">
      <c r="A191" s="3"/>
      <c r="B191" s="4"/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4"/>
      <c r="O191" s="154"/>
      <c r="P191" s="154"/>
      <c r="Q191" s="153"/>
      <c r="R191" s="154"/>
      <c r="S191" s="154"/>
      <c r="T191" s="154"/>
      <c r="U191" s="154"/>
      <c r="V191" s="154"/>
      <c r="W191" s="154"/>
      <c r="X191" s="154"/>
      <c r="Y191" s="154"/>
      <c r="Z191" s="154"/>
      <c r="AA191" s="154"/>
      <c r="AB191" s="154"/>
      <c r="AC191" s="154"/>
      <c r="AD191" s="154"/>
      <c r="AE191" s="154"/>
      <c r="AF191" s="154"/>
      <c r="AG191" s="154"/>
      <c r="AH191" s="154"/>
      <c r="AI191" s="154"/>
      <c r="AJ191" s="154"/>
      <c r="AK191" s="154"/>
      <c r="AL191" s="154"/>
      <c r="AM191" s="154"/>
      <c r="AN191" s="154"/>
      <c r="AO191" s="154"/>
      <c r="AP191" s="154"/>
      <c r="AQ191" s="154"/>
      <c r="AR191" s="154"/>
      <c r="AS191" s="154"/>
      <c r="AT191" s="155"/>
      <c r="AU191" s="4"/>
      <c r="AV191" s="7"/>
    </row>
    <row r="192" spans="1:48" ht="13.5" customHeight="1">
      <c r="A192" s="3"/>
      <c r="B192" s="4"/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4"/>
      <c r="O192" s="154"/>
      <c r="P192" s="154"/>
      <c r="Q192" s="153"/>
      <c r="R192" s="154"/>
      <c r="S192" s="154"/>
      <c r="T192" s="154"/>
      <c r="U192" s="154"/>
      <c r="V192" s="154"/>
      <c r="W192" s="154"/>
      <c r="X192" s="154"/>
      <c r="Y192" s="154"/>
      <c r="Z192" s="154"/>
      <c r="AA192" s="154"/>
      <c r="AB192" s="154"/>
      <c r="AC192" s="154"/>
      <c r="AD192" s="154"/>
      <c r="AE192" s="154"/>
      <c r="AF192" s="154"/>
      <c r="AG192" s="154"/>
      <c r="AH192" s="154"/>
      <c r="AI192" s="154"/>
      <c r="AJ192" s="154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4"/>
      <c r="AV192" s="7"/>
    </row>
    <row r="193" spans="1:48" ht="13.5" customHeight="1">
      <c r="A193" s="3"/>
      <c r="B193" s="4"/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4"/>
      <c r="O193" s="154"/>
      <c r="P193" s="154"/>
      <c r="Q193" s="153"/>
      <c r="R193" s="154"/>
      <c r="S193" s="154"/>
      <c r="T193" s="154"/>
      <c r="U193" s="154"/>
      <c r="V193" s="154"/>
      <c r="W193" s="154"/>
      <c r="X193" s="154"/>
      <c r="Y193" s="154"/>
      <c r="Z193" s="154"/>
      <c r="AA193" s="154"/>
      <c r="AB193" s="154"/>
      <c r="AC193" s="154"/>
      <c r="AD193" s="154"/>
      <c r="AE193" s="154"/>
      <c r="AF193" s="154"/>
      <c r="AG193" s="154"/>
      <c r="AH193" s="154"/>
      <c r="AI193" s="154"/>
      <c r="AJ193" s="154"/>
      <c r="AK193" s="154"/>
      <c r="AL193" s="154"/>
      <c r="AM193" s="154"/>
      <c r="AN193" s="154"/>
      <c r="AO193" s="154"/>
      <c r="AP193" s="154"/>
      <c r="AQ193" s="154"/>
      <c r="AR193" s="154"/>
      <c r="AS193" s="154"/>
      <c r="AT193" s="155"/>
      <c r="AU193" s="4"/>
      <c r="AV193" s="7"/>
    </row>
    <row r="194" spans="1:48" ht="13.5" customHeight="1">
      <c r="A194" s="3"/>
      <c r="B194" s="4"/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4"/>
      <c r="O194" s="154"/>
      <c r="P194" s="154"/>
      <c r="Q194" s="153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5"/>
      <c r="AU194" s="4"/>
      <c r="AV194" s="7"/>
    </row>
    <row r="195" spans="1:48" ht="13.5" customHeight="1">
      <c r="A195" s="3"/>
      <c r="B195" s="4"/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4"/>
      <c r="O195" s="154"/>
      <c r="P195" s="154"/>
      <c r="Q195" s="153"/>
      <c r="R195" s="154"/>
      <c r="S195" s="154"/>
      <c r="T195" s="154"/>
      <c r="U195" s="154"/>
      <c r="V195" s="154"/>
      <c r="W195" s="154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  <c r="AH195" s="154"/>
      <c r="AI195" s="154"/>
      <c r="AJ195" s="154"/>
      <c r="AK195" s="154"/>
      <c r="AL195" s="154"/>
      <c r="AM195" s="154"/>
      <c r="AN195" s="154"/>
      <c r="AO195" s="154"/>
      <c r="AP195" s="154"/>
      <c r="AQ195" s="154"/>
      <c r="AR195" s="154"/>
      <c r="AS195" s="154"/>
      <c r="AT195" s="155"/>
      <c r="AU195" s="4"/>
      <c r="AV195" s="7"/>
    </row>
    <row r="196" spans="1:48" ht="13.5" customHeight="1">
      <c r="A196" s="3"/>
      <c r="B196" s="4"/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4"/>
      <c r="O196" s="154"/>
      <c r="P196" s="154"/>
      <c r="Q196" s="153"/>
      <c r="R196" s="154"/>
      <c r="S196" s="154"/>
      <c r="T196" s="154"/>
      <c r="U196" s="154"/>
      <c r="V196" s="154"/>
      <c r="W196" s="154"/>
      <c r="X196" s="154"/>
      <c r="Y196" s="154"/>
      <c r="Z196" s="154"/>
      <c r="AA196" s="154"/>
      <c r="AB196" s="154"/>
      <c r="AC196" s="154"/>
      <c r="AD196" s="154"/>
      <c r="AE196" s="154"/>
      <c r="AF196" s="154"/>
      <c r="AG196" s="154"/>
      <c r="AH196" s="154"/>
      <c r="AI196" s="154"/>
      <c r="AJ196" s="154"/>
      <c r="AK196" s="154"/>
      <c r="AL196" s="154"/>
      <c r="AM196" s="154"/>
      <c r="AN196" s="154"/>
      <c r="AO196" s="154"/>
      <c r="AP196" s="154"/>
      <c r="AQ196" s="154"/>
      <c r="AR196" s="154"/>
      <c r="AS196" s="154"/>
      <c r="AT196" s="155"/>
      <c r="AU196" s="4"/>
      <c r="AV196" s="7"/>
    </row>
    <row r="197" spans="1:48" ht="13.5" customHeight="1">
      <c r="A197" s="3"/>
      <c r="B197" s="4"/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4"/>
      <c r="O197" s="154"/>
      <c r="P197" s="154"/>
      <c r="Q197" s="153"/>
      <c r="R197" s="154"/>
      <c r="S197" s="154"/>
      <c r="T197" s="154"/>
      <c r="U197" s="154"/>
      <c r="V197" s="154"/>
      <c r="W197" s="154"/>
      <c r="X197" s="154"/>
      <c r="Y197" s="154"/>
      <c r="Z197" s="154"/>
      <c r="AA197" s="154"/>
      <c r="AB197" s="154"/>
      <c r="AC197" s="154"/>
      <c r="AD197" s="154"/>
      <c r="AE197" s="154"/>
      <c r="AF197" s="154"/>
      <c r="AG197" s="154"/>
      <c r="AH197" s="154"/>
      <c r="AI197" s="154"/>
      <c r="AJ197" s="154"/>
      <c r="AK197" s="154"/>
      <c r="AL197" s="154"/>
      <c r="AM197" s="154"/>
      <c r="AN197" s="154"/>
      <c r="AO197" s="154"/>
      <c r="AP197" s="154"/>
      <c r="AQ197" s="154"/>
      <c r="AR197" s="154"/>
      <c r="AS197" s="154"/>
      <c r="AT197" s="155"/>
      <c r="AU197" s="4"/>
      <c r="AV197" s="7"/>
    </row>
    <row r="198" spans="1:48" ht="13.5" customHeight="1">
      <c r="A198" s="3"/>
      <c r="B198" s="4"/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4"/>
      <c r="O198" s="154"/>
      <c r="P198" s="154"/>
      <c r="Q198" s="153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  <c r="AH198" s="154"/>
      <c r="AI198" s="154"/>
      <c r="AJ198" s="154"/>
      <c r="AK198" s="154"/>
      <c r="AL198" s="154"/>
      <c r="AM198" s="154"/>
      <c r="AN198" s="154"/>
      <c r="AO198" s="154"/>
      <c r="AP198" s="154"/>
      <c r="AQ198" s="154"/>
      <c r="AR198" s="154"/>
      <c r="AS198" s="154"/>
      <c r="AT198" s="155"/>
      <c r="AU198" s="4"/>
      <c r="AV198" s="7"/>
    </row>
    <row r="199" spans="1:48" ht="13.5" customHeight="1">
      <c r="A199" s="3"/>
      <c r="B199" s="4"/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4"/>
      <c r="O199" s="154"/>
      <c r="P199" s="154"/>
      <c r="Q199" s="153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154"/>
      <c r="AC199" s="154"/>
      <c r="AD199" s="154"/>
      <c r="AE199" s="154"/>
      <c r="AF199" s="154"/>
      <c r="AG199" s="154"/>
      <c r="AH199" s="154"/>
      <c r="AI199" s="154"/>
      <c r="AJ199" s="154"/>
      <c r="AK199" s="154"/>
      <c r="AL199" s="154"/>
      <c r="AM199" s="154"/>
      <c r="AN199" s="154"/>
      <c r="AO199" s="154"/>
      <c r="AP199" s="154"/>
      <c r="AQ199" s="154"/>
      <c r="AR199" s="154"/>
      <c r="AS199" s="154"/>
      <c r="AT199" s="155"/>
      <c r="AU199" s="4"/>
      <c r="AV199" s="7"/>
    </row>
    <row r="200" spans="1:48" ht="13.5" customHeight="1">
      <c r="A200" s="3"/>
      <c r="B200" s="4"/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4"/>
      <c r="O200" s="154"/>
      <c r="P200" s="154"/>
      <c r="Q200" s="153"/>
      <c r="R200" s="154"/>
      <c r="S200" s="154"/>
      <c r="T200" s="154"/>
      <c r="U200" s="154"/>
      <c r="V200" s="154"/>
      <c r="W200" s="154"/>
      <c r="X200" s="154"/>
      <c r="Y200" s="154"/>
      <c r="Z200" s="154"/>
      <c r="AA200" s="154"/>
      <c r="AB200" s="154"/>
      <c r="AC200" s="154"/>
      <c r="AD200" s="154"/>
      <c r="AE200" s="154"/>
      <c r="AF200" s="154"/>
      <c r="AG200" s="154"/>
      <c r="AH200" s="154"/>
      <c r="AI200" s="154"/>
      <c r="AJ200" s="154"/>
      <c r="AK200" s="154"/>
      <c r="AL200" s="154"/>
      <c r="AM200" s="154"/>
      <c r="AN200" s="154"/>
      <c r="AO200" s="154"/>
      <c r="AP200" s="154"/>
      <c r="AQ200" s="154"/>
      <c r="AR200" s="154"/>
      <c r="AS200" s="154"/>
      <c r="AT200" s="155"/>
      <c r="AU200" s="4"/>
      <c r="AV200" s="7"/>
    </row>
    <row r="201" spans="1:48" ht="13.5" customHeight="1">
      <c r="A201" s="3"/>
      <c r="B201" s="4"/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4"/>
      <c r="O201" s="154"/>
      <c r="P201" s="154"/>
      <c r="Q201" s="153"/>
      <c r="R201" s="154"/>
      <c r="S201" s="154"/>
      <c r="T201" s="154"/>
      <c r="U201" s="154"/>
      <c r="V201" s="154"/>
      <c r="W201" s="154"/>
      <c r="X201" s="154"/>
      <c r="Y201" s="154"/>
      <c r="Z201" s="154"/>
      <c r="AA201" s="154"/>
      <c r="AB201" s="154"/>
      <c r="AC201" s="154"/>
      <c r="AD201" s="154"/>
      <c r="AE201" s="154"/>
      <c r="AF201" s="154"/>
      <c r="AG201" s="154"/>
      <c r="AH201" s="154"/>
      <c r="AI201" s="154"/>
      <c r="AJ201" s="154"/>
      <c r="AK201" s="154"/>
      <c r="AL201" s="154"/>
      <c r="AM201" s="154"/>
      <c r="AN201" s="154"/>
      <c r="AO201" s="154"/>
      <c r="AP201" s="154"/>
      <c r="AQ201" s="154"/>
      <c r="AR201" s="154"/>
      <c r="AS201" s="154"/>
      <c r="AT201" s="155"/>
      <c r="AU201" s="4"/>
      <c r="AV201" s="7"/>
    </row>
    <row r="202" spans="1:48" ht="13.5" customHeight="1">
      <c r="A202" s="3"/>
      <c r="B202" s="4"/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4"/>
      <c r="O202" s="154"/>
      <c r="P202" s="154"/>
      <c r="Q202" s="153"/>
      <c r="R202" s="154"/>
      <c r="S202" s="154"/>
      <c r="T202" s="154"/>
      <c r="U202" s="154"/>
      <c r="V202" s="154"/>
      <c r="W202" s="154"/>
      <c r="X202" s="154"/>
      <c r="Y202" s="154"/>
      <c r="Z202" s="154"/>
      <c r="AA202" s="154"/>
      <c r="AB202" s="154"/>
      <c r="AC202" s="154"/>
      <c r="AD202" s="154"/>
      <c r="AE202" s="154"/>
      <c r="AF202" s="154"/>
      <c r="AG202" s="154"/>
      <c r="AH202" s="154"/>
      <c r="AI202" s="154"/>
      <c r="AJ202" s="154"/>
      <c r="AK202" s="154"/>
      <c r="AL202" s="154"/>
      <c r="AM202" s="154"/>
      <c r="AN202" s="154"/>
      <c r="AO202" s="154"/>
      <c r="AP202" s="154"/>
      <c r="AQ202" s="154"/>
      <c r="AR202" s="154"/>
      <c r="AS202" s="154"/>
      <c r="AT202" s="155"/>
      <c r="AU202" s="4"/>
      <c r="AV202" s="7"/>
    </row>
    <row r="203" spans="1:48" ht="13.5" customHeight="1">
      <c r="A203" s="3"/>
      <c r="B203" s="4"/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4"/>
      <c r="O203" s="154"/>
      <c r="P203" s="154"/>
      <c r="Q203" s="153"/>
      <c r="R203" s="154"/>
      <c r="S203" s="154"/>
      <c r="T203" s="154"/>
      <c r="U203" s="154"/>
      <c r="V203" s="154"/>
      <c r="W203" s="154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  <c r="AH203" s="154"/>
      <c r="AI203" s="154"/>
      <c r="AJ203" s="154"/>
      <c r="AK203" s="154"/>
      <c r="AL203" s="154"/>
      <c r="AM203" s="154"/>
      <c r="AN203" s="154"/>
      <c r="AO203" s="154"/>
      <c r="AP203" s="154"/>
      <c r="AQ203" s="154"/>
      <c r="AR203" s="154"/>
      <c r="AS203" s="154"/>
      <c r="AT203" s="155"/>
      <c r="AU203" s="4"/>
      <c r="AV203" s="7"/>
    </row>
    <row r="204" spans="1:48" ht="13.5" customHeight="1">
      <c r="A204" s="3"/>
      <c r="B204" s="4"/>
      <c r="C204" s="156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6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  <c r="AL204" s="157"/>
      <c r="AM204" s="157"/>
      <c r="AN204" s="157"/>
      <c r="AO204" s="157"/>
      <c r="AP204" s="157"/>
      <c r="AQ204" s="157"/>
      <c r="AR204" s="157"/>
      <c r="AS204" s="157"/>
      <c r="AT204" s="158"/>
      <c r="AU204" s="4"/>
      <c r="AV204" s="7"/>
    </row>
    <row r="205" spans="1:48" ht="13.5" customHeight="1">
      <c r="A205" s="3"/>
      <c r="B205" s="4"/>
      <c r="C205" s="5"/>
      <c r="D205" s="6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7"/>
    </row>
    <row r="206" spans="1:48" ht="13.5" customHeight="1">
      <c r="A206" s="3"/>
      <c r="B206" s="4"/>
      <c r="C206" s="5"/>
      <c r="D206" s="6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7"/>
    </row>
    <row r="207" spans="1:48" ht="13.5" customHeight="1">
      <c r="A207" s="3"/>
      <c r="B207" s="4"/>
      <c r="C207" s="5"/>
      <c r="D207" s="6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7"/>
    </row>
    <row r="208" spans="1:48" ht="13.5" customHeight="1">
      <c r="A208" s="3"/>
      <c r="B208" s="4"/>
      <c r="C208" s="5"/>
      <c r="D208" s="6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7"/>
    </row>
    <row r="209" spans="1:51" ht="13.5" customHeight="1">
      <c r="A209" s="3"/>
      <c r="B209" s="4"/>
      <c r="C209" s="5"/>
      <c r="D209" s="6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7"/>
      <c r="AX209" s="50"/>
      <c r="AY209" s="50"/>
    </row>
    <row r="210" spans="1:51" ht="13.5" customHeight="1">
      <c r="A210" s="3"/>
      <c r="B210" s="4"/>
      <c r="C210" s="5"/>
      <c r="D210" s="6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7"/>
      <c r="AX210" s="50"/>
      <c r="AY210" s="50"/>
    </row>
    <row r="211" spans="1:51" ht="13.5" customHeight="1">
      <c r="A211" s="3"/>
      <c r="B211" s="4"/>
      <c r="C211" s="5"/>
      <c r="D211" s="6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7"/>
      <c r="AX211" s="50"/>
      <c r="AY211" s="50"/>
    </row>
    <row r="212" spans="1:51" ht="13.5" customHeight="1">
      <c r="A212" s="3"/>
      <c r="B212" s="4"/>
      <c r="C212" s="5"/>
      <c r="D212" s="6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7"/>
      <c r="AX212" s="50"/>
      <c r="AY212" s="50"/>
    </row>
    <row r="213" spans="1:51" ht="13.5" customHeight="1">
      <c r="A213" s="3"/>
      <c r="B213" s="4"/>
      <c r="C213" s="5"/>
      <c r="D213" s="6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7"/>
      <c r="AX213" s="50"/>
      <c r="AY213" s="50"/>
    </row>
    <row r="214" spans="1:51" ht="13.5" customHeight="1">
      <c r="A214" s="3"/>
      <c r="B214" s="4"/>
      <c r="C214" s="5"/>
      <c r="D214" s="6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7"/>
      <c r="AX214" s="50"/>
      <c r="AY214" s="50"/>
    </row>
    <row r="215" spans="1:51" ht="13.5" customHeight="1" thickBot="1">
      <c r="A215" s="8"/>
      <c r="B215" s="9"/>
      <c r="C215" s="10"/>
      <c r="D215" s="11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12"/>
      <c r="AX215" s="223" t="str">
        <f>HYPERLINK("#$A$1","目次へ")</f>
        <v>目次へ</v>
      </c>
      <c r="AY215" s="224"/>
    </row>
    <row r="216" spans="1:51" s="119" customFormat="1" ht="13.5" customHeight="1">
      <c r="A216" s="225" t="s">
        <v>39</v>
      </c>
      <c r="B216" s="226"/>
      <c r="C216" s="227"/>
      <c r="D216" s="228" t="str">
        <f>システム名</f>
        <v>○✕システム</v>
      </c>
      <c r="E216" s="229"/>
      <c r="F216" s="229"/>
      <c r="G216" s="229"/>
      <c r="H216" s="229"/>
      <c r="I216" s="229"/>
      <c r="J216" s="229"/>
      <c r="K216" s="229"/>
      <c r="L216" s="229"/>
      <c r="M216" s="229"/>
      <c r="N216" s="229"/>
      <c r="O216" s="230"/>
      <c r="P216" s="231" t="s">
        <v>0</v>
      </c>
      <c r="Q216" s="226"/>
      <c r="R216" s="227"/>
      <c r="S216" s="232" t="str">
        <f>IF(顧客名&lt;&gt;"",顧客名,"")</f>
        <v>○✕○✕株式会社</v>
      </c>
      <c r="T216" s="233"/>
      <c r="U216" s="233"/>
      <c r="V216" s="233"/>
      <c r="W216" s="233"/>
      <c r="X216" s="233"/>
      <c r="Y216" s="233"/>
      <c r="Z216" s="233"/>
      <c r="AA216" s="233"/>
      <c r="AB216" s="233"/>
      <c r="AC216" s="233"/>
      <c r="AD216" s="233"/>
      <c r="AE216" s="233"/>
      <c r="AF216" s="234"/>
      <c r="AG216" s="235" t="s">
        <v>35</v>
      </c>
      <c r="AH216" s="235"/>
      <c r="AI216" s="235"/>
      <c r="AJ216" s="236">
        <f>作成日</f>
        <v>44287</v>
      </c>
      <c r="AK216" s="237"/>
      <c r="AL216" s="237"/>
      <c r="AM216" s="237"/>
      <c r="AN216" s="237"/>
      <c r="AO216" s="235" t="s">
        <v>36</v>
      </c>
      <c r="AP216" s="235"/>
      <c r="AQ216" s="235"/>
      <c r="AR216" s="238" t="str">
        <f>作成者</f>
        <v>○○　✕✕</v>
      </c>
      <c r="AS216" s="239"/>
      <c r="AT216" s="239"/>
      <c r="AU216" s="239"/>
      <c r="AV216" s="240"/>
      <c r="AX216" s="256"/>
      <c r="AY216" s="257"/>
    </row>
    <row r="217" spans="1:51" s="119" customFormat="1" ht="13.5" customHeight="1">
      <c r="A217" s="242" t="s">
        <v>30</v>
      </c>
      <c r="B217" s="243"/>
      <c r="C217" s="244"/>
      <c r="D217" s="245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7"/>
      <c r="P217" s="248" t="s">
        <v>2</v>
      </c>
      <c r="Q217" s="243"/>
      <c r="R217" s="244"/>
      <c r="S217" s="258"/>
      <c r="T217" s="259"/>
      <c r="U217" s="259"/>
      <c r="V217" s="259"/>
      <c r="W217" s="259"/>
      <c r="X217" s="259"/>
      <c r="Y217" s="259"/>
      <c r="Z217" s="259"/>
      <c r="AA217" s="259"/>
      <c r="AB217" s="259"/>
      <c r="AC217" s="259"/>
      <c r="AD217" s="259"/>
      <c r="AE217" s="259"/>
      <c r="AF217" s="260"/>
      <c r="AG217" s="250" t="s">
        <v>34</v>
      </c>
      <c r="AH217" s="250"/>
      <c r="AI217" s="250"/>
      <c r="AJ217" s="251"/>
      <c r="AK217" s="252"/>
      <c r="AL217" s="252"/>
      <c r="AM217" s="252"/>
      <c r="AN217" s="252"/>
      <c r="AO217" s="250" t="s">
        <v>33</v>
      </c>
      <c r="AP217" s="250"/>
      <c r="AQ217" s="250"/>
      <c r="AR217" s="253"/>
      <c r="AS217" s="254"/>
      <c r="AT217" s="254"/>
      <c r="AU217" s="254"/>
      <c r="AV217" s="255"/>
      <c r="AX217" s="257"/>
      <c r="AY217" s="257"/>
    </row>
    <row r="218" spans="1:51" s="119" customFormat="1" ht="13.5" customHeight="1">
      <c r="A218" s="47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48"/>
    </row>
    <row r="219" spans="1:51" s="119" customFormat="1" ht="13.5" customHeight="1">
      <c r="A219" s="3"/>
      <c r="B219" s="28" t="s">
        <v>84</v>
      </c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</row>
    <row r="220" spans="1:51" s="119" customFormat="1" ht="13.5" customHeight="1">
      <c r="A220" s="3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7"/>
    </row>
    <row r="221" spans="1:51" s="119" customFormat="1" ht="13.5" customHeight="1">
      <c r="A221" s="3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7"/>
    </row>
    <row r="222" spans="1:51" s="119" customFormat="1" ht="13.5" customHeight="1">
      <c r="A222" s="3"/>
      <c r="B222" s="118"/>
      <c r="C222" s="205" t="s">
        <v>92</v>
      </c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6"/>
      <c r="AH222" s="206"/>
      <c r="AI222" s="206"/>
      <c r="AJ222" s="206"/>
      <c r="AK222" s="206"/>
      <c r="AL222" s="206"/>
      <c r="AM222" s="206"/>
      <c r="AN222" s="206"/>
      <c r="AO222" s="206"/>
      <c r="AP222" s="206"/>
      <c r="AQ222" s="206"/>
      <c r="AR222" s="206"/>
      <c r="AS222" s="206"/>
      <c r="AT222" s="206"/>
      <c r="AU222" s="207"/>
      <c r="AV222" s="7"/>
    </row>
    <row r="223" spans="1:51" s="119" customFormat="1" ht="13.5" customHeight="1">
      <c r="A223" s="3"/>
      <c r="B223" s="118"/>
      <c r="C223" s="205" t="s">
        <v>22</v>
      </c>
      <c r="D223" s="206"/>
      <c r="E223" s="206"/>
      <c r="F223" s="206"/>
      <c r="G223" s="206"/>
      <c r="H223" s="206"/>
      <c r="I223" s="206"/>
      <c r="J223" s="207"/>
      <c r="K223" s="133" t="s">
        <v>93</v>
      </c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  <c r="AA223" s="134"/>
      <c r="AB223" s="134"/>
      <c r="AC223" s="134"/>
      <c r="AD223" s="134"/>
      <c r="AE223" s="134"/>
      <c r="AF223" s="134"/>
      <c r="AG223" s="134"/>
      <c r="AH223" s="134"/>
      <c r="AI223" s="134"/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4"/>
      <c r="AT223" s="134"/>
      <c r="AU223" s="135"/>
      <c r="AV223" s="7"/>
    </row>
    <row r="224" spans="1:51" s="119" customFormat="1" ht="13.5" customHeight="1">
      <c r="A224" s="3"/>
      <c r="B224" s="118"/>
      <c r="C224" s="205" t="s">
        <v>94</v>
      </c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  <c r="AD224" s="206"/>
      <c r="AE224" s="206"/>
      <c r="AF224" s="206"/>
      <c r="AG224" s="206"/>
      <c r="AH224" s="206"/>
      <c r="AI224" s="206"/>
      <c r="AJ224" s="206"/>
      <c r="AK224" s="206"/>
      <c r="AL224" s="206"/>
      <c r="AM224" s="206"/>
      <c r="AN224" s="206"/>
      <c r="AO224" s="206"/>
      <c r="AP224" s="206"/>
      <c r="AQ224" s="206"/>
      <c r="AR224" s="206"/>
      <c r="AS224" s="206"/>
      <c r="AT224" s="206"/>
      <c r="AU224" s="207"/>
      <c r="AV224" s="7"/>
    </row>
    <row r="225" spans="1:48" s="119" customFormat="1" ht="13.5" customHeight="1">
      <c r="A225" s="3"/>
      <c r="B225" s="118"/>
      <c r="C225" s="205" t="s">
        <v>95</v>
      </c>
      <c r="D225" s="205" t="s">
        <v>96</v>
      </c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7"/>
      <c r="P225" s="205" t="s">
        <v>97</v>
      </c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  <c r="AD225" s="206"/>
      <c r="AE225" s="205" t="s">
        <v>98</v>
      </c>
      <c r="AF225" s="206"/>
      <c r="AG225" s="207"/>
      <c r="AH225" s="205" t="s">
        <v>99</v>
      </c>
      <c r="AI225" s="207"/>
      <c r="AJ225" s="205" t="s">
        <v>100</v>
      </c>
      <c r="AK225" s="206"/>
      <c r="AL225" s="207"/>
      <c r="AM225" s="206" t="s">
        <v>101</v>
      </c>
      <c r="AN225" s="206"/>
      <c r="AO225" s="206"/>
      <c r="AP225" s="206"/>
      <c r="AQ225" s="206"/>
      <c r="AR225" s="206"/>
      <c r="AS225" s="206"/>
      <c r="AT225" s="206"/>
      <c r="AU225" s="207"/>
      <c r="AV225" s="7"/>
    </row>
    <row r="226" spans="1:48" s="119" customFormat="1" ht="13.5" customHeight="1">
      <c r="A226" s="3"/>
      <c r="B226" s="118"/>
      <c r="C226" s="114">
        <v>1</v>
      </c>
      <c r="D226" s="115"/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7"/>
      <c r="P226" s="115"/>
      <c r="Q226" s="116"/>
      <c r="R226" s="116"/>
      <c r="S226" s="116"/>
      <c r="T226" s="116"/>
      <c r="U226" s="116"/>
      <c r="V226" s="116"/>
      <c r="W226" s="116"/>
      <c r="X226" s="116"/>
      <c r="Y226" s="116"/>
      <c r="Z226" s="161"/>
      <c r="AA226" s="116"/>
      <c r="AB226" s="116"/>
      <c r="AC226" s="116"/>
      <c r="AD226" s="116"/>
      <c r="AE226" s="136"/>
      <c r="AF226" s="137"/>
      <c r="AG226" s="138"/>
      <c r="AH226" s="136"/>
      <c r="AI226" s="138"/>
      <c r="AJ226" s="136"/>
      <c r="AK226" s="137"/>
      <c r="AL226" s="138"/>
      <c r="AM226" s="115"/>
      <c r="AN226" s="116"/>
      <c r="AO226" s="116"/>
      <c r="AP226" s="116"/>
      <c r="AQ226" s="116"/>
      <c r="AR226" s="116"/>
      <c r="AS226" s="116"/>
      <c r="AT226" s="116"/>
      <c r="AU226" s="117"/>
      <c r="AV226" s="7"/>
    </row>
    <row r="227" spans="1:48" s="119" customFormat="1" ht="13.5" customHeight="1">
      <c r="A227" s="3"/>
      <c r="B227" s="118"/>
      <c r="C227" s="114">
        <v>2</v>
      </c>
      <c r="D227" s="115"/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7"/>
      <c r="P227" s="115"/>
      <c r="Q227" s="116"/>
      <c r="R227" s="116"/>
      <c r="S227" s="116"/>
      <c r="T227" s="116"/>
      <c r="U227" s="116"/>
      <c r="V227" s="116"/>
      <c r="W227" s="116"/>
      <c r="X227" s="116"/>
      <c r="Y227" s="116"/>
      <c r="Z227" s="161"/>
      <c r="AA227" s="116"/>
      <c r="AB227" s="116"/>
      <c r="AC227" s="116"/>
      <c r="AD227" s="116"/>
      <c r="AE227" s="136"/>
      <c r="AF227" s="137"/>
      <c r="AG227" s="138"/>
      <c r="AH227" s="136"/>
      <c r="AI227" s="138"/>
      <c r="AJ227" s="136"/>
      <c r="AK227" s="137"/>
      <c r="AL227" s="138"/>
      <c r="AM227" s="116"/>
      <c r="AN227" s="116"/>
      <c r="AO227" s="116"/>
      <c r="AP227" s="116"/>
      <c r="AQ227" s="116"/>
      <c r="AR227" s="116"/>
      <c r="AS227" s="116"/>
      <c r="AT227" s="116"/>
      <c r="AU227" s="117"/>
      <c r="AV227" s="7"/>
    </row>
    <row r="228" spans="1:48" s="119" customFormat="1" ht="13.5" customHeight="1">
      <c r="A228" s="3"/>
      <c r="B228" s="118"/>
      <c r="C228" s="114">
        <v>3</v>
      </c>
      <c r="D228" s="115"/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7"/>
      <c r="P228" s="115"/>
      <c r="Q228" s="116"/>
      <c r="R228" s="116"/>
      <c r="S228" s="116"/>
      <c r="T228" s="116"/>
      <c r="U228" s="116"/>
      <c r="V228" s="116"/>
      <c r="W228" s="116"/>
      <c r="X228" s="116"/>
      <c r="Y228" s="116"/>
      <c r="Z228" s="161"/>
      <c r="AA228" s="116"/>
      <c r="AB228" s="116"/>
      <c r="AC228" s="116"/>
      <c r="AD228" s="116"/>
      <c r="AE228" s="136"/>
      <c r="AF228" s="137"/>
      <c r="AG228" s="138"/>
      <c r="AH228" s="136"/>
      <c r="AI228" s="138"/>
      <c r="AJ228" s="136"/>
      <c r="AK228" s="137"/>
      <c r="AL228" s="138"/>
      <c r="AM228" s="115"/>
      <c r="AN228" s="116"/>
      <c r="AO228" s="116"/>
      <c r="AP228" s="116"/>
      <c r="AQ228" s="116"/>
      <c r="AR228" s="116"/>
      <c r="AS228" s="116"/>
      <c r="AT228" s="116"/>
      <c r="AU228" s="117"/>
      <c r="AV228" s="7"/>
    </row>
    <row r="229" spans="1:48" s="119" customFormat="1" ht="13.5" customHeight="1">
      <c r="A229" s="3"/>
      <c r="B229" s="118"/>
      <c r="C229" s="114">
        <v>4</v>
      </c>
      <c r="D229" s="115"/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7"/>
      <c r="P229" s="115"/>
      <c r="Q229" s="116"/>
      <c r="R229" s="116"/>
      <c r="S229" s="116"/>
      <c r="T229" s="116"/>
      <c r="U229" s="116"/>
      <c r="V229" s="116"/>
      <c r="W229" s="116"/>
      <c r="X229" s="116"/>
      <c r="Y229" s="116"/>
      <c r="Z229" s="161"/>
      <c r="AA229" s="116"/>
      <c r="AB229" s="116"/>
      <c r="AC229" s="116"/>
      <c r="AD229" s="116"/>
      <c r="AE229" s="136"/>
      <c r="AF229" s="137"/>
      <c r="AG229" s="138"/>
      <c r="AH229" s="136"/>
      <c r="AI229" s="138"/>
      <c r="AJ229" s="136"/>
      <c r="AK229" s="137"/>
      <c r="AL229" s="138"/>
      <c r="AM229" s="116"/>
      <c r="AN229" s="116"/>
      <c r="AO229" s="116"/>
      <c r="AP229" s="116"/>
      <c r="AQ229" s="116"/>
      <c r="AR229" s="116"/>
      <c r="AS229" s="116"/>
      <c r="AT229" s="116"/>
      <c r="AU229" s="117"/>
      <c r="AV229" s="7"/>
    </row>
    <row r="230" spans="1:48" s="119" customFormat="1" ht="13.5" customHeight="1">
      <c r="A230" s="3"/>
      <c r="B230" s="118"/>
      <c r="C230" s="114">
        <v>5</v>
      </c>
      <c r="D230" s="115"/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7"/>
      <c r="P230" s="115"/>
      <c r="Q230" s="116"/>
      <c r="R230" s="116"/>
      <c r="S230" s="116"/>
      <c r="T230" s="116"/>
      <c r="U230" s="116"/>
      <c r="V230" s="116"/>
      <c r="W230" s="116"/>
      <c r="X230" s="116"/>
      <c r="Y230" s="116"/>
      <c r="Z230" s="161"/>
      <c r="AA230" s="116"/>
      <c r="AB230" s="116"/>
      <c r="AC230" s="116"/>
      <c r="AD230" s="116"/>
      <c r="AE230" s="136"/>
      <c r="AF230" s="137"/>
      <c r="AG230" s="138"/>
      <c r="AH230" s="136"/>
      <c r="AI230" s="138"/>
      <c r="AJ230" s="136"/>
      <c r="AK230" s="137"/>
      <c r="AL230" s="138"/>
      <c r="AM230" s="116"/>
      <c r="AN230" s="116"/>
      <c r="AO230" s="116"/>
      <c r="AP230" s="116"/>
      <c r="AQ230" s="116"/>
      <c r="AR230" s="116"/>
      <c r="AS230" s="116"/>
      <c r="AT230" s="116"/>
      <c r="AU230" s="117"/>
      <c r="AV230" s="7"/>
    </row>
    <row r="231" spans="1:48" s="119" customFormat="1" ht="13.5" customHeight="1">
      <c r="A231" s="3"/>
      <c r="B231" s="118"/>
      <c r="C231" s="114">
        <v>6</v>
      </c>
      <c r="D231" s="115"/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7"/>
      <c r="P231" s="115"/>
      <c r="Q231" s="116"/>
      <c r="R231" s="116"/>
      <c r="S231" s="116"/>
      <c r="T231" s="116"/>
      <c r="U231" s="116"/>
      <c r="V231" s="116"/>
      <c r="W231" s="116"/>
      <c r="X231" s="116"/>
      <c r="Y231" s="116"/>
      <c r="Z231" s="161"/>
      <c r="AA231" s="116"/>
      <c r="AB231" s="116"/>
      <c r="AC231" s="116"/>
      <c r="AD231" s="116"/>
      <c r="AE231" s="136"/>
      <c r="AF231" s="137"/>
      <c r="AG231" s="138"/>
      <c r="AH231" s="136"/>
      <c r="AI231" s="138"/>
      <c r="AJ231" s="136"/>
      <c r="AK231" s="137"/>
      <c r="AL231" s="138"/>
      <c r="AM231" s="115"/>
      <c r="AN231" s="116"/>
      <c r="AO231" s="116"/>
      <c r="AP231" s="116"/>
      <c r="AQ231" s="116"/>
      <c r="AR231" s="116"/>
      <c r="AS231" s="116"/>
      <c r="AT231" s="116"/>
      <c r="AU231" s="117"/>
      <c r="AV231" s="7"/>
    </row>
    <row r="232" spans="1:48" s="119" customFormat="1" ht="13.5" customHeight="1">
      <c r="A232" s="3"/>
      <c r="B232" s="118"/>
      <c r="C232" s="114">
        <v>7</v>
      </c>
      <c r="D232" s="115"/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7"/>
      <c r="P232" s="115"/>
      <c r="Q232" s="116"/>
      <c r="R232" s="116"/>
      <c r="S232" s="116"/>
      <c r="T232" s="116"/>
      <c r="U232" s="116"/>
      <c r="V232" s="116"/>
      <c r="W232" s="116"/>
      <c r="X232" s="116"/>
      <c r="Y232" s="116"/>
      <c r="Z232" s="161"/>
      <c r="AA232" s="116"/>
      <c r="AB232" s="116"/>
      <c r="AC232" s="116"/>
      <c r="AD232" s="116"/>
      <c r="AE232" s="136"/>
      <c r="AF232" s="137"/>
      <c r="AG232" s="138"/>
      <c r="AH232" s="136"/>
      <c r="AI232" s="138"/>
      <c r="AJ232" s="136"/>
      <c r="AK232" s="137"/>
      <c r="AL232" s="138"/>
      <c r="AM232" s="116"/>
      <c r="AN232" s="116"/>
      <c r="AO232" s="116"/>
      <c r="AP232" s="116"/>
      <c r="AQ232" s="116"/>
      <c r="AR232" s="116"/>
      <c r="AS232" s="116"/>
      <c r="AT232" s="116"/>
      <c r="AU232" s="117"/>
      <c r="AV232" s="7"/>
    </row>
    <row r="233" spans="1:48" s="119" customFormat="1" ht="13.5" customHeight="1">
      <c r="A233" s="3"/>
      <c r="B233" s="118"/>
      <c r="C233" s="114">
        <v>8</v>
      </c>
      <c r="D233" s="115"/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7"/>
      <c r="P233" s="115"/>
      <c r="Q233" s="116"/>
      <c r="R233" s="116"/>
      <c r="S233" s="116"/>
      <c r="T233" s="116"/>
      <c r="U233" s="116"/>
      <c r="V233" s="116"/>
      <c r="W233" s="116"/>
      <c r="X233" s="116"/>
      <c r="Y233" s="116"/>
      <c r="Z233" s="161"/>
      <c r="AA233" s="116"/>
      <c r="AB233" s="116"/>
      <c r="AC233" s="116"/>
      <c r="AD233" s="116"/>
      <c r="AE233" s="136"/>
      <c r="AF233" s="137"/>
      <c r="AG233" s="138"/>
      <c r="AH233" s="136"/>
      <c r="AI233" s="138"/>
      <c r="AJ233" s="136"/>
      <c r="AK233" s="137"/>
      <c r="AL233" s="138"/>
      <c r="AM233" s="116"/>
      <c r="AN233" s="116"/>
      <c r="AO233" s="116"/>
      <c r="AP233" s="116"/>
      <c r="AQ233" s="116"/>
      <c r="AR233" s="116"/>
      <c r="AS233" s="116"/>
      <c r="AT233" s="116"/>
      <c r="AU233" s="117"/>
      <c r="AV233" s="7"/>
    </row>
    <row r="234" spans="1:48" s="119" customFormat="1" ht="13.5" customHeight="1">
      <c r="A234" s="3"/>
      <c r="B234" s="118"/>
      <c r="C234" s="114">
        <v>9</v>
      </c>
      <c r="D234" s="115"/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7"/>
      <c r="P234" s="115"/>
      <c r="Q234" s="116"/>
      <c r="R234" s="116"/>
      <c r="S234" s="116"/>
      <c r="T234" s="116"/>
      <c r="U234" s="116"/>
      <c r="V234" s="116"/>
      <c r="W234" s="116"/>
      <c r="X234" s="116"/>
      <c r="Y234" s="116"/>
      <c r="Z234" s="161"/>
      <c r="AA234" s="116"/>
      <c r="AB234" s="116"/>
      <c r="AC234" s="116"/>
      <c r="AD234" s="116"/>
      <c r="AE234" s="136"/>
      <c r="AF234" s="137"/>
      <c r="AG234" s="138"/>
      <c r="AH234" s="136"/>
      <c r="AI234" s="138"/>
      <c r="AJ234" s="136"/>
      <c r="AK234" s="137"/>
      <c r="AL234" s="138"/>
      <c r="AM234" s="116"/>
      <c r="AN234" s="116"/>
      <c r="AO234" s="116"/>
      <c r="AP234" s="116"/>
      <c r="AQ234" s="116"/>
      <c r="AR234" s="116"/>
      <c r="AS234" s="116"/>
      <c r="AT234" s="116"/>
      <c r="AU234" s="117"/>
      <c r="AV234" s="7"/>
    </row>
    <row r="235" spans="1:48" s="119" customFormat="1" ht="13.5" customHeight="1">
      <c r="A235" s="3"/>
      <c r="B235" s="118"/>
      <c r="C235" s="114">
        <v>10</v>
      </c>
      <c r="D235" s="115"/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7"/>
      <c r="P235" s="115"/>
      <c r="Q235" s="116"/>
      <c r="R235" s="116"/>
      <c r="S235" s="116"/>
      <c r="T235" s="116"/>
      <c r="U235" s="116"/>
      <c r="V235" s="116"/>
      <c r="W235" s="116"/>
      <c r="X235" s="116"/>
      <c r="Y235" s="116"/>
      <c r="Z235" s="161"/>
      <c r="AA235" s="116"/>
      <c r="AB235" s="116"/>
      <c r="AC235" s="116"/>
      <c r="AD235" s="116"/>
      <c r="AE235" s="136"/>
      <c r="AF235" s="137"/>
      <c r="AG235" s="138"/>
      <c r="AH235" s="136"/>
      <c r="AI235" s="138"/>
      <c r="AJ235" s="136"/>
      <c r="AK235" s="137"/>
      <c r="AL235" s="138"/>
      <c r="AM235" s="116"/>
      <c r="AN235" s="116"/>
      <c r="AO235" s="116"/>
      <c r="AP235" s="116"/>
      <c r="AQ235" s="116"/>
      <c r="AR235" s="116"/>
      <c r="AS235" s="116"/>
      <c r="AT235" s="116"/>
      <c r="AU235" s="117"/>
      <c r="AV235" s="7"/>
    </row>
    <row r="236" spans="1:48" s="119" customFormat="1" ht="13.5" customHeight="1">
      <c r="A236" s="3"/>
      <c r="B236" s="118"/>
      <c r="C236" s="114">
        <v>11</v>
      </c>
      <c r="D236" s="115"/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117"/>
      <c r="P236" s="115"/>
      <c r="Q236" s="116"/>
      <c r="R236" s="116"/>
      <c r="S236" s="116"/>
      <c r="T236" s="116"/>
      <c r="U236" s="116"/>
      <c r="V236" s="116"/>
      <c r="W236" s="116"/>
      <c r="X236" s="116"/>
      <c r="Y236" s="116"/>
      <c r="Z236" s="161"/>
      <c r="AA236" s="116"/>
      <c r="AB236" s="116"/>
      <c r="AC236" s="116"/>
      <c r="AD236" s="116"/>
      <c r="AE236" s="136"/>
      <c r="AF236" s="137"/>
      <c r="AG236" s="138"/>
      <c r="AH236" s="136"/>
      <c r="AI236" s="138"/>
      <c r="AJ236" s="136"/>
      <c r="AK236" s="137"/>
      <c r="AL236" s="138"/>
      <c r="AM236" s="116"/>
      <c r="AN236" s="116"/>
      <c r="AO236" s="116"/>
      <c r="AP236" s="116"/>
      <c r="AQ236" s="116"/>
      <c r="AR236" s="116"/>
      <c r="AS236" s="116"/>
      <c r="AT236" s="116"/>
      <c r="AU236" s="117"/>
      <c r="AV236" s="7"/>
    </row>
    <row r="237" spans="1:48" s="119" customFormat="1" ht="13.5" customHeight="1">
      <c r="A237" s="3"/>
      <c r="B237" s="118"/>
      <c r="C237" s="114">
        <v>12</v>
      </c>
      <c r="D237" s="115"/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7"/>
      <c r="P237" s="115"/>
      <c r="Q237" s="116"/>
      <c r="R237" s="116"/>
      <c r="S237" s="116"/>
      <c r="T237" s="116"/>
      <c r="U237" s="116"/>
      <c r="V237" s="116"/>
      <c r="W237" s="116"/>
      <c r="X237" s="116"/>
      <c r="Y237" s="116"/>
      <c r="Z237" s="161"/>
      <c r="AA237" s="116"/>
      <c r="AB237" s="116"/>
      <c r="AC237" s="116"/>
      <c r="AD237" s="116"/>
      <c r="AE237" s="136"/>
      <c r="AF237" s="137"/>
      <c r="AG237" s="138"/>
      <c r="AH237" s="136"/>
      <c r="AI237" s="138"/>
      <c r="AJ237" s="136"/>
      <c r="AK237" s="137"/>
      <c r="AL237" s="138"/>
      <c r="AM237" s="116"/>
      <c r="AN237" s="116"/>
      <c r="AO237" s="116"/>
      <c r="AP237" s="116"/>
      <c r="AQ237" s="116"/>
      <c r="AR237" s="116"/>
      <c r="AS237" s="116"/>
      <c r="AT237" s="116"/>
      <c r="AU237" s="117"/>
      <c r="AV237" s="7"/>
    </row>
    <row r="238" spans="1:48" s="119" customFormat="1" ht="13.5" customHeight="1">
      <c r="A238" s="3"/>
      <c r="B238" s="118"/>
      <c r="C238" s="114">
        <v>13</v>
      </c>
      <c r="D238" s="115"/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7"/>
      <c r="P238" s="115"/>
      <c r="Q238" s="116"/>
      <c r="R238" s="116"/>
      <c r="S238" s="116"/>
      <c r="T238" s="116"/>
      <c r="U238" s="116"/>
      <c r="V238" s="116"/>
      <c r="W238" s="116"/>
      <c r="X238" s="116"/>
      <c r="Y238" s="116"/>
      <c r="Z238" s="161"/>
      <c r="AA238" s="116"/>
      <c r="AB238" s="116"/>
      <c r="AC238" s="116"/>
      <c r="AD238" s="116"/>
      <c r="AE238" s="136"/>
      <c r="AF238" s="137"/>
      <c r="AG238" s="138"/>
      <c r="AH238" s="136"/>
      <c r="AI238" s="138"/>
      <c r="AJ238" s="136"/>
      <c r="AK238" s="137"/>
      <c r="AL238" s="138"/>
      <c r="AM238" s="116"/>
      <c r="AN238" s="116"/>
      <c r="AO238" s="116"/>
      <c r="AP238" s="116"/>
      <c r="AQ238" s="116"/>
      <c r="AR238" s="116"/>
      <c r="AS238" s="116"/>
      <c r="AT238" s="116"/>
      <c r="AU238" s="117"/>
      <c r="AV238" s="7"/>
    </row>
    <row r="239" spans="1:48" s="119" customFormat="1" ht="13.5" customHeight="1">
      <c r="A239" s="3"/>
      <c r="B239" s="118"/>
      <c r="C239" s="114">
        <v>14</v>
      </c>
      <c r="D239" s="115"/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7"/>
      <c r="P239" s="115"/>
      <c r="Q239" s="116"/>
      <c r="R239" s="116"/>
      <c r="S239" s="116"/>
      <c r="T239" s="116"/>
      <c r="U239" s="116"/>
      <c r="V239" s="116"/>
      <c r="W239" s="116"/>
      <c r="X239" s="116"/>
      <c r="Y239" s="116"/>
      <c r="Z239" s="161"/>
      <c r="AA239" s="116"/>
      <c r="AB239" s="116"/>
      <c r="AC239" s="116"/>
      <c r="AD239" s="116"/>
      <c r="AE239" s="136"/>
      <c r="AF239" s="137"/>
      <c r="AG239" s="138"/>
      <c r="AH239" s="136"/>
      <c r="AI239" s="138"/>
      <c r="AJ239" s="136"/>
      <c r="AK239" s="137"/>
      <c r="AL239" s="138"/>
      <c r="AM239" s="116"/>
      <c r="AN239" s="116"/>
      <c r="AO239" s="116"/>
      <c r="AP239" s="116"/>
      <c r="AQ239" s="116"/>
      <c r="AR239" s="116"/>
      <c r="AS239" s="116"/>
      <c r="AT239" s="116"/>
      <c r="AU239" s="117"/>
      <c r="AV239" s="7"/>
    </row>
    <row r="240" spans="1:48" s="119" customFormat="1" ht="13.5" customHeight="1">
      <c r="A240" s="3"/>
      <c r="B240" s="118"/>
      <c r="C240" s="114">
        <v>15</v>
      </c>
      <c r="D240" s="115"/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7"/>
      <c r="P240" s="115"/>
      <c r="Q240" s="116"/>
      <c r="R240" s="116"/>
      <c r="S240" s="116"/>
      <c r="T240" s="116"/>
      <c r="U240" s="116"/>
      <c r="V240" s="116"/>
      <c r="W240" s="116"/>
      <c r="X240" s="116"/>
      <c r="Y240" s="116"/>
      <c r="Z240" s="161"/>
      <c r="AA240" s="116"/>
      <c r="AB240" s="116"/>
      <c r="AC240" s="116"/>
      <c r="AD240" s="116"/>
      <c r="AE240" s="136"/>
      <c r="AF240" s="137"/>
      <c r="AG240" s="138"/>
      <c r="AH240" s="136"/>
      <c r="AI240" s="138"/>
      <c r="AJ240" s="136"/>
      <c r="AK240" s="137"/>
      <c r="AL240" s="138"/>
      <c r="AM240" s="116"/>
      <c r="AN240" s="116"/>
      <c r="AO240" s="116"/>
      <c r="AP240" s="116"/>
      <c r="AQ240" s="116"/>
      <c r="AR240" s="116"/>
      <c r="AS240" s="116"/>
      <c r="AT240" s="116"/>
      <c r="AU240" s="117"/>
      <c r="AV240" s="7"/>
    </row>
    <row r="241" spans="1:48" s="119" customFormat="1" ht="13.5" customHeight="1">
      <c r="A241" s="3"/>
      <c r="B241" s="118"/>
      <c r="C241" s="205" t="s">
        <v>102</v>
      </c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  <c r="AD241" s="206"/>
      <c r="AE241" s="206"/>
      <c r="AF241" s="206"/>
      <c r="AG241" s="206"/>
      <c r="AH241" s="206"/>
      <c r="AI241" s="206"/>
      <c r="AJ241" s="206"/>
      <c r="AK241" s="206"/>
      <c r="AL241" s="206"/>
      <c r="AM241" s="206"/>
      <c r="AN241" s="206"/>
      <c r="AO241" s="206"/>
      <c r="AP241" s="206"/>
      <c r="AQ241" s="206"/>
      <c r="AR241" s="206"/>
      <c r="AS241" s="206"/>
      <c r="AT241" s="206"/>
      <c r="AU241" s="207"/>
      <c r="AV241" s="7"/>
    </row>
    <row r="242" spans="1:48" s="119" customFormat="1" ht="13.5" customHeight="1">
      <c r="A242" s="3"/>
      <c r="B242" s="118"/>
      <c r="C242" s="30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59"/>
      <c r="AV242" s="7"/>
    </row>
    <row r="243" spans="1:48" s="119" customFormat="1" ht="13.5" customHeight="1">
      <c r="A243" s="3"/>
      <c r="B243" s="118"/>
      <c r="C243" s="46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9"/>
      <c r="AV243" s="7"/>
    </row>
    <row r="244" spans="1:48" s="119" customFormat="1" ht="13.5" customHeight="1">
      <c r="A244" s="3"/>
      <c r="B244" s="118"/>
      <c r="C244" s="46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9"/>
      <c r="AV244" s="7"/>
    </row>
    <row r="245" spans="1:48" s="119" customFormat="1" ht="13.5" customHeight="1">
      <c r="A245" s="3"/>
      <c r="B245" s="118"/>
      <c r="C245" s="46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9"/>
      <c r="AV245" s="7"/>
    </row>
    <row r="246" spans="1:48" s="119" customFormat="1" ht="13.5" customHeight="1">
      <c r="A246" s="3"/>
      <c r="B246" s="118"/>
      <c r="C246" s="46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9"/>
      <c r="AV246" s="7"/>
    </row>
    <row r="247" spans="1:48" s="119" customFormat="1" ht="13.5" customHeight="1">
      <c r="A247" s="3"/>
      <c r="B247" s="118"/>
      <c r="C247" s="46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9"/>
      <c r="AV247" s="7"/>
    </row>
    <row r="248" spans="1:48" s="119" customFormat="1" ht="13.5" customHeight="1">
      <c r="A248" s="3"/>
      <c r="B248" s="118"/>
      <c r="C248" s="46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9"/>
      <c r="AV248" s="7"/>
    </row>
    <row r="249" spans="1:48" s="119" customFormat="1" ht="13.5" customHeight="1">
      <c r="A249" s="3"/>
      <c r="B249" s="118"/>
      <c r="C249" s="46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9"/>
      <c r="AV249" s="7"/>
    </row>
    <row r="250" spans="1:48" s="119" customFormat="1" ht="13.5" customHeight="1">
      <c r="A250" s="3"/>
      <c r="B250" s="118"/>
      <c r="C250" s="46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9"/>
      <c r="AV250" s="7"/>
    </row>
    <row r="251" spans="1:48" s="119" customFormat="1" ht="13.5" customHeight="1">
      <c r="A251" s="3"/>
      <c r="B251" s="118"/>
      <c r="C251" s="46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9"/>
      <c r="AV251" s="7"/>
    </row>
    <row r="252" spans="1:48" s="119" customFormat="1" ht="13.5" customHeight="1">
      <c r="A252" s="3"/>
      <c r="B252" s="118"/>
      <c r="C252" s="46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9"/>
      <c r="AV252" s="7"/>
    </row>
    <row r="253" spans="1:48" s="119" customFormat="1" ht="13.5" customHeight="1">
      <c r="A253" s="3"/>
      <c r="B253" s="118"/>
      <c r="C253" s="46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9"/>
      <c r="AV253" s="7"/>
    </row>
    <row r="254" spans="1:48" s="119" customFormat="1" ht="13.5" customHeight="1">
      <c r="A254" s="3"/>
      <c r="B254" s="118"/>
      <c r="C254" s="46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9"/>
      <c r="AV254" s="7"/>
    </row>
    <row r="255" spans="1:48" s="119" customFormat="1" ht="13.5" customHeight="1">
      <c r="A255" s="3"/>
      <c r="B255" s="118"/>
      <c r="C255" s="46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9"/>
      <c r="AV255" s="7"/>
    </row>
    <row r="256" spans="1:48" s="119" customFormat="1" ht="13.5" customHeight="1">
      <c r="A256" s="3"/>
      <c r="B256" s="118"/>
      <c r="C256" s="46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9"/>
      <c r="AV256" s="7"/>
    </row>
    <row r="257" spans="1:51" s="119" customFormat="1" ht="13.5" customHeight="1">
      <c r="A257" s="3"/>
      <c r="B257" s="118"/>
      <c r="C257" s="61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0"/>
      <c r="AV257" s="7"/>
    </row>
    <row r="258" spans="1:51" s="119" customFormat="1" ht="13.5" customHeight="1" thickBot="1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12"/>
      <c r="AX258" s="223" t="str">
        <f>HYPERLINK("#$A$1","目次へ")</f>
        <v>目次へ</v>
      </c>
      <c r="AY258" s="223"/>
    </row>
    <row r="259" spans="1:51" s="119" customFormat="1" ht="13.5" customHeight="1">
      <c r="A259" s="225" t="s">
        <v>39</v>
      </c>
      <c r="B259" s="226"/>
      <c r="C259" s="227"/>
      <c r="D259" s="228" t="str">
        <f>システム名</f>
        <v>○✕システム</v>
      </c>
      <c r="E259" s="229"/>
      <c r="F259" s="229"/>
      <c r="G259" s="229"/>
      <c r="H259" s="229"/>
      <c r="I259" s="229"/>
      <c r="J259" s="229"/>
      <c r="K259" s="229"/>
      <c r="L259" s="229"/>
      <c r="M259" s="229"/>
      <c r="N259" s="229"/>
      <c r="O259" s="230"/>
      <c r="P259" s="231" t="s">
        <v>0</v>
      </c>
      <c r="Q259" s="226"/>
      <c r="R259" s="227"/>
      <c r="S259" s="232" t="str">
        <f>IF(顧客名&lt;&gt;"",顧客名,"")</f>
        <v>○✕○✕株式会社</v>
      </c>
      <c r="T259" s="233"/>
      <c r="U259" s="233"/>
      <c r="V259" s="233"/>
      <c r="W259" s="233"/>
      <c r="X259" s="233"/>
      <c r="Y259" s="233"/>
      <c r="Z259" s="233"/>
      <c r="AA259" s="233"/>
      <c r="AB259" s="233"/>
      <c r="AC259" s="233"/>
      <c r="AD259" s="233"/>
      <c r="AE259" s="233"/>
      <c r="AF259" s="234"/>
      <c r="AG259" s="235" t="s">
        <v>35</v>
      </c>
      <c r="AH259" s="235"/>
      <c r="AI259" s="235"/>
      <c r="AJ259" s="236">
        <f>作成日</f>
        <v>44287</v>
      </c>
      <c r="AK259" s="237"/>
      <c r="AL259" s="237"/>
      <c r="AM259" s="237"/>
      <c r="AN259" s="237"/>
      <c r="AO259" s="235" t="s">
        <v>36</v>
      </c>
      <c r="AP259" s="235"/>
      <c r="AQ259" s="235"/>
      <c r="AR259" s="238" t="str">
        <f>作成者</f>
        <v>○○　✕✕</v>
      </c>
      <c r="AS259" s="239"/>
      <c r="AT259" s="239"/>
      <c r="AU259" s="239"/>
      <c r="AV259" s="240"/>
      <c r="AX259" s="256"/>
      <c r="AY259" s="257"/>
    </row>
    <row r="260" spans="1:51" s="119" customFormat="1" ht="13.5" customHeight="1">
      <c r="A260" s="242" t="s">
        <v>30</v>
      </c>
      <c r="B260" s="243"/>
      <c r="C260" s="244"/>
      <c r="D260" s="245"/>
      <c r="E260" s="246"/>
      <c r="F260" s="246"/>
      <c r="G260" s="246"/>
      <c r="H260" s="246"/>
      <c r="I260" s="246"/>
      <c r="J260" s="246"/>
      <c r="K260" s="246"/>
      <c r="L260" s="246"/>
      <c r="M260" s="246"/>
      <c r="N260" s="246"/>
      <c r="O260" s="247"/>
      <c r="P260" s="248" t="s">
        <v>2</v>
      </c>
      <c r="Q260" s="243"/>
      <c r="R260" s="244"/>
      <c r="S260" s="258"/>
      <c r="T260" s="259"/>
      <c r="U260" s="259"/>
      <c r="V260" s="259"/>
      <c r="W260" s="259"/>
      <c r="X260" s="259"/>
      <c r="Y260" s="259"/>
      <c r="Z260" s="259"/>
      <c r="AA260" s="259"/>
      <c r="AB260" s="259"/>
      <c r="AC260" s="259"/>
      <c r="AD260" s="259"/>
      <c r="AE260" s="259"/>
      <c r="AF260" s="260"/>
      <c r="AG260" s="250" t="s">
        <v>34</v>
      </c>
      <c r="AH260" s="250"/>
      <c r="AI260" s="250"/>
      <c r="AJ260" s="251"/>
      <c r="AK260" s="252"/>
      <c r="AL260" s="252"/>
      <c r="AM260" s="252"/>
      <c r="AN260" s="252"/>
      <c r="AO260" s="250" t="s">
        <v>33</v>
      </c>
      <c r="AP260" s="250"/>
      <c r="AQ260" s="250"/>
      <c r="AR260" s="253"/>
      <c r="AS260" s="254"/>
      <c r="AT260" s="254"/>
      <c r="AU260" s="254"/>
      <c r="AV260" s="255"/>
      <c r="AX260" s="257"/>
      <c r="AY260" s="257"/>
    </row>
    <row r="261" spans="1:51" s="119" customFormat="1" ht="13.5" customHeight="1">
      <c r="A261" s="47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48"/>
    </row>
    <row r="262" spans="1:51" s="119" customFormat="1" ht="13.5" customHeight="1">
      <c r="A262" s="3"/>
      <c r="B262" s="28" t="s">
        <v>84</v>
      </c>
      <c r="D262" s="54"/>
      <c r="Z262" s="163"/>
      <c r="AU262" s="139"/>
      <c r="AV262" s="7"/>
    </row>
    <row r="263" spans="1:51" s="119" customFormat="1" ht="13.5" customHeight="1">
      <c r="A263" s="3"/>
      <c r="D263" s="54"/>
      <c r="V263" s="118"/>
      <c r="W263" s="118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118"/>
      <c r="AH263" s="118"/>
      <c r="AI263" s="118"/>
      <c r="AJ263" s="118"/>
      <c r="AK263" s="118"/>
      <c r="AL263" s="118"/>
      <c r="AU263" s="139"/>
      <c r="AV263" s="7"/>
    </row>
    <row r="264" spans="1:51" s="119" customFormat="1" ht="13.5" customHeight="1">
      <c r="A264" s="3"/>
      <c r="D264" s="54"/>
      <c r="Z264" s="163"/>
      <c r="AU264" s="139"/>
      <c r="AV264" s="7"/>
    </row>
    <row r="265" spans="1:51" s="119" customFormat="1" ht="13.5" customHeight="1">
      <c r="A265" s="3"/>
      <c r="B265" s="118"/>
      <c r="C265" s="216" t="s">
        <v>103</v>
      </c>
      <c r="D265" s="217"/>
      <c r="E265" s="217"/>
      <c r="F265" s="217"/>
      <c r="G265" s="217"/>
      <c r="H265" s="217"/>
      <c r="I265" s="218"/>
      <c r="J265" s="217"/>
      <c r="K265" s="115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205" t="s">
        <v>104</v>
      </c>
      <c r="Z265" s="206"/>
      <c r="AA265" s="206"/>
      <c r="AB265" s="206"/>
      <c r="AC265" s="206"/>
      <c r="AD265" s="206"/>
      <c r="AE265" s="206"/>
      <c r="AF265" s="115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7"/>
      <c r="AV265" s="7"/>
    </row>
    <row r="266" spans="1:51" s="119" customFormat="1" ht="13.5" customHeight="1">
      <c r="A266" s="3"/>
      <c r="B266" s="118"/>
      <c r="C266" s="219" t="s">
        <v>105</v>
      </c>
      <c r="D266" s="220"/>
      <c r="E266" s="220"/>
      <c r="F266" s="220"/>
      <c r="G266" s="220"/>
      <c r="H266" s="220"/>
      <c r="I266" s="220"/>
      <c r="J266" s="220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  <c r="AD266" s="206"/>
      <c r="AE266" s="206"/>
      <c r="AF266" s="206"/>
      <c r="AG266" s="206"/>
      <c r="AH266" s="206"/>
      <c r="AI266" s="206"/>
      <c r="AJ266" s="206"/>
      <c r="AK266" s="206"/>
      <c r="AL266" s="206"/>
      <c r="AM266" s="206"/>
      <c r="AN266" s="206"/>
      <c r="AO266" s="206"/>
      <c r="AP266" s="206"/>
      <c r="AQ266" s="206"/>
      <c r="AR266" s="206"/>
      <c r="AS266" s="206"/>
      <c r="AT266" s="206"/>
      <c r="AU266" s="207"/>
      <c r="AV266" s="7"/>
    </row>
    <row r="267" spans="1:51" s="119" customFormat="1" ht="13.5" customHeight="1">
      <c r="A267" s="3"/>
      <c r="B267" s="118"/>
      <c r="C267" s="219" t="s">
        <v>106</v>
      </c>
      <c r="D267" s="220"/>
      <c r="E267" s="220"/>
      <c r="F267" s="220"/>
      <c r="G267" s="220"/>
      <c r="H267" s="220"/>
      <c r="I267" s="220"/>
      <c r="J267" s="220"/>
      <c r="K267" s="115" t="s">
        <v>107</v>
      </c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61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7"/>
      <c r="AV267" s="7"/>
    </row>
    <row r="268" spans="1:51" s="119" customFormat="1" ht="13.5" customHeight="1">
      <c r="A268" s="3"/>
      <c r="B268" s="118"/>
      <c r="C268" s="219" t="s">
        <v>108</v>
      </c>
      <c r="D268" s="220"/>
      <c r="E268" s="220"/>
      <c r="F268" s="220"/>
      <c r="G268" s="220"/>
      <c r="H268" s="220"/>
      <c r="I268" s="220"/>
      <c r="J268" s="220"/>
      <c r="K268" s="115" t="s">
        <v>109</v>
      </c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61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7"/>
      <c r="AV268" s="7"/>
    </row>
    <row r="269" spans="1:51" s="119" customFormat="1" ht="13.5" customHeight="1">
      <c r="A269" s="3"/>
      <c r="B269" s="118"/>
      <c r="C269" s="219" t="s">
        <v>110</v>
      </c>
      <c r="D269" s="220"/>
      <c r="E269" s="220"/>
      <c r="F269" s="220"/>
      <c r="G269" s="220"/>
      <c r="H269" s="220"/>
      <c r="I269" s="220"/>
      <c r="J269" s="220"/>
      <c r="K269" s="115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61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7"/>
      <c r="AV269" s="7"/>
    </row>
    <row r="270" spans="1:51" s="119" customFormat="1" ht="13.5" customHeight="1">
      <c r="A270" s="3"/>
      <c r="B270" s="118"/>
      <c r="C270" s="219" t="s">
        <v>111</v>
      </c>
      <c r="D270" s="220"/>
      <c r="E270" s="220"/>
      <c r="F270" s="220"/>
      <c r="G270" s="220"/>
      <c r="H270" s="220"/>
      <c r="I270" s="220"/>
      <c r="J270" s="220"/>
      <c r="K270" s="115" t="s">
        <v>112</v>
      </c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61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7"/>
      <c r="AV270" s="7"/>
    </row>
    <row r="271" spans="1:51" s="119" customFormat="1" ht="13.5" customHeight="1">
      <c r="A271" s="3"/>
      <c r="B271" s="118"/>
      <c r="C271" s="221" t="s">
        <v>113</v>
      </c>
      <c r="D271" s="222"/>
      <c r="E271" s="222"/>
      <c r="F271" s="222"/>
      <c r="G271" s="222"/>
      <c r="H271" s="222"/>
      <c r="I271" s="222"/>
      <c r="J271" s="222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  <c r="AD271" s="206"/>
      <c r="AE271" s="206"/>
      <c r="AF271" s="206"/>
      <c r="AG271" s="206"/>
      <c r="AH271" s="206"/>
      <c r="AI271" s="206"/>
      <c r="AJ271" s="206"/>
      <c r="AK271" s="206"/>
      <c r="AL271" s="206"/>
      <c r="AM271" s="206"/>
      <c r="AN271" s="206"/>
      <c r="AO271" s="206"/>
      <c r="AP271" s="206"/>
      <c r="AQ271" s="206"/>
      <c r="AR271" s="206"/>
      <c r="AS271" s="206"/>
      <c r="AT271" s="206"/>
      <c r="AU271" s="207"/>
      <c r="AV271" s="7"/>
    </row>
    <row r="272" spans="1:51" s="119" customFormat="1" ht="13.5" customHeight="1">
      <c r="A272" s="3"/>
      <c r="B272" s="118"/>
      <c r="C272" s="212" t="s">
        <v>114</v>
      </c>
      <c r="D272" s="213"/>
      <c r="E272" s="214" t="s">
        <v>115</v>
      </c>
      <c r="F272" s="214"/>
      <c r="G272" s="214"/>
      <c r="H272" s="214"/>
      <c r="I272" s="214"/>
      <c r="J272" s="215"/>
      <c r="K272" s="205" t="s">
        <v>116</v>
      </c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  <c r="AD272" s="206"/>
      <c r="AE272" s="206"/>
      <c r="AF272" s="206"/>
      <c r="AG272" s="207"/>
      <c r="AH272" s="205" t="s">
        <v>98</v>
      </c>
      <c r="AI272" s="206"/>
      <c r="AJ272" s="207"/>
      <c r="AK272" s="205" t="s">
        <v>99</v>
      </c>
      <c r="AL272" s="207"/>
      <c r="AM272" s="206" t="s">
        <v>101</v>
      </c>
      <c r="AN272" s="206"/>
      <c r="AO272" s="206"/>
      <c r="AP272" s="206"/>
      <c r="AQ272" s="206"/>
      <c r="AR272" s="206"/>
      <c r="AS272" s="206"/>
      <c r="AT272" s="206"/>
      <c r="AU272" s="207"/>
      <c r="AV272" s="7"/>
    </row>
    <row r="273" spans="1:48" s="119" customFormat="1" ht="13.5" customHeight="1">
      <c r="A273" s="3"/>
      <c r="B273" s="118"/>
      <c r="C273" s="114">
        <v>1</v>
      </c>
      <c r="D273" s="140"/>
      <c r="E273" s="141"/>
      <c r="F273" s="141"/>
      <c r="G273" s="141"/>
      <c r="H273" s="141"/>
      <c r="I273" s="141"/>
      <c r="J273" s="142"/>
      <c r="K273" s="115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16"/>
      <c r="X273" s="116"/>
      <c r="Y273" s="116"/>
      <c r="Z273" s="161"/>
      <c r="AA273" s="116"/>
      <c r="AB273" s="116"/>
      <c r="AC273" s="116"/>
      <c r="AD273" s="116"/>
      <c r="AE273" s="116"/>
      <c r="AF273" s="116"/>
      <c r="AG273" s="117"/>
      <c r="AH273" s="136"/>
      <c r="AI273" s="137"/>
      <c r="AJ273" s="138"/>
      <c r="AK273" s="136"/>
      <c r="AL273" s="138"/>
      <c r="AM273" s="116"/>
      <c r="AN273" s="116"/>
      <c r="AO273" s="116"/>
      <c r="AP273" s="116"/>
      <c r="AQ273" s="116"/>
      <c r="AR273" s="116"/>
      <c r="AS273" s="116"/>
      <c r="AT273" s="116"/>
      <c r="AU273" s="117"/>
      <c r="AV273" s="7"/>
    </row>
    <row r="274" spans="1:48" s="119" customFormat="1" ht="13.5" customHeight="1">
      <c r="A274" s="3"/>
      <c r="B274" s="118"/>
      <c r="C274" s="114">
        <v>2</v>
      </c>
      <c r="D274" s="140"/>
      <c r="E274" s="141"/>
      <c r="F274" s="141"/>
      <c r="G274" s="141"/>
      <c r="H274" s="141"/>
      <c r="I274" s="141"/>
      <c r="J274" s="142"/>
      <c r="K274" s="115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16"/>
      <c r="X274" s="116"/>
      <c r="Y274" s="116"/>
      <c r="Z274" s="161"/>
      <c r="AA274" s="116"/>
      <c r="AB274" s="116"/>
      <c r="AC274" s="116"/>
      <c r="AD274" s="116"/>
      <c r="AE274" s="116"/>
      <c r="AF274" s="116"/>
      <c r="AG274" s="117"/>
      <c r="AH274" s="136"/>
      <c r="AI274" s="137"/>
      <c r="AJ274" s="138"/>
      <c r="AK274" s="136"/>
      <c r="AL274" s="138"/>
      <c r="AM274" s="116"/>
      <c r="AN274" s="116"/>
      <c r="AO274" s="116"/>
      <c r="AP274" s="116"/>
      <c r="AQ274" s="116"/>
      <c r="AR274" s="116"/>
      <c r="AS274" s="116"/>
      <c r="AT274" s="116"/>
      <c r="AU274" s="117"/>
      <c r="AV274" s="7"/>
    </row>
    <row r="275" spans="1:48" s="119" customFormat="1" ht="13.5" customHeight="1">
      <c r="A275" s="3"/>
      <c r="B275" s="4"/>
      <c r="C275" s="114">
        <v>3</v>
      </c>
      <c r="D275" s="140"/>
      <c r="E275" s="116"/>
      <c r="F275" s="116"/>
      <c r="G275" s="116"/>
      <c r="H275" s="116"/>
      <c r="I275" s="116"/>
      <c r="J275" s="117"/>
      <c r="K275" s="115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61"/>
      <c r="AA275" s="116"/>
      <c r="AB275" s="116"/>
      <c r="AC275" s="116"/>
      <c r="AD275" s="116"/>
      <c r="AE275" s="116"/>
      <c r="AF275" s="116"/>
      <c r="AG275" s="117"/>
      <c r="AH275" s="136"/>
      <c r="AI275" s="137"/>
      <c r="AJ275" s="138"/>
      <c r="AK275" s="136"/>
      <c r="AL275" s="138"/>
      <c r="AM275" s="116"/>
      <c r="AN275" s="116"/>
      <c r="AO275" s="116"/>
      <c r="AP275" s="116"/>
      <c r="AQ275" s="116"/>
      <c r="AR275" s="116"/>
      <c r="AS275" s="116"/>
      <c r="AT275" s="116"/>
      <c r="AU275" s="117"/>
      <c r="AV275" s="7"/>
    </row>
    <row r="276" spans="1:48" s="119" customFormat="1" ht="13.5" customHeight="1">
      <c r="A276" s="3"/>
      <c r="B276" s="4"/>
      <c r="C276" s="114">
        <v>4</v>
      </c>
      <c r="D276" s="140"/>
      <c r="E276" s="116"/>
      <c r="F276" s="116"/>
      <c r="G276" s="116"/>
      <c r="H276" s="116"/>
      <c r="I276" s="116"/>
      <c r="J276" s="117"/>
      <c r="K276" s="115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61"/>
      <c r="AA276" s="116"/>
      <c r="AB276" s="116"/>
      <c r="AC276" s="116"/>
      <c r="AD276" s="116"/>
      <c r="AE276" s="116"/>
      <c r="AF276" s="116"/>
      <c r="AG276" s="117"/>
      <c r="AH276" s="136"/>
      <c r="AI276" s="137"/>
      <c r="AJ276" s="138"/>
      <c r="AK276" s="136"/>
      <c r="AL276" s="138"/>
      <c r="AM276" s="116"/>
      <c r="AN276" s="116"/>
      <c r="AO276" s="116"/>
      <c r="AP276" s="116"/>
      <c r="AQ276" s="116"/>
      <c r="AR276" s="116"/>
      <c r="AS276" s="116"/>
      <c r="AT276" s="116"/>
      <c r="AU276" s="117"/>
      <c r="AV276" s="7"/>
    </row>
    <row r="277" spans="1:48" s="119" customFormat="1" ht="13.5" customHeight="1">
      <c r="A277" s="3"/>
      <c r="B277" s="4"/>
      <c r="C277" s="114">
        <v>5</v>
      </c>
      <c r="D277" s="140"/>
      <c r="E277" s="116"/>
      <c r="F277" s="116"/>
      <c r="G277" s="116"/>
      <c r="H277" s="116"/>
      <c r="I277" s="116"/>
      <c r="J277" s="117"/>
      <c r="K277" s="115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61"/>
      <c r="AA277" s="116"/>
      <c r="AB277" s="116"/>
      <c r="AC277" s="116"/>
      <c r="AD277" s="116"/>
      <c r="AE277" s="116"/>
      <c r="AF277" s="116"/>
      <c r="AG277" s="117"/>
      <c r="AH277" s="136"/>
      <c r="AI277" s="137"/>
      <c r="AJ277" s="138"/>
      <c r="AK277" s="136"/>
      <c r="AL277" s="138"/>
      <c r="AM277" s="116"/>
      <c r="AN277" s="116"/>
      <c r="AO277" s="116"/>
      <c r="AP277" s="116"/>
      <c r="AQ277" s="116"/>
      <c r="AR277" s="116"/>
      <c r="AS277" s="116"/>
      <c r="AT277" s="116"/>
      <c r="AU277" s="117"/>
      <c r="AV277" s="7"/>
    </row>
    <row r="278" spans="1:48" s="119" customFormat="1" ht="13.5" customHeight="1">
      <c r="A278" s="3"/>
      <c r="B278" s="139"/>
      <c r="C278" s="114">
        <v>6</v>
      </c>
      <c r="D278" s="140"/>
      <c r="E278" s="116"/>
      <c r="F278" s="116"/>
      <c r="G278" s="116"/>
      <c r="H278" s="116"/>
      <c r="I278" s="116"/>
      <c r="J278" s="117"/>
      <c r="K278" s="115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61"/>
      <c r="AA278" s="116"/>
      <c r="AB278" s="116"/>
      <c r="AC278" s="116"/>
      <c r="AD278" s="116"/>
      <c r="AE278" s="116"/>
      <c r="AF278" s="116"/>
      <c r="AG278" s="117"/>
      <c r="AH278" s="136"/>
      <c r="AI278" s="137"/>
      <c r="AJ278" s="138"/>
      <c r="AK278" s="136"/>
      <c r="AL278" s="138"/>
      <c r="AM278" s="116"/>
      <c r="AN278" s="116"/>
      <c r="AO278" s="116"/>
      <c r="AP278" s="116"/>
      <c r="AQ278" s="116"/>
      <c r="AR278" s="116"/>
      <c r="AS278" s="116"/>
      <c r="AT278" s="116"/>
      <c r="AU278" s="117"/>
      <c r="AV278" s="7"/>
    </row>
    <row r="279" spans="1:48" s="119" customFormat="1" ht="13.5" customHeight="1">
      <c r="A279" s="3"/>
      <c r="C279" s="205" t="s">
        <v>117</v>
      </c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  <c r="AD279" s="206"/>
      <c r="AE279" s="206"/>
      <c r="AF279" s="206"/>
      <c r="AG279" s="206"/>
      <c r="AH279" s="206"/>
      <c r="AI279" s="206"/>
      <c r="AJ279" s="206"/>
      <c r="AK279" s="206"/>
      <c r="AL279" s="206"/>
      <c r="AM279" s="206"/>
      <c r="AN279" s="206"/>
      <c r="AO279" s="206"/>
      <c r="AP279" s="206"/>
      <c r="AQ279" s="206"/>
      <c r="AR279" s="206"/>
      <c r="AS279" s="206"/>
      <c r="AT279" s="206"/>
      <c r="AU279" s="207"/>
      <c r="AV279" s="7"/>
    </row>
    <row r="280" spans="1:48" s="119" customFormat="1" ht="13.5" customHeight="1">
      <c r="A280" s="3"/>
      <c r="C280" s="211" t="s">
        <v>118</v>
      </c>
      <c r="D280" s="205"/>
      <c r="E280" s="206" t="s">
        <v>115</v>
      </c>
      <c r="F280" s="206"/>
      <c r="G280" s="206"/>
      <c r="H280" s="206"/>
      <c r="I280" s="206"/>
      <c r="J280" s="207"/>
      <c r="K280" s="205" t="s">
        <v>116</v>
      </c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  <c r="AD280" s="206"/>
      <c r="AE280" s="206"/>
      <c r="AF280" s="206"/>
      <c r="AG280" s="207"/>
      <c r="AH280" s="205" t="s">
        <v>98</v>
      </c>
      <c r="AI280" s="206"/>
      <c r="AJ280" s="207"/>
      <c r="AK280" s="205" t="s">
        <v>99</v>
      </c>
      <c r="AL280" s="207"/>
      <c r="AM280" s="206" t="s">
        <v>101</v>
      </c>
      <c r="AN280" s="206"/>
      <c r="AO280" s="206"/>
      <c r="AP280" s="206"/>
      <c r="AQ280" s="206"/>
      <c r="AR280" s="206"/>
      <c r="AS280" s="206"/>
      <c r="AT280" s="206"/>
      <c r="AU280" s="207"/>
      <c r="AV280" s="7"/>
    </row>
    <row r="281" spans="1:48" s="119" customFormat="1" ht="13.5" customHeight="1">
      <c r="A281" s="3"/>
      <c r="C281" s="114">
        <v>1</v>
      </c>
      <c r="D281" s="140"/>
      <c r="E281" s="141"/>
      <c r="F281" s="141"/>
      <c r="G281" s="141"/>
      <c r="H281" s="141"/>
      <c r="I281" s="141"/>
      <c r="J281" s="142"/>
      <c r="K281" s="115"/>
      <c r="L281" s="141"/>
      <c r="M281" s="141"/>
      <c r="N281" s="141"/>
      <c r="O281" s="141"/>
      <c r="P281" s="141"/>
      <c r="Q281" s="116"/>
      <c r="R281" s="116"/>
      <c r="S281" s="116"/>
      <c r="T281" s="116"/>
      <c r="U281" s="116"/>
      <c r="V281" s="116"/>
      <c r="W281" s="116"/>
      <c r="X281" s="116"/>
      <c r="Y281" s="116"/>
      <c r="Z281" s="161"/>
      <c r="AA281" s="116"/>
      <c r="AB281" s="116"/>
      <c r="AC281" s="116"/>
      <c r="AD281" s="116"/>
      <c r="AE281" s="116"/>
      <c r="AF281" s="116"/>
      <c r="AG281" s="117"/>
      <c r="AH281" s="136"/>
      <c r="AI281" s="137"/>
      <c r="AJ281" s="138"/>
      <c r="AK281" s="136"/>
      <c r="AL281" s="138"/>
      <c r="AM281" s="115"/>
      <c r="AN281" s="116"/>
      <c r="AO281" s="116"/>
      <c r="AP281" s="116"/>
      <c r="AQ281" s="116"/>
      <c r="AR281" s="116"/>
      <c r="AS281" s="116"/>
      <c r="AT281" s="116"/>
      <c r="AU281" s="117"/>
      <c r="AV281" s="7"/>
    </row>
    <row r="282" spans="1:48" s="119" customFormat="1" ht="13.5" customHeight="1">
      <c r="A282" s="3"/>
      <c r="B282" s="4"/>
      <c r="C282" s="114">
        <v>2</v>
      </c>
      <c r="D282" s="140"/>
      <c r="E282" s="141"/>
      <c r="F282" s="141"/>
      <c r="G282" s="141"/>
      <c r="H282" s="141"/>
      <c r="I282" s="141"/>
      <c r="J282" s="142"/>
      <c r="K282" s="115"/>
      <c r="L282" s="141"/>
      <c r="M282" s="141"/>
      <c r="N282" s="141"/>
      <c r="O282" s="141"/>
      <c r="P282" s="141"/>
      <c r="Q282" s="116"/>
      <c r="R282" s="116"/>
      <c r="S282" s="116"/>
      <c r="T282" s="116"/>
      <c r="U282" s="116"/>
      <c r="V282" s="116"/>
      <c r="W282" s="116"/>
      <c r="X282" s="116"/>
      <c r="Y282" s="116"/>
      <c r="Z282" s="161"/>
      <c r="AA282" s="116"/>
      <c r="AB282" s="116"/>
      <c r="AC282" s="116"/>
      <c r="AD282" s="116"/>
      <c r="AE282" s="116"/>
      <c r="AF282" s="116"/>
      <c r="AG282" s="117"/>
      <c r="AH282" s="136"/>
      <c r="AI282" s="137"/>
      <c r="AJ282" s="138"/>
      <c r="AK282" s="136"/>
      <c r="AL282" s="138"/>
      <c r="AM282" s="115"/>
      <c r="AN282" s="116"/>
      <c r="AO282" s="116"/>
      <c r="AP282" s="116"/>
      <c r="AQ282" s="116"/>
      <c r="AR282" s="116"/>
      <c r="AS282" s="116"/>
      <c r="AT282" s="116"/>
      <c r="AU282" s="117"/>
      <c r="AV282" s="7"/>
    </row>
    <row r="283" spans="1:48" s="119" customFormat="1" ht="13.5" customHeight="1">
      <c r="A283" s="3"/>
      <c r="B283" s="139"/>
      <c r="C283" s="114">
        <v>3</v>
      </c>
      <c r="D283" s="140"/>
      <c r="E283" s="116"/>
      <c r="F283" s="116"/>
      <c r="G283" s="116"/>
      <c r="H283" s="116"/>
      <c r="I283" s="116"/>
      <c r="J283" s="117"/>
      <c r="K283" s="115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61"/>
      <c r="AA283" s="116"/>
      <c r="AB283" s="116"/>
      <c r="AC283" s="116"/>
      <c r="AD283" s="116"/>
      <c r="AE283" s="116"/>
      <c r="AF283" s="116"/>
      <c r="AG283" s="117"/>
      <c r="AH283" s="136"/>
      <c r="AI283" s="137"/>
      <c r="AJ283" s="138"/>
      <c r="AK283" s="136"/>
      <c r="AL283" s="138"/>
      <c r="AM283" s="115"/>
      <c r="AN283" s="116"/>
      <c r="AO283" s="116"/>
      <c r="AP283" s="116"/>
      <c r="AQ283" s="116"/>
      <c r="AR283" s="116"/>
      <c r="AS283" s="116"/>
      <c r="AT283" s="116"/>
      <c r="AU283" s="117"/>
      <c r="AV283" s="7"/>
    </row>
    <row r="284" spans="1:48" s="119" customFormat="1" ht="13.5" customHeight="1">
      <c r="A284" s="3"/>
      <c r="B284" s="139"/>
      <c r="C284" s="114">
        <v>4</v>
      </c>
      <c r="D284" s="140"/>
      <c r="E284" s="116"/>
      <c r="F284" s="116"/>
      <c r="G284" s="116"/>
      <c r="H284" s="116"/>
      <c r="I284" s="116"/>
      <c r="J284" s="117"/>
      <c r="K284" s="115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61"/>
      <c r="AA284" s="116"/>
      <c r="AB284" s="116"/>
      <c r="AC284" s="116"/>
      <c r="AD284" s="116"/>
      <c r="AE284" s="116"/>
      <c r="AF284" s="116"/>
      <c r="AG284" s="117"/>
      <c r="AH284" s="136"/>
      <c r="AI284" s="137"/>
      <c r="AJ284" s="138"/>
      <c r="AK284" s="136"/>
      <c r="AL284" s="138"/>
      <c r="AM284" s="115"/>
      <c r="AN284" s="116"/>
      <c r="AO284" s="116"/>
      <c r="AP284" s="116"/>
      <c r="AQ284" s="116"/>
      <c r="AR284" s="116"/>
      <c r="AS284" s="116"/>
      <c r="AT284" s="116"/>
      <c r="AU284" s="117"/>
      <c r="AV284" s="7"/>
    </row>
    <row r="285" spans="1:48" s="119" customFormat="1" ht="13.5" customHeight="1">
      <c r="A285" s="3"/>
      <c r="B285" s="4"/>
      <c r="C285" s="114">
        <v>5</v>
      </c>
      <c r="D285" s="140"/>
      <c r="E285" s="116"/>
      <c r="F285" s="116"/>
      <c r="G285" s="116"/>
      <c r="H285" s="116"/>
      <c r="I285" s="116"/>
      <c r="J285" s="117"/>
      <c r="K285" s="115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61"/>
      <c r="AA285" s="116"/>
      <c r="AB285" s="116"/>
      <c r="AC285" s="116"/>
      <c r="AD285" s="116"/>
      <c r="AE285" s="116"/>
      <c r="AF285" s="116"/>
      <c r="AG285" s="117"/>
      <c r="AH285" s="136"/>
      <c r="AI285" s="137"/>
      <c r="AJ285" s="138"/>
      <c r="AK285" s="136"/>
      <c r="AL285" s="138"/>
      <c r="AM285" s="115"/>
      <c r="AN285" s="116"/>
      <c r="AO285" s="116"/>
      <c r="AP285" s="116"/>
      <c r="AQ285" s="116"/>
      <c r="AR285" s="116"/>
      <c r="AS285" s="116"/>
      <c r="AT285" s="116"/>
      <c r="AU285" s="117"/>
      <c r="AV285" s="7"/>
    </row>
    <row r="286" spans="1:48" s="119" customFormat="1" ht="13.5" customHeight="1">
      <c r="A286" s="3"/>
      <c r="B286" s="139"/>
      <c r="C286" s="205" t="s">
        <v>119</v>
      </c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  <c r="AD286" s="206"/>
      <c r="AE286" s="206"/>
      <c r="AF286" s="206"/>
      <c r="AG286" s="206"/>
      <c r="AH286" s="206"/>
      <c r="AI286" s="206"/>
      <c r="AJ286" s="206"/>
      <c r="AK286" s="206"/>
      <c r="AL286" s="206"/>
      <c r="AM286" s="206"/>
      <c r="AN286" s="206"/>
      <c r="AO286" s="206"/>
      <c r="AP286" s="206"/>
      <c r="AQ286" s="206"/>
      <c r="AR286" s="206"/>
      <c r="AS286" s="206"/>
      <c r="AT286" s="206"/>
      <c r="AU286" s="207"/>
      <c r="AV286" s="7"/>
    </row>
    <row r="287" spans="1:48" s="119" customFormat="1" ht="13.5" customHeight="1">
      <c r="A287" s="3"/>
      <c r="B287" s="139"/>
      <c r="C287" s="143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  <c r="AF287" s="144"/>
      <c r="AG287" s="144"/>
      <c r="AH287" s="144"/>
      <c r="AI287" s="144"/>
      <c r="AJ287" s="144"/>
      <c r="AK287" s="144"/>
      <c r="AL287" s="144"/>
      <c r="AM287" s="144"/>
      <c r="AN287" s="144"/>
      <c r="AO287" s="144"/>
      <c r="AP287" s="144"/>
      <c r="AQ287" s="144"/>
      <c r="AR287" s="144"/>
      <c r="AS287" s="144"/>
      <c r="AT287" s="144"/>
      <c r="AU287" s="145"/>
      <c r="AV287" s="7"/>
    </row>
    <row r="288" spans="1:48" s="119" customFormat="1" ht="13.5" customHeight="1">
      <c r="A288" s="3"/>
      <c r="B288" s="139"/>
      <c r="C288" s="14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106"/>
      <c r="AV288" s="7"/>
    </row>
    <row r="289" spans="1:51" s="119" customFormat="1" ht="13.5" customHeight="1">
      <c r="A289" s="3"/>
      <c r="B289" s="139"/>
      <c r="C289" s="14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106"/>
      <c r="AV289" s="7"/>
    </row>
    <row r="290" spans="1:51" s="119" customFormat="1" ht="13.5" customHeight="1">
      <c r="A290" s="3"/>
      <c r="B290" s="139"/>
      <c r="C290" s="14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106"/>
      <c r="AV290" s="7"/>
    </row>
    <row r="291" spans="1:51" s="119" customFormat="1" ht="13.5" customHeight="1">
      <c r="A291" s="3"/>
      <c r="B291" s="139"/>
      <c r="C291" s="14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106"/>
      <c r="AV291" s="7"/>
    </row>
    <row r="292" spans="1:51" s="119" customFormat="1" ht="13.5" customHeight="1">
      <c r="A292" s="3"/>
      <c r="B292" s="139"/>
      <c r="C292" s="14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106"/>
      <c r="AV292" s="7"/>
    </row>
    <row r="293" spans="1:51" s="119" customFormat="1" ht="13.5" customHeight="1">
      <c r="A293" s="3"/>
      <c r="B293" s="139"/>
      <c r="C293" s="14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106"/>
      <c r="AV293" s="7"/>
    </row>
    <row r="294" spans="1:51" s="119" customFormat="1" ht="13.5" customHeight="1">
      <c r="A294" s="3"/>
      <c r="B294" s="139"/>
      <c r="C294" s="14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106"/>
      <c r="AV294" s="7"/>
    </row>
    <row r="295" spans="1:51" s="119" customFormat="1" ht="13.5" customHeight="1">
      <c r="A295" s="3"/>
      <c r="B295" s="139"/>
      <c r="C295" s="14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106"/>
      <c r="AV295" s="7"/>
    </row>
    <row r="296" spans="1:51" s="119" customFormat="1" ht="13.5" customHeight="1">
      <c r="A296" s="3"/>
      <c r="B296" s="139"/>
      <c r="C296" s="14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106"/>
      <c r="AV296" s="7"/>
    </row>
    <row r="297" spans="1:51" s="119" customFormat="1" ht="13.5" customHeight="1">
      <c r="A297" s="3"/>
      <c r="B297" s="139"/>
      <c r="C297" s="14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106"/>
      <c r="AV297" s="7"/>
    </row>
    <row r="298" spans="1:51" s="119" customFormat="1" ht="13.5" customHeight="1">
      <c r="A298" s="3"/>
      <c r="B298" s="139"/>
      <c r="C298" s="147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9"/>
      <c r="AV298" s="7"/>
    </row>
    <row r="299" spans="1:51" s="119" customFormat="1" ht="13.5" customHeight="1">
      <c r="A299" s="3"/>
      <c r="B299" s="139"/>
      <c r="C299" s="139"/>
      <c r="D299" s="139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7"/>
    </row>
    <row r="300" spans="1:51" s="119" customFormat="1" ht="13.5" customHeight="1">
      <c r="A300" s="3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7"/>
    </row>
    <row r="301" spans="1:51" s="119" customFormat="1" ht="13.5" customHeight="1" thickBot="1">
      <c r="A301" s="8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12"/>
      <c r="AX301" s="223" t="str">
        <f>HYPERLINK("#$A$1","目次へ")</f>
        <v>目次へ</v>
      </c>
      <c r="AY301" s="223"/>
    </row>
    <row r="302" spans="1:51" ht="13.5" customHeight="1">
      <c r="A302" s="225" t="s">
        <v>39</v>
      </c>
      <c r="B302" s="226"/>
      <c r="C302" s="227"/>
      <c r="D302" s="228" t="str">
        <f>システム名</f>
        <v>○✕システム</v>
      </c>
      <c r="E302" s="229"/>
      <c r="F302" s="229"/>
      <c r="G302" s="229"/>
      <c r="H302" s="229"/>
      <c r="I302" s="229"/>
      <c r="J302" s="229"/>
      <c r="K302" s="229"/>
      <c r="L302" s="229"/>
      <c r="M302" s="229"/>
      <c r="N302" s="229"/>
      <c r="O302" s="230"/>
      <c r="P302" s="231" t="s">
        <v>0</v>
      </c>
      <c r="Q302" s="226"/>
      <c r="R302" s="227"/>
      <c r="S302" s="232" t="str">
        <f>IF(顧客名&lt;&gt;"",顧客名,"")</f>
        <v>○✕○✕株式会社</v>
      </c>
      <c r="T302" s="233"/>
      <c r="U302" s="233"/>
      <c r="V302" s="233"/>
      <c r="W302" s="233"/>
      <c r="X302" s="233"/>
      <c r="Y302" s="233"/>
      <c r="Z302" s="233"/>
      <c r="AA302" s="233"/>
      <c r="AB302" s="233"/>
      <c r="AC302" s="233"/>
      <c r="AD302" s="233"/>
      <c r="AE302" s="233"/>
      <c r="AF302" s="234"/>
      <c r="AG302" s="235" t="s">
        <v>35</v>
      </c>
      <c r="AH302" s="235"/>
      <c r="AI302" s="235"/>
      <c r="AJ302" s="236">
        <f>作成日</f>
        <v>44287</v>
      </c>
      <c r="AK302" s="237"/>
      <c r="AL302" s="237"/>
      <c r="AM302" s="237"/>
      <c r="AN302" s="237"/>
      <c r="AO302" s="235" t="s">
        <v>36</v>
      </c>
      <c r="AP302" s="235"/>
      <c r="AQ302" s="235"/>
      <c r="AR302" s="238" t="str">
        <f>作成者</f>
        <v>○○　✕✕</v>
      </c>
      <c r="AS302" s="239"/>
      <c r="AT302" s="239"/>
      <c r="AU302" s="239"/>
      <c r="AV302" s="240"/>
      <c r="AX302" s="256"/>
      <c r="AY302" s="257"/>
    </row>
    <row r="303" spans="1:51" ht="13.5" customHeight="1">
      <c r="A303" s="242" t="s">
        <v>30</v>
      </c>
      <c r="B303" s="243"/>
      <c r="C303" s="244"/>
      <c r="D303" s="245"/>
      <c r="E303" s="246"/>
      <c r="F303" s="246"/>
      <c r="G303" s="246"/>
      <c r="H303" s="246"/>
      <c r="I303" s="246"/>
      <c r="J303" s="246"/>
      <c r="K303" s="246"/>
      <c r="L303" s="246"/>
      <c r="M303" s="246"/>
      <c r="N303" s="246"/>
      <c r="O303" s="247"/>
      <c r="P303" s="248" t="s">
        <v>2</v>
      </c>
      <c r="Q303" s="243"/>
      <c r="R303" s="244"/>
      <c r="S303" s="258"/>
      <c r="T303" s="259"/>
      <c r="U303" s="259"/>
      <c r="V303" s="259"/>
      <c r="W303" s="259"/>
      <c r="X303" s="259"/>
      <c r="Y303" s="259"/>
      <c r="Z303" s="259"/>
      <c r="AA303" s="259"/>
      <c r="AB303" s="259"/>
      <c r="AC303" s="259"/>
      <c r="AD303" s="259"/>
      <c r="AE303" s="259"/>
      <c r="AF303" s="260"/>
      <c r="AG303" s="250" t="s">
        <v>34</v>
      </c>
      <c r="AH303" s="250"/>
      <c r="AI303" s="250"/>
      <c r="AJ303" s="251"/>
      <c r="AK303" s="252"/>
      <c r="AL303" s="252"/>
      <c r="AM303" s="252"/>
      <c r="AN303" s="252"/>
      <c r="AO303" s="250" t="s">
        <v>33</v>
      </c>
      <c r="AP303" s="250"/>
      <c r="AQ303" s="250"/>
      <c r="AR303" s="253"/>
      <c r="AS303" s="254"/>
      <c r="AT303" s="254"/>
      <c r="AU303" s="254"/>
      <c r="AV303" s="255"/>
      <c r="AX303" s="257"/>
      <c r="AY303" s="257"/>
    </row>
    <row r="304" spans="1:51" ht="13.5" customHeight="1">
      <c r="A304" s="51"/>
      <c r="B304" s="13"/>
      <c r="C304" s="13"/>
      <c r="D304" s="52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53"/>
      <c r="AX304" s="50"/>
      <c r="AY304" s="50"/>
    </row>
    <row r="305" spans="1:51" ht="13.5" customHeight="1">
      <c r="A305" s="51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53"/>
      <c r="AX305" s="50"/>
      <c r="AY305" s="50"/>
    </row>
    <row r="306" spans="1:51" ht="13.5" customHeight="1">
      <c r="A306" s="51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53"/>
      <c r="AX306" s="50"/>
      <c r="AY306" s="50"/>
    </row>
    <row r="307" spans="1:51" ht="13.5" customHeight="1">
      <c r="A307" s="51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53"/>
    </row>
    <row r="308" spans="1:51" ht="13.5" customHeight="1">
      <c r="A308" s="51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53"/>
    </row>
    <row r="309" spans="1:51" ht="13.5" customHeight="1">
      <c r="A309" s="51"/>
      <c r="B309" s="13"/>
      <c r="C309" s="13"/>
      <c r="D309" s="6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53"/>
    </row>
    <row r="310" spans="1:51" ht="13.5" customHeight="1">
      <c r="A310" s="51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53"/>
    </row>
    <row r="311" spans="1:51" ht="13.5" customHeight="1">
      <c r="A311" s="51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53"/>
    </row>
    <row r="312" spans="1:51" ht="13.5" customHeight="1">
      <c r="A312" s="51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53"/>
    </row>
    <row r="313" spans="1:51" ht="13.5" customHeight="1">
      <c r="A313" s="51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53"/>
    </row>
    <row r="314" spans="1:51" ht="13.5" customHeight="1">
      <c r="A314" s="51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53"/>
    </row>
    <row r="315" spans="1:51" ht="13.5" customHeight="1">
      <c r="A315" s="51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53"/>
    </row>
    <row r="316" spans="1:51" ht="13.5" customHeight="1">
      <c r="A316" s="51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53"/>
    </row>
    <row r="317" spans="1:51" ht="13.5" customHeight="1">
      <c r="A317" s="51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53"/>
    </row>
    <row r="318" spans="1:51" ht="13.5" customHeight="1">
      <c r="A318" s="51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53"/>
    </row>
    <row r="319" spans="1:51" ht="13.5" customHeight="1">
      <c r="A319" s="51"/>
      <c r="B319" s="13"/>
      <c r="C319" s="13"/>
      <c r="D319" s="52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53"/>
    </row>
    <row r="320" spans="1:51" ht="13.5" customHeight="1">
      <c r="A320" s="51"/>
      <c r="B320" s="13"/>
      <c r="C320" s="13"/>
      <c r="D320" s="52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53"/>
    </row>
    <row r="321" spans="1:48" ht="13.5" customHeight="1">
      <c r="A321" s="51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53"/>
    </row>
    <row r="322" spans="1:48" ht="13.5" customHeight="1">
      <c r="A322" s="51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53"/>
    </row>
    <row r="323" spans="1:48" ht="13.5" customHeight="1">
      <c r="A323" s="51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53"/>
    </row>
    <row r="324" spans="1:48" ht="13.5" customHeight="1">
      <c r="A324" s="51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53"/>
    </row>
    <row r="325" spans="1:48" ht="13.5" customHeight="1">
      <c r="A325" s="51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53"/>
    </row>
    <row r="326" spans="1:48" ht="13.5" customHeight="1">
      <c r="A326" s="51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53"/>
    </row>
    <row r="327" spans="1:48" ht="13.5" customHeight="1">
      <c r="A327" s="51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53"/>
    </row>
    <row r="328" spans="1:48" ht="13.5" customHeight="1">
      <c r="A328" s="51"/>
      <c r="B328" s="13"/>
      <c r="C328" s="13"/>
      <c r="D328" s="52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53"/>
    </row>
    <row r="329" spans="1:48" ht="13.5" customHeight="1">
      <c r="A329" s="51"/>
      <c r="B329" s="13"/>
      <c r="C329" s="13"/>
      <c r="D329" s="52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53"/>
    </row>
    <row r="330" spans="1:48" ht="13.5" customHeight="1">
      <c r="A330" s="51"/>
      <c r="B330" s="13"/>
      <c r="C330" s="13"/>
      <c r="D330" s="52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53"/>
    </row>
    <row r="331" spans="1:48" ht="13.5" customHeight="1">
      <c r="A331" s="51"/>
      <c r="B331" s="13"/>
      <c r="C331" s="13"/>
      <c r="D331" s="64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53"/>
    </row>
    <row r="332" spans="1:48" ht="13.5" customHeight="1">
      <c r="A332" s="51"/>
      <c r="B332" s="13"/>
      <c r="C332" s="13"/>
      <c r="D332" s="52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53"/>
    </row>
    <row r="333" spans="1:48" ht="13.5" customHeight="1">
      <c r="A333" s="51"/>
      <c r="B333" s="13"/>
      <c r="C333" s="13"/>
      <c r="D333" s="52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53"/>
    </row>
    <row r="334" spans="1:48" ht="13.5" customHeight="1">
      <c r="A334" s="51"/>
      <c r="B334" s="13"/>
      <c r="C334" s="13"/>
      <c r="D334" s="52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53"/>
    </row>
    <row r="335" spans="1:48" ht="13.5" customHeight="1">
      <c r="A335" s="51"/>
      <c r="B335" s="13"/>
      <c r="C335" s="13"/>
      <c r="D335" s="52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53"/>
    </row>
    <row r="336" spans="1:48" ht="13.5" customHeight="1">
      <c r="A336" s="51"/>
      <c r="B336" s="13"/>
      <c r="C336" s="13"/>
      <c r="D336" s="52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53"/>
    </row>
    <row r="337" spans="1:51" ht="13.5" customHeight="1">
      <c r="A337" s="51"/>
      <c r="B337" s="13"/>
      <c r="C337" s="13"/>
      <c r="D337" s="52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53"/>
    </row>
    <row r="338" spans="1:51" ht="13.5" customHeight="1">
      <c r="A338" s="51"/>
      <c r="B338" s="13"/>
      <c r="C338" s="13"/>
      <c r="D338" s="52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53"/>
    </row>
    <row r="339" spans="1:51" ht="13.5" customHeight="1">
      <c r="A339" s="51"/>
      <c r="B339" s="13"/>
      <c r="C339" s="13"/>
      <c r="D339" s="52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53"/>
    </row>
    <row r="340" spans="1:51" ht="13.5" customHeight="1">
      <c r="A340" s="51"/>
      <c r="B340" s="13"/>
      <c r="C340" s="13"/>
      <c r="D340" s="52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53"/>
    </row>
    <row r="341" spans="1:51" ht="13.5" customHeight="1">
      <c r="A341" s="51"/>
      <c r="B341" s="13"/>
      <c r="C341" s="13"/>
      <c r="D341" s="52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53"/>
    </row>
    <row r="342" spans="1:51" ht="13.5" customHeight="1">
      <c r="A342" s="51"/>
      <c r="B342" s="13"/>
      <c r="C342" s="13"/>
      <c r="D342" s="52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53"/>
      <c r="AX342" s="50"/>
      <c r="AY342" s="50"/>
    </row>
    <row r="343" spans="1:51" ht="13.5" customHeight="1">
      <c r="A343" s="51"/>
      <c r="B343" s="13"/>
      <c r="C343" s="13"/>
      <c r="D343" s="52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53"/>
      <c r="AX343" s="50"/>
      <c r="AY343" s="50"/>
    </row>
    <row r="344" spans="1:51" ht="13.5" customHeight="1" thickBot="1">
      <c r="A344" s="55"/>
      <c r="B344" s="56"/>
      <c r="C344" s="56"/>
      <c r="D344" s="57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8"/>
      <c r="AX344" s="223" t="str">
        <f>HYPERLINK("#$A$1","目次へ")</f>
        <v>目次へ</v>
      </c>
      <c r="AY344" s="224"/>
    </row>
  </sheetData>
  <mergeCells count="388">
    <mergeCell ref="C167:I167"/>
    <mergeCell ref="C168:I168"/>
    <mergeCell ref="C162:I162"/>
    <mergeCell ref="C163:I163"/>
    <mergeCell ref="C164:I164"/>
    <mergeCell ref="C165:I165"/>
    <mergeCell ref="C166:I166"/>
    <mergeCell ref="C157:I157"/>
    <mergeCell ref="C158:I158"/>
    <mergeCell ref="C159:I159"/>
    <mergeCell ref="C160:I160"/>
    <mergeCell ref="C161:I161"/>
    <mergeCell ref="C152:I152"/>
    <mergeCell ref="C153:I153"/>
    <mergeCell ref="C154:I154"/>
    <mergeCell ref="C155:I155"/>
    <mergeCell ref="C156:I156"/>
    <mergeCell ref="C139:I139"/>
    <mergeCell ref="C140:I140"/>
    <mergeCell ref="C141:I141"/>
    <mergeCell ref="C142:I142"/>
    <mergeCell ref="C143:I143"/>
    <mergeCell ref="C144:I144"/>
    <mergeCell ref="C145:I145"/>
    <mergeCell ref="C146:I146"/>
    <mergeCell ref="C147:I147"/>
    <mergeCell ref="C148:I148"/>
    <mergeCell ref="C149:I149"/>
    <mergeCell ref="C150:I150"/>
    <mergeCell ref="C151:I151"/>
    <mergeCell ref="AX172:AY172"/>
    <mergeCell ref="AX129:AY129"/>
    <mergeCell ref="AX215:AY215"/>
    <mergeCell ref="AX344:AY344"/>
    <mergeCell ref="S165:V165"/>
    <mergeCell ref="S166:V166"/>
    <mergeCell ref="S167:V167"/>
    <mergeCell ref="S168:V168"/>
    <mergeCell ref="AG138:AT138"/>
    <mergeCell ref="S156:V156"/>
    <mergeCell ref="S157:V157"/>
    <mergeCell ref="S158:V158"/>
    <mergeCell ref="S159:V159"/>
    <mergeCell ref="S160:V160"/>
    <mergeCell ref="S161:V161"/>
    <mergeCell ref="S162:V162"/>
    <mergeCell ref="S163:V163"/>
    <mergeCell ref="S164:V164"/>
    <mergeCell ref="AG165:AT165"/>
    <mergeCell ref="AG166:AT166"/>
    <mergeCell ref="AG167:AT167"/>
    <mergeCell ref="AG168:AT168"/>
    <mergeCell ref="S138:V138"/>
    <mergeCell ref="S146:V146"/>
    <mergeCell ref="J138:N138"/>
    <mergeCell ref="O138:R138"/>
    <mergeCell ref="S139:V139"/>
    <mergeCell ref="S140:V140"/>
    <mergeCell ref="S141:V141"/>
    <mergeCell ref="S142:V142"/>
    <mergeCell ref="S143:V143"/>
    <mergeCell ref="S144:V144"/>
    <mergeCell ref="S145:V145"/>
    <mergeCell ref="J139:N139"/>
    <mergeCell ref="J140:N140"/>
    <mergeCell ref="J141:N141"/>
    <mergeCell ref="J142:N142"/>
    <mergeCell ref="J143:N143"/>
    <mergeCell ref="J144:N144"/>
    <mergeCell ref="S147:V147"/>
    <mergeCell ref="S148:V148"/>
    <mergeCell ref="S149:V149"/>
    <mergeCell ref="S150:V150"/>
    <mergeCell ref="S151:V151"/>
    <mergeCell ref="S155:V155"/>
    <mergeCell ref="AC166:AF166"/>
    <mergeCell ref="AC167:AF167"/>
    <mergeCell ref="AC168:AF168"/>
    <mergeCell ref="AC163:AF163"/>
    <mergeCell ref="AC155:AF155"/>
    <mergeCell ref="AC156:AF156"/>
    <mergeCell ref="AA154:AB154"/>
    <mergeCell ref="AA153:AB153"/>
    <mergeCell ref="W153:Y153"/>
    <mergeCell ref="W154:Y154"/>
    <mergeCell ref="W148:Y148"/>
    <mergeCell ref="AG139:AT139"/>
    <mergeCell ref="AG140:AT140"/>
    <mergeCell ref="AG141:AT141"/>
    <mergeCell ref="AG142:AT142"/>
    <mergeCell ref="AG143:AT143"/>
    <mergeCell ref="AG144:AT144"/>
    <mergeCell ref="AG145:AT145"/>
    <mergeCell ref="AG146:AT146"/>
    <mergeCell ref="AG147:AT147"/>
    <mergeCell ref="AG148:AT148"/>
    <mergeCell ref="AG149:AT149"/>
    <mergeCell ref="AG150:AT150"/>
    <mergeCell ref="AG151:AT151"/>
    <mergeCell ref="AG152:AT152"/>
    <mergeCell ref="AG153:AT153"/>
    <mergeCell ref="AG154:AT154"/>
    <mergeCell ref="AG155:AT155"/>
    <mergeCell ref="AG156:AT156"/>
    <mergeCell ref="AG157:AT157"/>
    <mergeCell ref="AG158:AT158"/>
    <mergeCell ref="AG159:AT159"/>
    <mergeCell ref="AC157:AF157"/>
    <mergeCell ref="AC158:AF158"/>
    <mergeCell ref="AC159:AF159"/>
    <mergeCell ref="AC160:AF160"/>
    <mergeCell ref="AC161:AF161"/>
    <mergeCell ref="AC162:AF162"/>
    <mergeCell ref="O166:R166"/>
    <mergeCell ref="O167:R167"/>
    <mergeCell ref="O168:R168"/>
    <mergeCell ref="W166:Y166"/>
    <mergeCell ref="W167:Y167"/>
    <mergeCell ref="W168:Y168"/>
    <mergeCell ref="AA166:AB166"/>
    <mergeCell ref="AA167:AB167"/>
    <mergeCell ref="AA168:AB168"/>
    <mergeCell ref="O159:R159"/>
    <mergeCell ref="O160:R160"/>
    <mergeCell ref="O161:R161"/>
    <mergeCell ref="O162:R162"/>
    <mergeCell ref="O163:R163"/>
    <mergeCell ref="O164:R164"/>
    <mergeCell ref="O165:R165"/>
    <mergeCell ref="AC164:AF164"/>
    <mergeCell ref="AC165:AF165"/>
    <mergeCell ref="AA163:AB163"/>
    <mergeCell ref="AA164:AB164"/>
    <mergeCell ref="AA165:AB165"/>
    <mergeCell ref="W163:Y163"/>
    <mergeCell ref="W164:Y164"/>
    <mergeCell ref="W165:Y165"/>
    <mergeCell ref="AA162:AB162"/>
    <mergeCell ref="AA161:AB161"/>
    <mergeCell ref="W161:Y161"/>
    <mergeCell ref="W162:Y162"/>
    <mergeCell ref="J163:N163"/>
    <mergeCell ref="J164:N164"/>
    <mergeCell ref="J165:N165"/>
    <mergeCell ref="J166:N166"/>
    <mergeCell ref="J167:N167"/>
    <mergeCell ref="J168:N168"/>
    <mergeCell ref="O139:R139"/>
    <mergeCell ref="O140:R140"/>
    <mergeCell ref="O141:R141"/>
    <mergeCell ref="O142:R142"/>
    <mergeCell ref="O143:R143"/>
    <mergeCell ref="O144:R144"/>
    <mergeCell ref="O145:R145"/>
    <mergeCell ref="O146:R146"/>
    <mergeCell ref="O147:R147"/>
    <mergeCell ref="O148:R148"/>
    <mergeCell ref="O149:R149"/>
    <mergeCell ref="O150:R150"/>
    <mergeCell ref="O151:R151"/>
    <mergeCell ref="O152:R152"/>
    <mergeCell ref="O153:R153"/>
    <mergeCell ref="O154:R154"/>
    <mergeCell ref="O155:R155"/>
    <mergeCell ref="O156:R156"/>
    <mergeCell ref="J161:N161"/>
    <mergeCell ref="J162:N162"/>
    <mergeCell ref="AA160:AB160"/>
    <mergeCell ref="AA159:AB159"/>
    <mergeCell ref="W159:Y159"/>
    <mergeCell ref="W160:Y160"/>
    <mergeCell ref="J159:N159"/>
    <mergeCell ref="J160:N160"/>
    <mergeCell ref="AA138:AB138"/>
    <mergeCell ref="AA139:AB139"/>
    <mergeCell ref="AA140:AB140"/>
    <mergeCell ref="AA141:AB141"/>
    <mergeCell ref="AA142:AB142"/>
    <mergeCell ref="AA143:AB143"/>
    <mergeCell ref="W138:Y138"/>
    <mergeCell ref="W139:Y139"/>
    <mergeCell ref="W140:Y140"/>
    <mergeCell ref="W141:Y141"/>
    <mergeCell ref="W142:Y142"/>
    <mergeCell ref="W143:Y143"/>
    <mergeCell ref="AA158:AB158"/>
    <mergeCell ref="AA157:AB157"/>
    <mergeCell ref="W157:Y157"/>
    <mergeCell ref="W158:Y158"/>
    <mergeCell ref="J157:N157"/>
    <mergeCell ref="J158:N158"/>
    <mergeCell ref="AA156:AB156"/>
    <mergeCell ref="AA155:AB155"/>
    <mergeCell ref="W155:Y155"/>
    <mergeCell ref="W156:Y156"/>
    <mergeCell ref="J155:N155"/>
    <mergeCell ref="J156:N156"/>
    <mergeCell ref="O157:R157"/>
    <mergeCell ref="O158:R158"/>
    <mergeCell ref="J153:N153"/>
    <mergeCell ref="J154:N154"/>
    <mergeCell ref="AC153:AF153"/>
    <mergeCell ref="AC154:AF154"/>
    <mergeCell ref="AJ302:AN302"/>
    <mergeCell ref="AO302:AQ302"/>
    <mergeCell ref="AA146:AB146"/>
    <mergeCell ref="AA145:AB145"/>
    <mergeCell ref="W145:Y145"/>
    <mergeCell ref="W146:Y146"/>
    <mergeCell ref="J145:N145"/>
    <mergeCell ref="J146:N146"/>
    <mergeCell ref="AC145:AF145"/>
    <mergeCell ref="AC146:AF146"/>
    <mergeCell ref="AA149:AB149"/>
    <mergeCell ref="W149:Y149"/>
    <mergeCell ref="W150:Y150"/>
    <mergeCell ref="J149:N149"/>
    <mergeCell ref="J150:N150"/>
    <mergeCell ref="AC149:AF149"/>
    <mergeCell ref="AC150:AF150"/>
    <mergeCell ref="AA148:AB148"/>
    <mergeCell ref="AA147:AB147"/>
    <mergeCell ref="W147:Y147"/>
    <mergeCell ref="AR302:AV302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302:C302"/>
    <mergeCell ref="D302:O302"/>
    <mergeCell ref="P302:R302"/>
    <mergeCell ref="S302:AF302"/>
    <mergeCell ref="AG302:AI302"/>
    <mergeCell ref="AO174:AQ174"/>
    <mergeCell ref="AR174:AV174"/>
    <mergeCell ref="AG173:AI173"/>
    <mergeCell ref="AX43:AY43"/>
    <mergeCell ref="AX1:AY2"/>
    <mergeCell ref="AO1:AQ1"/>
    <mergeCell ref="AO2:AQ2"/>
    <mergeCell ref="AR1:AV1"/>
    <mergeCell ref="AR2:AV2"/>
    <mergeCell ref="AJ173:AN173"/>
    <mergeCell ref="AO173:AQ173"/>
    <mergeCell ref="AR173:AV173"/>
    <mergeCell ref="AX87:AY88"/>
    <mergeCell ref="AX173:AY174"/>
    <mergeCell ref="AX130:AY131"/>
    <mergeCell ref="AG160:AT160"/>
    <mergeCell ref="AG161:AT161"/>
    <mergeCell ref="AG162:AT162"/>
    <mergeCell ref="AG163:AT163"/>
    <mergeCell ref="AG164:AT164"/>
    <mergeCell ref="AJ174:AN174"/>
    <mergeCell ref="AJ2:AN2"/>
    <mergeCell ref="AG174:AI174"/>
    <mergeCell ref="AJ87:AN87"/>
    <mergeCell ref="AG1:AI1"/>
    <mergeCell ref="AG2:AI2"/>
    <mergeCell ref="AJ1:AN1"/>
    <mergeCell ref="AG88:AI88"/>
    <mergeCell ref="A173:C173"/>
    <mergeCell ref="D173:O173"/>
    <mergeCell ref="AG130:AI130"/>
    <mergeCell ref="AG131:AI131"/>
    <mergeCell ref="AO87:AQ87"/>
    <mergeCell ref="AC142:AF142"/>
    <mergeCell ref="AA144:AB144"/>
    <mergeCell ref="W144:Y144"/>
    <mergeCell ref="AC148:AF148"/>
    <mergeCell ref="AA152:AB152"/>
    <mergeCell ref="AA151:AB151"/>
    <mergeCell ref="W151:Y151"/>
    <mergeCell ref="P1:R1"/>
    <mergeCell ref="A1:C1"/>
    <mergeCell ref="D1:O1"/>
    <mergeCell ref="S1:AF1"/>
    <mergeCell ref="S2:AF2"/>
    <mergeCell ref="P2:R2"/>
    <mergeCell ref="D2:O2"/>
    <mergeCell ref="A2:C2"/>
    <mergeCell ref="J152:N152"/>
    <mergeCell ref="AC151:AF151"/>
    <mergeCell ref="AC152:AF152"/>
    <mergeCell ref="AA150:AB150"/>
    <mergeCell ref="AR87:AV87"/>
    <mergeCell ref="AJ88:AN88"/>
    <mergeCell ref="AO88:AQ88"/>
    <mergeCell ref="AR88:AV88"/>
    <mergeCell ref="AG87:AI87"/>
    <mergeCell ref="AJ130:AN130"/>
    <mergeCell ref="AO130:AQ130"/>
    <mergeCell ref="AR130:AV130"/>
    <mergeCell ref="AJ131:AN131"/>
    <mergeCell ref="AO131:AQ131"/>
    <mergeCell ref="AR131:AV131"/>
    <mergeCell ref="AC139:AF139"/>
    <mergeCell ref="AC140:AF140"/>
    <mergeCell ref="AC141:AF141"/>
    <mergeCell ref="J147:N147"/>
    <mergeCell ref="J148:N148"/>
    <mergeCell ref="AC147:AF147"/>
    <mergeCell ref="AC143:AF143"/>
    <mergeCell ref="AC144:AF144"/>
    <mergeCell ref="AC138:AF138"/>
    <mergeCell ref="A130:C130"/>
    <mergeCell ref="D130:O130"/>
    <mergeCell ref="P130:R130"/>
    <mergeCell ref="S130:AF130"/>
    <mergeCell ref="A174:C174"/>
    <mergeCell ref="D174:O174"/>
    <mergeCell ref="P174:R174"/>
    <mergeCell ref="A87:C87"/>
    <mergeCell ref="D87:O87"/>
    <mergeCell ref="P87:R87"/>
    <mergeCell ref="S87:AF87"/>
    <mergeCell ref="A131:C131"/>
    <mergeCell ref="D131:O131"/>
    <mergeCell ref="P131:R131"/>
    <mergeCell ref="S131:AF131"/>
    <mergeCell ref="P173:R173"/>
    <mergeCell ref="S173:AF173"/>
    <mergeCell ref="A88:C88"/>
    <mergeCell ref="D88:O88"/>
    <mergeCell ref="P88:R88"/>
    <mergeCell ref="S88:AF88"/>
    <mergeCell ref="S174:AF174"/>
    <mergeCell ref="W152:Y152"/>
    <mergeCell ref="J151:N151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X301:AY301"/>
    <mergeCell ref="AX258:AY258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X86:AY86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</mergeCells>
  <phoneticPr fontId="4"/>
  <dataValidations count="4">
    <dataValidation imeMode="off" allowBlank="1" showInputMessage="1" showErrorMessage="1" sqref="H91:AM92 H97:AM97"/>
    <dataValidation type="list" allowBlank="1" showInputMessage="1" showErrorMessage="1" sqref="J139:J168">
      <formula1>SeleniumCmd</formula1>
    </dataValidation>
    <dataValidation type="list" allowBlank="1" showInputMessage="1" showErrorMessage="1" sqref="O139:O168">
      <formula1>データ型</formula1>
    </dataValidation>
    <dataValidation type="list" allowBlank="1" showInputMessage="1" showErrorMessage="1" sqref="AA139:AA168">
      <formula1>"○"</formula1>
    </dataValidation>
  </dataValidations>
  <pageMargins left="0.39370078740157483" right="0.39370078740157483" top="0.39370078740157483" bottom="0.39370078740157483" header="0.51181102362204722" footer="0.11811023622047245"/>
  <pageSetup paperSize="9" orientation="landscape" useFirstPageNumber="1" horizontalDpi="300" verticalDpi="300" r:id="rId1"/>
  <headerFooter alignWithMargins="0">
    <oddFooter>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AZ63"/>
  <sheetViews>
    <sheetView showGridLines="0" workbookViewId="0">
      <selection activeCell="P32" sqref="P32"/>
    </sheetView>
  </sheetViews>
  <sheetFormatPr defaultColWidth="3.140625" defaultRowHeight="13.5" customHeight="1"/>
  <cols>
    <col min="1" max="2" width="3.140625" style="66" customWidth="1"/>
    <col min="3" max="3" width="3.140625" style="74" customWidth="1"/>
    <col min="4" max="4" width="3.140625" style="78" customWidth="1"/>
    <col min="5" max="6" width="3.140625" style="66" customWidth="1"/>
    <col min="7" max="7" width="3" style="66" customWidth="1"/>
    <col min="8" max="32" width="3.140625" style="66" customWidth="1"/>
    <col min="33" max="45" width="3.140625" style="112" customWidth="1"/>
    <col min="46" max="46" width="3.7109375" style="112" customWidth="1"/>
    <col min="47" max="47" width="3.140625" style="112" customWidth="1"/>
    <col min="48" max="16384" width="3.140625" style="66"/>
  </cols>
  <sheetData>
    <row r="1" spans="1:52" ht="13.5" customHeight="1">
      <c r="A1" s="2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35"/>
      <c r="AV1" s="2"/>
      <c r="AW1" s="2"/>
      <c r="AX1" s="2"/>
      <c r="AY1" s="2"/>
      <c r="AZ1" s="65"/>
    </row>
    <row r="2" spans="1:52" ht="13.5" customHeight="1">
      <c r="A2" s="2"/>
      <c r="B2" s="284" t="str">
        <f>IF(顧客名&lt;&gt;"",顧客名&amp;" 御中","")</f>
        <v>○✕○✕株式会社 御中</v>
      </c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"/>
      <c r="Z2" s="2"/>
      <c r="AA2" s="2"/>
      <c r="AB2" s="2"/>
      <c r="AC2" s="2"/>
      <c r="AD2" s="2"/>
      <c r="AE2" s="2"/>
      <c r="AF2" s="2"/>
      <c r="AG2" s="35"/>
      <c r="AV2" s="2"/>
      <c r="AW2" s="2"/>
      <c r="AX2" s="2"/>
      <c r="AY2" s="2"/>
      <c r="AZ2" s="65"/>
    </row>
    <row r="3" spans="1:52" ht="13.5" customHeight="1">
      <c r="A3" s="2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"/>
      <c r="Z3" s="2"/>
      <c r="AA3" s="2"/>
      <c r="AB3" s="2"/>
      <c r="AC3" s="2"/>
      <c r="AD3" s="2"/>
      <c r="AE3" s="2"/>
      <c r="AF3" s="2"/>
      <c r="AG3" s="35"/>
      <c r="AV3" s="2"/>
      <c r="AW3" s="2"/>
      <c r="AX3" s="2"/>
      <c r="AY3" s="2"/>
      <c r="AZ3" s="65"/>
    </row>
    <row r="4" spans="1:52" ht="13.5" customHeight="1">
      <c r="A4" s="2"/>
      <c r="B4" s="284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AA4" s="69"/>
      <c r="AB4" s="2"/>
      <c r="AC4" s="2"/>
      <c r="AD4" s="2"/>
      <c r="AE4" s="2"/>
      <c r="AF4" s="2"/>
      <c r="AG4" s="35"/>
      <c r="AV4" s="2"/>
      <c r="AW4" s="2"/>
      <c r="AX4" s="2"/>
      <c r="AY4" s="2"/>
      <c r="AZ4" s="65"/>
    </row>
    <row r="5" spans="1:52" ht="13.5" customHeight="1">
      <c r="A5" s="289" t="str">
        <f>設計書</f>
        <v xml:space="preserve"> [○△□プロジェクト]○✕システム  設計書</v>
      </c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  <c r="AF5" s="289"/>
      <c r="AG5" s="35"/>
      <c r="AV5" s="2"/>
      <c r="AW5" s="2"/>
      <c r="AX5" s="2"/>
      <c r="AY5" s="2"/>
      <c r="AZ5" s="65"/>
    </row>
    <row r="6" spans="1:52" ht="13.5" customHeight="1">
      <c r="A6" s="289"/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35"/>
      <c r="AV6" s="2"/>
      <c r="AW6" s="2"/>
      <c r="AX6" s="2"/>
      <c r="AY6" s="2"/>
      <c r="AZ6" s="65"/>
    </row>
    <row r="7" spans="1:52" ht="13.5" customHeight="1">
      <c r="A7" s="2"/>
      <c r="B7" s="2"/>
      <c r="C7" s="67"/>
      <c r="D7" s="68"/>
      <c r="E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35"/>
      <c r="AV7" s="2"/>
      <c r="AW7" s="2"/>
      <c r="AX7" s="2"/>
      <c r="AY7" s="2"/>
      <c r="AZ7" s="65"/>
    </row>
    <row r="8" spans="1:52" ht="13.5" customHeight="1">
      <c r="A8" s="2"/>
      <c r="B8" s="2"/>
      <c r="C8" s="67"/>
      <c r="D8" s="68"/>
      <c r="E8" s="2"/>
      <c r="F8" s="69"/>
      <c r="G8" s="69"/>
      <c r="H8" s="69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35"/>
      <c r="AV8" s="2"/>
      <c r="AW8" s="2"/>
      <c r="AX8" s="2"/>
      <c r="AY8" s="2"/>
      <c r="AZ8" s="65"/>
    </row>
    <row r="9" spans="1:52" ht="13.5" customHeight="1">
      <c r="A9" s="2"/>
      <c r="B9" s="2"/>
      <c r="C9" s="70"/>
      <c r="D9" s="71"/>
      <c r="E9" s="69"/>
      <c r="F9" s="69"/>
      <c r="G9" s="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AA9" s="69"/>
      <c r="AB9" s="2"/>
      <c r="AC9" s="2"/>
      <c r="AD9" s="2"/>
      <c r="AE9" s="2"/>
      <c r="AF9" s="2"/>
      <c r="AG9" s="35"/>
      <c r="AV9" s="2"/>
      <c r="AW9" s="2"/>
      <c r="AX9" s="2"/>
      <c r="AY9" s="2"/>
      <c r="AZ9" s="65"/>
    </row>
    <row r="10" spans="1:52" ht="13.5" customHeight="1">
      <c r="A10" s="69"/>
      <c r="B10" s="69"/>
      <c r="D10" s="71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35"/>
      <c r="AV10" s="2"/>
      <c r="AW10" s="2"/>
      <c r="AX10" s="2"/>
      <c r="AY10" s="2"/>
      <c r="AZ10" s="65"/>
    </row>
    <row r="11" spans="1:52" ht="13.5" customHeight="1">
      <c r="A11" s="69"/>
      <c r="B11" s="69"/>
      <c r="D11" s="71"/>
      <c r="E11" s="69"/>
      <c r="F11" s="69"/>
      <c r="G11" s="69"/>
      <c r="H11" s="75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35"/>
      <c r="AV11" s="2"/>
      <c r="AW11" s="2"/>
      <c r="AX11" s="2"/>
      <c r="AY11" s="2"/>
      <c r="AZ11" s="65"/>
    </row>
    <row r="12" spans="1:52" ht="13.5" customHeight="1">
      <c r="A12" s="69"/>
      <c r="B12" s="69"/>
      <c r="D12" s="71"/>
      <c r="E12" s="69"/>
      <c r="F12" s="69"/>
      <c r="G12" s="69"/>
      <c r="H12" s="75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35"/>
      <c r="AV12" s="2"/>
      <c r="AW12" s="2"/>
      <c r="AX12" s="2"/>
      <c r="AY12" s="2"/>
      <c r="AZ12" s="65"/>
    </row>
    <row r="13" spans="1:52" ht="13.5" customHeight="1">
      <c r="A13" s="69"/>
      <c r="B13" s="69"/>
      <c r="D13" s="71"/>
      <c r="E13" s="69"/>
      <c r="F13" s="69"/>
      <c r="G13" s="69"/>
      <c r="H13" s="75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35"/>
      <c r="AV13" s="2"/>
      <c r="AW13" s="2"/>
      <c r="AX13" s="2"/>
      <c r="AY13" s="2"/>
      <c r="AZ13" s="65"/>
    </row>
    <row r="14" spans="1:52" ht="13.5" customHeight="1">
      <c r="A14" s="69"/>
      <c r="B14" s="69"/>
      <c r="D14" s="71"/>
      <c r="E14" s="69"/>
      <c r="F14" s="69"/>
      <c r="G14" s="69"/>
      <c r="H14" s="75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35"/>
      <c r="AV14" s="2"/>
      <c r="AW14" s="2"/>
      <c r="AX14" s="2"/>
      <c r="AY14" s="2"/>
      <c r="AZ14" s="65"/>
    </row>
    <row r="15" spans="1:52" ht="13.5" customHeight="1">
      <c r="A15" s="69"/>
      <c r="B15" s="69"/>
      <c r="D15" s="71"/>
      <c r="E15" s="69"/>
      <c r="F15" s="69"/>
      <c r="G15" s="69"/>
      <c r="H15" s="75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35"/>
      <c r="AV15" s="2"/>
      <c r="AW15" s="2"/>
      <c r="AX15" s="2"/>
      <c r="AY15" s="2"/>
      <c r="AZ15" s="65"/>
    </row>
    <row r="16" spans="1:52" ht="13.5" customHeight="1">
      <c r="A16" s="69"/>
      <c r="B16" s="69"/>
      <c r="D16" s="71"/>
      <c r="E16" s="69"/>
      <c r="F16" s="69"/>
      <c r="G16" s="69"/>
      <c r="H16" s="75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35"/>
      <c r="AV16" s="2"/>
      <c r="AW16" s="2"/>
      <c r="AX16" s="2"/>
      <c r="AY16" s="2"/>
      <c r="AZ16" s="65"/>
    </row>
    <row r="17" spans="1:52" ht="13.5" customHeight="1">
      <c r="A17" s="69"/>
      <c r="B17" s="69"/>
      <c r="D17" s="71"/>
      <c r="E17" s="69"/>
      <c r="F17" s="69"/>
      <c r="G17" s="69"/>
      <c r="H17" s="75"/>
      <c r="I17" s="69"/>
      <c r="J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35"/>
      <c r="AV17" s="2"/>
      <c r="AW17" s="2"/>
      <c r="AX17" s="2"/>
      <c r="AY17" s="2"/>
      <c r="AZ17" s="65"/>
    </row>
    <row r="18" spans="1:52" ht="13.5" customHeight="1">
      <c r="A18" s="69"/>
      <c r="B18" s="69"/>
      <c r="D18" s="71"/>
      <c r="E18" s="69"/>
      <c r="F18" s="69"/>
      <c r="G18" s="69"/>
      <c r="H18" s="75"/>
      <c r="I18" s="69"/>
      <c r="J18" s="69"/>
      <c r="K18" s="69"/>
      <c r="L18" s="69"/>
      <c r="M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35"/>
      <c r="AV18" s="2"/>
      <c r="AW18" s="2"/>
      <c r="AX18" s="2"/>
      <c r="AY18" s="2"/>
      <c r="AZ18" s="65"/>
    </row>
    <row r="19" spans="1:52" ht="13.5" customHeight="1">
      <c r="A19" s="69"/>
      <c r="B19" s="69"/>
      <c r="D19" s="71"/>
      <c r="E19" s="69"/>
      <c r="F19" s="69"/>
      <c r="G19" s="69"/>
      <c r="H19" s="75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35"/>
      <c r="AV19" s="2"/>
      <c r="AW19" s="2"/>
      <c r="AX19" s="2"/>
      <c r="AY19" s="2"/>
      <c r="AZ19" s="65"/>
    </row>
    <row r="20" spans="1:52" ht="13.5" customHeight="1">
      <c r="A20" s="69"/>
      <c r="B20" s="69"/>
      <c r="D20" s="71"/>
      <c r="E20" s="69"/>
      <c r="F20" s="69"/>
      <c r="G20" s="69"/>
      <c r="H20" s="75"/>
      <c r="I20" s="69"/>
      <c r="J20" s="69"/>
      <c r="K20" s="69"/>
      <c r="L20" s="69"/>
      <c r="M20" s="69"/>
      <c r="N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35"/>
      <c r="AV20" s="2"/>
      <c r="AW20" s="2"/>
      <c r="AX20" s="2"/>
      <c r="AY20" s="2"/>
      <c r="AZ20" s="65"/>
    </row>
    <row r="21" spans="1:52" ht="13.5" customHeight="1">
      <c r="A21" s="69"/>
      <c r="B21" s="69"/>
      <c r="D21" s="71"/>
      <c r="E21" s="69"/>
      <c r="F21" s="69"/>
      <c r="G21" s="69"/>
      <c r="H21" s="75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35"/>
      <c r="AV21" s="2"/>
      <c r="AW21" s="2"/>
      <c r="AX21" s="2"/>
      <c r="AY21" s="2"/>
      <c r="AZ21" s="65"/>
    </row>
    <row r="22" spans="1:52" ht="13.5" customHeight="1">
      <c r="A22" s="69"/>
      <c r="B22" s="69"/>
      <c r="D22" s="71"/>
      <c r="E22" s="69"/>
      <c r="F22" s="69"/>
      <c r="G22" s="69"/>
      <c r="H22" s="75"/>
      <c r="I22" s="69"/>
      <c r="J22" s="69"/>
      <c r="K22" s="69"/>
      <c r="L22" s="69"/>
      <c r="M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35"/>
      <c r="AV22" s="2"/>
      <c r="AW22" s="2"/>
      <c r="AX22" s="2"/>
      <c r="AY22" s="2"/>
      <c r="AZ22" s="65"/>
    </row>
    <row r="23" spans="1:52" ht="13.5" customHeight="1">
      <c r="A23" s="69"/>
      <c r="B23" s="69"/>
      <c r="D23" s="71"/>
      <c r="E23" s="69"/>
      <c r="F23" s="69"/>
      <c r="G23" s="69"/>
      <c r="H23" s="75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35"/>
      <c r="AV23" s="2"/>
      <c r="AW23" s="2"/>
      <c r="AX23" s="2"/>
      <c r="AY23" s="2"/>
      <c r="AZ23" s="65"/>
    </row>
    <row r="24" spans="1:52" ht="13.5" customHeight="1">
      <c r="A24" s="69"/>
      <c r="B24" s="69"/>
      <c r="D24" s="71"/>
      <c r="E24" s="69"/>
      <c r="F24" s="69"/>
      <c r="G24" s="69"/>
      <c r="H24" s="75"/>
      <c r="I24" s="69"/>
      <c r="J24" s="69"/>
      <c r="K24" s="69"/>
      <c r="L24" s="69"/>
      <c r="M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35"/>
      <c r="AV24" s="2"/>
      <c r="AW24" s="2"/>
      <c r="AX24" s="2"/>
      <c r="AY24" s="2"/>
      <c r="AZ24" s="65"/>
    </row>
    <row r="25" spans="1:52" ht="13.5" customHeight="1">
      <c r="A25" s="69"/>
      <c r="B25" s="69"/>
      <c r="D25" s="71"/>
      <c r="E25" s="69"/>
      <c r="F25" s="69"/>
      <c r="G25" s="69"/>
      <c r="H25" s="75"/>
      <c r="I25" s="76"/>
      <c r="J25" s="76"/>
      <c r="K25" s="76"/>
      <c r="L25" s="76"/>
      <c r="M25" s="76"/>
      <c r="N25" s="76"/>
      <c r="O25" s="76"/>
      <c r="P25" s="76"/>
      <c r="Q25" s="76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35"/>
      <c r="AV25" s="2"/>
      <c r="AW25" s="2"/>
      <c r="AX25" s="2"/>
      <c r="AY25" s="2"/>
      <c r="AZ25" s="65"/>
    </row>
    <row r="26" spans="1:52" ht="13.5" customHeight="1">
      <c r="A26" s="69"/>
      <c r="B26" s="69"/>
      <c r="D26" s="71"/>
      <c r="E26" s="69"/>
      <c r="F26" s="69"/>
      <c r="G26" s="69"/>
      <c r="H26" s="75"/>
      <c r="I26" s="69"/>
      <c r="J26" s="69"/>
      <c r="K26" s="69"/>
      <c r="L26" s="69"/>
      <c r="M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35"/>
      <c r="AV26" s="2"/>
      <c r="AW26" s="2"/>
      <c r="AX26" s="2"/>
      <c r="AY26" s="2"/>
      <c r="AZ26" s="65"/>
    </row>
    <row r="27" spans="1:52" ht="13.5" customHeight="1">
      <c r="A27" s="69"/>
      <c r="B27" s="69"/>
      <c r="D27" s="71"/>
      <c r="E27" s="69"/>
      <c r="F27" s="69"/>
      <c r="G27" s="69"/>
      <c r="H27" s="75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35"/>
      <c r="AV27" s="2"/>
      <c r="AW27" s="2"/>
      <c r="AX27" s="2"/>
      <c r="AY27" s="2"/>
      <c r="AZ27" s="65"/>
    </row>
    <row r="28" spans="1:52" ht="13.5" customHeight="1">
      <c r="A28" s="69"/>
      <c r="B28" s="69"/>
      <c r="D28" s="71"/>
      <c r="E28" s="69"/>
      <c r="F28" s="69"/>
      <c r="G28" s="69"/>
      <c r="H28" s="75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35"/>
      <c r="AV28" s="2"/>
      <c r="AW28" s="2"/>
      <c r="AX28" s="2"/>
      <c r="AY28" s="2"/>
      <c r="AZ28" s="65"/>
    </row>
    <row r="29" spans="1:52" ht="13.5" customHeight="1">
      <c r="A29" s="69"/>
      <c r="B29" s="69"/>
      <c r="D29" s="71"/>
      <c r="E29" s="69"/>
      <c r="F29" s="69"/>
      <c r="G29" s="69"/>
      <c r="H29" s="75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35"/>
      <c r="AV29" s="2"/>
      <c r="AW29" s="2"/>
      <c r="AX29" s="2"/>
      <c r="AY29" s="2"/>
      <c r="AZ29" s="65"/>
    </row>
    <row r="30" spans="1:52" ht="13.5" customHeight="1">
      <c r="A30" s="69"/>
      <c r="B30" s="69"/>
      <c r="D30" s="71"/>
      <c r="E30" s="69"/>
      <c r="F30" s="69"/>
      <c r="G30" s="69"/>
      <c r="H30" s="75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35"/>
      <c r="AV30" s="2"/>
      <c r="AW30" s="2"/>
      <c r="AX30" s="2"/>
      <c r="AY30" s="2"/>
      <c r="AZ30" s="65"/>
    </row>
    <row r="31" spans="1:52" ht="13.5" customHeight="1">
      <c r="A31" s="69"/>
      <c r="B31" s="69"/>
      <c r="D31" s="71"/>
      <c r="E31" s="69"/>
      <c r="F31" s="69"/>
      <c r="G31" s="69"/>
      <c r="H31" s="75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35"/>
      <c r="AV31" s="2"/>
      <c r="AW31" s="2"/>
      <c r="AX31" s="2"/>
      <c r="AY31" s="2"/>
      <c r="AZ31" s="65"/>
    </row>
    <row r="32" spans="1:52" ht="13.5" customHeight="1">
      <c r="A32" s="69"/>
      <c r="B32" s="69"/>
      <c r="D32" s="71"/>
      <c r="E32" s="69"/>
      <c r="F32" s="69"/>
      <c r="G32" s="69"/>
      <c r="H32" s="75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35"/>
      <c r="AV32" s="2"/>
      <c r="AW32" s="2"/>
      <c r="AX32" s="2"/>
      <c r="AY32" s="2"/>
      <c r="AZ32" s="65"/>
    </row>
    <row r="33" spans="1:52" ht="13.5" customHeight="1">
      <c r="A33" s="69"/>
      <c r="B33" s="69"/>
      <c r="D33" s="71"/>
      <c r="E33" s="69"/>
      <c r="F33" s="69"/>
      <c r="G33" s="69"/>
      <c r="H33" s="75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G33" s="35"/>
      <c r="AV33" s="2"/>
      <c r="AW33" s="2"/>
      <c r="AX33" s="2"/>
      <c r="AY33" s="2"/>
      <c r="AZ33" s="65"/>
    </row>
    <row r="34" spans="1:52" ht="13.5" customHeight="1">
      <c r="A34" s="69"/>
      <c r="B34" s="69"/>
      <c r="D34" s="71"/>
      <c r="E34" s="69"/>
      <c r="F34" s="69"/>
      <c r="G34" s="69"/>
      <c r="H34" s="75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G34" s="35"/>
      <c r="AV34" s="2"/>
      <c r="AW34" s="2"/>
      <c r="AX34" s="2"/>
      <c r="AY34" s="2"/>
      <c r="AZ34" s="65"/>
    </row>
    <row r="35" spans="1:52" ht="13.5" customHeight="1">
      <c r="A35" s="69"/>
      <c r="B35" s="69"/>
      <c r="D35" s="71"/>
      <c r="F35" s="69"/>
      <c r="G35" s="69"/>
      <c r="H35" s="75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G35" s="35"/>
      <c r="AV35" s="2"/>
      <c r="AW35" s="2"/>
      <c r="AX35" s="2"/>
      <c r="AY35" s="2"/>
      <c r="AZ35" s="65"/>
    </row>
    <row r="36" spans="1:52" ht="13.5" customHeight="1">
      <c r="A36" s="69"/>
      <c r="B36" s="69"/>
      <c r="D36" s="71"/>
      <c r="F36" s="69"/>
      <c r="G36" s="69"/>
      <c r="H36" s="75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35"/>
      <c r="AV36" s="2"/>
      <c r="AW36" s="2"/>
      <c r="AX36" s="2"/>
      <c r="AY36" s="2"/>
      <c r="AZ36" s="65"/>
    </row>
    <row r="37" spans="1:52" ht="13.5" customHeight="1">
      <c r="A37" s="69"/>
      <c r="B37" s="69"/>
      <c r="D37" s="71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35"/>
      <c r="AY37" s="77"/>
      <c r="AZ37" s="65"/>
    </row>
    <row r="38" spans="1:52" ht="13.5" customHeight="1">
      <c r="A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35"/>
      <c r="AV38" s="2"/>
      <c r="AW38" s="2"/>
      <c r="AX38" s="2"/>
      <c r="AY38" s="2"/>
      <c r="AZ38" s="65"/>
    </row>
    <row r="39" spans="1:52" ht="13.5" customHeight="1">
      <c r="AG39" s="35"/>
      <c r="AV39" s="65"/>
      <c r="AW39" s="65"/>
      <c r="AX39" s="65"/>
      <c r="AY39" s="65"/>
      <c r="AZ39" s="65"/>
    </row>
    <row r="40" spans="1:52" ht="13.5" customHeight="1">
      <c r="AG40" s="35"/>
      <c r="AV40" s="65"/>
      <c r="AW40" s="65"/>
      <c r="AX40" s="65"/>
      <c r="AY40" s="65"/>
      <c r="AZ40" s="65"/>
    </row>
    <row r="41" spans="1:52" ht="13.5" customHeight="1">
      <c r="AG41" s="35"/>
      <c r="AV41" s="65"/>
      <c r="AW41" s="65"/>
      <c r="AX41" s="65"/>
      <c r="AY41" s="65"/>
      <c r="AZ41" s="65"/>
    </row>
    <row r="42" spans="1:52" ht="13.5" customHeight="1">
      <c r="AG42" s="35"/>
      <c r="AV42" s="65"/>
      <c r="AW42" s="65"/>
      <c r="AX42" s="65"/>
      <c r="AY42" s="65"/>
      <c r="AZ42" s="65"/>
    </row>
    <row r="43" spans="1:52" ht="13.5" customHeight="1">
      <c r="AG43" s="35"/>
      <c r="AV43" s="65"/>
      <c r="AW43" s="65"/>
      <c r="AX43" s="65"/>
      <c r="AY43" s="65"/>
      <c r="AZ43" s="65"/>
    </row>
    <row r="44" spans="1:52" ht="13.5" customHeight="1">
      <c r="AG44" s="35"/>
    </row>
    <row r="45" spans="1:52" ht="13.5" customHeight="1">
      <c r="AG45" s="35"/>
    </row>
    <row r="46" spans="1:52" ht="13.5" customHeight="1">
      <c r="AG46" s="35"/>
    </row>
    <row r="47" spans="1:52" ht="13.5" customHeight="1">
      <c r="AG47" s="35"/>
    </row>
    <row r="48" spans="1:52" ht="13.5" customHeight="1">
      <c r="AG48" s="35"/>
    </row>
    <row r="49" spans="1:33" ht="13.5" customHeight="1">
      <c r="AG49" s="35"/>
    </row>
    <row r="50" spans="1:33" ht="13.5" customHeight="1">
      <c r="AG50" s="35"/>
    </row>
    <row r="51" spans="1:33" ht="13.5" customHeight="1">
      <c r="AG51" s="35"/>
    </row>
    <row r="52" spans="1:33" ht="13.5" customHeight="1">
      <c r="AG52" s="35"/>
    </row>
    <row r="53" spans="1:33" ht="13.5" customHeight="1">
      <c r="AG53" s="35"/>
    </row>
    <row r="54" spans="1:33" ht="13.5" customHeight="1">
      <c r="AG54" s="35"/>
    </row>
    <row r="55" spans="1:33" ht="13.5" customHeight="1">
      <c r="B55" s="69"/>
      <c r="D55" s="71"/>
      <c r="AG55" s="35"/>
    </row>
    <row r="56" spans="1:33" ht="13.5" customHeight="1">
      <c r="B56" s="121" t="s">
        <v>4</v>
      </c>
      <c r="C56" s="122"/>
      <c r="D56" s="123"/>
      <c r="E56" s="121" t="s">
        <v>4</v>
      </c>
      <c r="F56" s="122"/>
      <c r="G56" s="123"/>
      <c r="H56" s="121" t="s">
        <v>86</v>
      </c>
      <c r="I56" s="122"/>
      <c r="J56" s="123"/>
      <c r="K56" s="121" t="s">
        <v>85</v>
      </c>
      <c r="L56" s="122"/>
      <c r="M56" s="123"/>
      <c r="S56" s="69"/>
      <c r="Y56" s="69"/>
      <c r="Z56" s="69"/>
      <c r="AA56" s="69"/>
      <c r="AB56" s="69"/>
      <c r="AC56" s="69"/>
      <c r="AD56" s="69"/>
      <c r="AE56" s="69"/>
      <c r="AG56" s="35"/>
    </row>
    <row r="57" spans="1:33" ht="13.5" customHeight="1">
      <c r="B57" s="124"/>
      <c r="C57" s="125"/>
      <c r="D57" s="125"/>
      <c r="E57" s="124"/>
      <c r="F57" s="125"/>
      <c r="G57" s="125"/>
      <c r="H57" s="124"/>
      <c r="I57" s="125"/>
      <c r="J57" s="125"/>
      <c r="K57" s="124"/>
      <c r="L57" s="125"/>
      <c r="M57" s="126"/>
      <c r="S57" s="79"/>
      <c r="AG57" s="35"/>
    </row>
    <row r="58" spans="1:33" ht="13.5" customHeight="1">
      <c r="B58" s="127"/>
      <c r="C58" s="128"/>
      <c r="D58" s="128"/>
      <c r="E58" s="127"/>
      <c r="F58" s="128"/>
      <c r="G58" s="128"/>
      <c r="H58" s="127"/>
      <c r="I58" s="128"/>
      <c r="J58" s="128"/>
      <c r="K58" s="127"/>
      <c r="L58" s="128"/>
      <c r="M58" s="129"/>
      <c r="S58" s="79"/>
      <c r="AG58" s="35"/>
    </row>
    <row r="59" spans="1:33" ht="13.5" customHeight="1">
      <c r="B59" s="130"/>
      <c r="C59" s="131"/>
      <c r="D59" s="131"/>
      <c r="E59" s="130"/>
      <c r="F59" s="131"/>
      <c r="G59" s="131"/>
      <c r="H59" s="130"/>
      <c r="I59" s="131"/>
      <c r="J59" s="131"/>
      <c r="K59" s="130"/>
      <c r="L59" s="131"/>
      <c r="M59" s="132"/>
      <c r="X59" s="80"/>
      <c r="Y59" s="80"/>
      <c r="Z59" s="80"/>
      <c r="AA59" s="80"/>
      <c r="AB59" s="80"/>
      <c r="AC59" s="80"/>
      <c r="AD59" s="80"/>
      <c r="AE59" s="80"/>
      <c r="AG59" s="35"/>
    </row>
    <row r="60" spans="1:33" ht="13.5" customHeight="1">
      <c r="X60" s="285">
        <f>MAX(改訂日)</f>
        <v>44287</v>
      </c>
      <c r="Y60" s="286"/>
      <c r="Z60" s="286"/>
      <c r="AA60" s="286"/>
      <c r="AB60" s="286"/>
      <c r="AC60" s="287">
        <f>MAX(改訂番号)</f>
        <v>1</v>
      </c>
      <c r="AD60" s="288"/>
      <c r="AE60" s="288"/>
      <c r="AG60" s="35"/>
    </row>
    <row r="61" spans="1:33" ht="13.5" customHeight="1">
      <c r="X61" s="80"/>
      <c r="Y61" s="80"/>
      <c r="Z61" s="80"/>
      <c r="AA61" s="80"/>
      <c r="AB61" s="80"/>
      <c r="AC61" s="80"/>
      <c r="AD61" s="80"/>
      <c r="AE61" s="80"/>
      <c r="AG61" s="35"/>
    </row>
    <row r="62" spans="1:33" ht="13.5" customHeight="1">
      <c r="AG62" s="35"/>
    </row>
    <row r="63" spans="1:33" ht="13.5" customHeight="1">
      <c r="A63" s="36"/>
      <c r="B63" s="36"/>
      <c r="C63" s="37"/>
      <c r="D63" s="38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5"/>
    </row>
  </sheetData>
  <mergeCells count="4">
    <mergeCell ref="B2:X4"/>
    <mergeCell ref="X60:AB60"/>
    <mergeCell ref="AC60:AE60"/>
    <mergeCell ref="A5:AF6"/>
  </mergeCells>
  <phoneticPr fontId="4"/>
  <pageMargins left="0.39370078740157483" right="0.39370078740157483" top="0.39370078740157483" bottom="0.39370078740157483" header="0.51181102362204722" footer="0.11811023622047245"/>
  <pageSetup paperSize="9" orientation="portrait" useFirstPageNumber="1" verticalDpi="300" copies="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4"/>
  <dimension ref="A1:AZ44"/>
  <sheetViews>
    <sheetView showGridLines="0" workbookViewId="0">
      <selection activeCell="AR42" sqref="AR42:AT42"/>
    </sheetView>
  </sheetViews>
  <sheetFormatPr defaultColWidth="3.140625" defaultRowHeight="13.5" customHeight="1"/>
  <cols>
    <col min="1" max="2" width="3.140625" style="66" customWidth="1"/>
    <col min="3" max="3" width="3.140625" style="74" customWidth="1"/>
    <col min="4" max="4" width="3.140625" style="78" customWidth="1"/>
    <col min="5" max="6" width="3.140625" style="66" customWidth="1"/>
    <col min="7" max="7" width="3" style="66" customWidth="1"/>
    <col min="8" max="45" width="3.140625" style="66" customWidth="1"/>
    <col min="46" max="46" width="3.7109375" style="66" customWidth="1"/>
    <col min="47" max="16384" width="3.140625" style="66"/>
  </cols>
  <sheetData>
    <row r="1" spans="1:52" ht="13.5" customHeight="1">
      <c r="A1" s="81"/>
      <c r="B1" s="81"/>
      <c r="C1" s="295" t="str">
        <f>IF(顧客名&lt;&gt;"",顧客名&amp;" 御中","")</f>
        <v>○✕○✕株式会社 御中</v>
      </c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95"/>
      <c r="AH1" s="295"/>
      <c r="AI1" s="295"/>
      <c r="AJ1" s="295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39"/>
      <c r="AW1" s="2"/>
      <c r="AX1" s="2"/>
      <c r="AY1" s="2"/>
      <c r="AZ1" s="65"/>
    </row>
    <row r="2" spans="1:52" ht="13.5" customHeight="1">
      <c r="A2" s="81"/>
      <c r="B2" s="81"/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295"/>
      <c r="AC2" s="295"/>
      <c r="AD2" s="295"/>
      <c r="AE2" s="295"/>
      <c r="AF2" s="295"/>
      <c r="AG2" s="295"/>
      <c r="AH2" s="295"/>
      <c r="AI2" s="295"/>
      <c r="AJ2" s="295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39"/>
      <c r="AW2" s="2"/>
      <c r="AX2" s="2"/>
      <c r="AY2" s="2"/>
      <c r="AZ2" s="65"/>
    </row>
    <row r="3" spans="1:52" ht="13.5" customHeight="1">
      <c r="A3" s="81"/>
      <c r="B3" s="81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  <c r="X3" s="295"/>
      <c r="Y3" s="295"/>
      <c r="Z3" s="295"/>
      <c r="AA3" s="295"/>
      <c r="AB3" s="295"/>
      <c r="AC3" s="295"/>
      <c r="AD3" s="295"/>
      <c r="AE3" s="295"/>
      <c r="AF3" s="295"/>
      <c r="AG3" s="295"/>
      <c r="AH3" s="295"/>
      <c r="AI3" s="295"/>
      <c r="AJ3" s="295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39"/>
      <c r="AW3" s="2"/>
      <c r="AX3" s="2"/>
      <c r="AY3" s="2"/>
      <c r="AZ3" s="65"/>
    </row>
    <row r="4" spans="1:52" ht="13.5" customHeight="1">
      <c r="A4" s="294" t="str">
        <f>設計書</f>
        <v xml:space="preserve"> [○△□プロジェクト]○✕システム  設計書</v>
      </c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4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4"/>
      <c r="AG4" s="294"/>
      <c r="AH4" s="294"/>
      <c r="AI4" s="294"/>
      <c r="AJ4" s="294"/>
      <c r="AK4" s="294"/>
      <c r="AL4" s="294"/>
      <c r="AM4" s="294"/>
      <c r="AN4" s="294"/>
      <c r="AO4" s="294"/>
      <c r="AP4" s="294"/>
      <c r="AQ4" s="294"/>
      <c r="AR4" s="294"/>
      <c r="AS4" s="294"/>
      <c r="AT4" s="294"/>
      <c r="AU4" s="294"/>
      <c r="AV4" s="40"/>
      <c r="AW4" s="112"/>
      <c r="AX4" s="112"/>
      <c r="AY4" s="112"/>
      <c r="AZ4" s="65"/>
    </row>
    <row r="5" spans="1:52" ht="13.5" customHeight="1">
      <c r="A5" s="294"/>
      <c r="B5" s="294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/>
      <c r="U5" s="294"/>
      <c r="V5" s="294"/>
      <c r="W5" s="294"/>
      <c r="X5" s="294"/>
      <c r="Y5" s="294"/>
      <c r="Z5" s="294"/>
      <c r="AA5" s="294"/>
      <c r="AB5" s="294"/>
      <c r="AC5" s="294"/>
      <c r="AD5" s="294"/>
      <c r="AE5" s="294"/>
      <c r="AF5" s="294"/>
      <c r="AG5" s="294"/>
      <c r="AH5" s="294"/>
      <c r="AI5" s="294"/>
      <c r="AJ5" s="294"/>
      <c r="AK5" s="294"/>
      <c r="AL5" s="294"/>
      <c r="AM5" s="294"/>
      <c r="AN5" s="294"/>
      <c r="AO5" s="294"/>
      <c r="AP5" s="294"/>
      <c r="AQ5" s="294"/>
      <c r="AR5" s="294"/>
      <c r="AS5" s="294"/>
      <c r="AT5" s="294"/>
      <c r="AU5" s="294"/>
      <c r="AV5" s="39"/>
      <c r="AW5" s="2"/>
      <c r="AX5" s="2"/>
      <c r="AY5" s="2"/>
      <c r="AZ5" s="65"/>
    </row>
    <row r="6" spans="1:52" ht="13.5" customHeight="1">
      <c r="A6" s="81"/>
      <c r="B6" s="81"/>
      <c r="C6" s="82"/>
      <c r="D6" s="83"/>
      <c r="E6" s="81"/>
      <c r="F6" s="65"/>
      <c r="G6" s="65"/>
      <c r="H6" s="65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39"/>
      <c r="AW6" s="2"/>
      <c r="AX6" s="2"/>
      <c r="AY6" s="2"/>
      <c r="AZ6" s="65"/>
    </row>
    <row r="7" spans="1:52" ht="13.5" customHeight="1">
      <c r="A7" s="81"/>
      <c r="B7" s="81"/>
      <c r="C7" s="82"/>
      <c r="D7" s="83"/>
      <c r="E7" s="81"/>
      <c r="F7" s="84"/>
      <c r="G7" s="84"/>
      <c r="H7" s="84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39"/>
      <c r="AW7" s="2"/>
      <c r="AX7" s="2"/>
      <c r="AY7" s="2"/>
      <c r="AZ7" s="65"/>
    </row>
    <row r="8" spans="1:52" ht="13.5" customHeight="1">
      <c r="A8" s="81"/>
      <c r="B8" s="81"/>
      <c r="C8" s="85"/>
      <c r="D8" s="86"/>
      <c r="E8" s="84"/>
      <c r="F8" s="84"/>
      <c r="G8" s="81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8"/>
      <c r="U8" s="88"/>
      <c r="V8" s="65"/>
      <c r="W8" s="65"/>
      <c r="X8" s="65"/>
      <c r="Y8" s="65"/>
      <c r="Z8" s="65"/>
      <c r="AA8" s="84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39"/>
      <c r="AW8" s="2"/>
      <c r="AX8" s="2"/>
      <c r="AY8" s="2"/>
      <c r="AZ8" s="65"/>
    </row>
    <row r="9" spans="1:52" ht="13.5" customHeight="1">
      <c r="A9" s="81"/>
      <c r="B9" s="81"/>
      <c r="C9" s="85"/>
      <c r="D9" s="86"/>
      <c r="E9" s="84"/>
      <c r="F9" s="84"/>
      <c r="G9" s="81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8"/>
      <c r="U9" s="88"/>
      <c r="V9" s="65"/>
      <c r="W9" s="65"/>
      <c r="X9" s="65"/>
      <c r="Y9" s="65"/>
      <c r="Z9" s="65"/>
      <c r="AA9" s="84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39"/>
      <c r="AW9" s="2"/>
      <c r="AX9" s="2"/>
      <c r="AY9" s="2"/>
      <c r="AZ9" s="65"/>
    </row>
    <row r="10" spans="1:52" ht="13.5" customHeight="1">
      <c r="A10" s="84"/>
      <c r="B10" s="84"/>
      <c r="C10" s="89"/>
      <c r="D10" s="86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39"/>
      <c r="AW10" s="2"/>
      <c r="AX10" s="2"/>
      <c r="AY10" s="2"/>
      <c r="AZ10" s="65"/>
    </row>
    <row r="11" spans="1:52" ht="13.5" customHeight="1">
      <c r="A11" s="84"/>
      <c r="B11" s="84"/>
      <c r="C11" s="89"/>
      <c r="D11" s="86"/>
      <c r="E11" s="84"/>
      <c r="F11" s="84"/>
      <c r="G11" s="84"/>
      <c r="H11" s="90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39"/>
      <c r="AW11" s="2"/>
      <c r="AX11" s="2"/>
      <c r="AY11" s="2"/>
      <c r="AZ11" s="65"/>
    </row>
    <row r="12" spans="1:52" ht="13.5" customHeight="1">
      <c r="A12" s="84"/>
      <c r="B12" s="84"/>
      <c r="C12" s="89"/>
      <c r="D12" s="86"/>
      <c r="E12" s="84"/>
      <c r="F12" s="84"/>
      <c r="G12" s="84"/>
      <c r="H12" s="90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39"/>
      <c r="AW12" s="2"/>
      <c r="AX12" s="2"/>
      <c r="AY12" s="2"/>
      <c r="AZ12" s="65"/>
    </row>
    <row r="13" spans="1:52" ht="13.5" customHeight="1">
      <c r="A13" s="84"/>
      <c r="B13" s="84"/>
      <c r="C13" s="89"/>
      <c r="D13" s="86"/>
      <c r="E13" s="84"/>
      <c r="F13" s="84"/>
      <c r="G13" s="84"/>
      <c r="H13" s="90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39"/>
      <c r="AW13" s="2"/>
      <c r="AX13" s="2"/>
      <c r="AY13" s="2"/>
      <c r="AZ13" s="65"/>
    </row>
    <row r="14" spans="1:52" ht="13.5" customHeight="1">
      <c r="A14" s="84"/>
      <c r="B14" s="84"/>
      <c r="C14" s="89"/>
      <c r="D14" s="86"/>
      <c r="E14" s="84"/>
      <c r="F14" s="84"/>
      <c r="G14" s="84"/>
      <c r="H14" s="90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39"/>
      <c r="AW14" s="2"/>
      <c r="AX14" s="2"/>
      <c r="AY14" s="2"/>
      <c r="AZ14" s="65"/>
    </row>
    <row r="15" spans="1:52" ht="13.5" customHeight="1">
      <c r="A15" s="84"/>
      <c r="B15" s="84"/>
      <c r="C15" s="89"/>
      <c r="D15" s="86"/>
      <c r="E15" s="84"/>
      <c r="F15" s="84"/>
      <c r="G15" s="84"/>
      <c r="H15" s="90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39"/>
      <c r="AW15" s="2"/>
      <c r="AX15" s="2"/>
      <c r="AY15" s="2"/>
      <c r="AZ15" s="65"/>
    </row>
    <row r="16" spans="1:52" ht="13.5" customHeight="1">
      <c r="A16" s="84"/>
      <c r="B16" s="84"/>
      <c r="C16" s="89"/>
      <c r="D16" s="86"/>
      <c r="E16" s="84"/>
      <c r="F16" s="84"/>
      <c r="G16" s="84"/>
      <c r="H16" s="90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39"/>
      <c r="AW16" s="2"/>
      <c r="AX16" s="2"/>
      <c r="AY16" s="2"/>
      <c r="AZ16" s="65"/>
    </row>
    <row r="17" spans="1:52" ht="13.5" customHeight="1">
      <c r="A17" s="84"/>
      <c r="B17" s="84"/>
      <c r="C17" s="89"/>
      <c r="D17" s="86"/>
      <c r="E17" s="84"/>
      <c r="F17" s="84"/>
      <c r="G17" s="84"/>
      <c r="H17" s="90"/>
      <c r="I17" s="84"/>
      <c r="J17" s="84"/>
      <c r="K17" s="65"/>
      <c r="L17" s="65"/>
      <c r="M17" s="65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39"/>
      <c r="AW17" s="2"/>
      <c r="AX17" s="2"/>
      <c r="AY17" s="2"/>
      <c r="AZ17" s="65"/>
    </row>
    <row r="18" spans="1:52" ht="13.5" customHeight="1">
      <c r="A18" s="84"/>
      <c r="B18" s="84"/>
      <c r="C18" s="89"/>
      <c r="D18" s="86"/>
      <c r="E18" s="84"/>
      <c r="F18" s="84"/>
      <c r="G18" s="84"/>
      <c r="H18" s="90"/>
      <c r="I18" s="84"/>
      <c r="J18" s="84"/>
      <c r="K18" s="84"/>
      <c r="L18" s="84"/>
      <c r="M18" s="84"/>
      <c r="N18" s="65"/>
      <c r="O18" s="65"/>
      <c r="P18" s="65"/>
      <c r="Q18" s="65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39"/>
      <c r="AW18" s="2"/>
      <c r="AX18" s="2"/>
      <c r="AY18" s="2"/>
      <c r="AZ18" s="65"/>
    </row>
    <row r="19" spans="1:52" ht="13.5" customHeight="1">
      <c r="A19" s="84"/>
      <c r="B19" s="84"/>
      <c r="C19" s="89"/>
      <c r="D19" s="86"/>
      <c r="E19" s="84"/>
      <c r="F19" s="84"/>
      <c r="G19" s="84"/>
      <c r="H19" s="90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39"/>
      <c r="AW19" s="2"/>
      <c r="AX19" s="2"/>
      <c r="AY19" s="2"/>
      <c r="AZ19" s="65"/>
    </row>
    <row r="20" spans="1:52" ht="13.5" customHeight="1">
      <c r="A20" s="84"/>
      <c r="B20" s="84"/>
      <c r="C20" s="89"/>
      <c r="D20" s="86"/>
      <c r="E20" s="84"/>
      <c r="F20" s="84"/>
      <c r="G20" s="84"/>
      <c r="H20" s="90"/>
      <c r="I20" s="84"/>
      <c r="J20" s="84"/>
      <c r="K20" s="84"/>
      <c r="L20" s="84"/>
      <c r="M20" s="84"/>
      <c r="N20" s="84"/>
      <c r="O20" s="65"/>
      <c r="P20" s="65"/>
      <c r="Q20" s="65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39"/>
      <c r="AW20" s="2"/>
      <c r="AX20" s="2"/>
      <c r="AY20" s="2"/>
      <c r="AZ20" s="65"/>
    </row>
    <row r="21" spans="1:52" ht="13.5" customHeight="1">
      <c r="A21" s="84"/>
      <c r="B21" s="84"/>
      <c r="C21" s="89"/>
      <c r="D21" s="86"/>
      <c r="E21" s="84"/>
      <c r="F21" s="84"/>
      <c r="G21" s="84"/>
      <c r="H21" s="90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39"/>
      <c r="AW21" s="2"/>
      <c r="AX21" s="2"/>
      <c r="AY21" s="2"/>
      <c r="AZ21" s="65"/>
    </row>
    <row r="22" spans="1:52" ht="13.5" customHeight="1">
      <c r="A22" s="84"/>
      <c r="B22" s="84"/>
      <c r="C22" s="89"/>
      <c r="D22" s="86"/>
      <c r="E22" s="84"/>
      <c r="F22" s="84"/>
      <c r="G22" s="84"/>
      <c r="H22" s="90"/>
      <c r="I22" s="84"/>
      <c r="J22" s="84"/>
      <c r="K22" s="84"/>
      <c r="L22" s="84"/>
      <c r="M22" s="84"/>
      <c r="N22" s="65"/>
      <c r="O22" s="65"/>
      <c r="P22" s="65"/>
      <c r="Q22" s="65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39"/>
      <c r="AW22" s="2"/>
      <c r="AX22" s="2"/>
      <c r="AY22" s="2"/>
      <c r="AZ22" s="65"/>
    </row>
    <row r="23" spans="1:52" ht="13.5" customHeight="1">
      <c r="A23" s="84"/>
      <c r="B23" s="84"/>
      <c r="C23" s="89"/>
      <c r="D23" s="86"/>
      <c r="E23" s="84"/>
      <c r="F23" s="84"/>
      <c r="G23" s="84"/>
      <c r="H23" s="90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39"/>
      <c r="AW23" s="2"/>
      <c r="AX23" s="2"/>
      <c r="AY23" s="2"/>
      <c r="AZ23" s="65"/>
    </row>
    <row r="24" spans="1:52" ht="13.5" customHeight="1">
      <c r="A24" s="84"/>
      <c r="B24" s="84"/>
      <c r="C24" s="89"/>
      <c r="D24" s="86"/>
      <c r="E24" s="84"/>
      <c r="F24" s="84"/>
      <c r="G24" s="84"/>
      <c r="H24" s="90"/>
      <c r="I24" s="84"/>
      <c r="J24" s="84"/>
      <c r="K24" s="84"/>
      <c r="L24" s="84"/>
      <c r="M24" s="84"/>
      <c r="N24" s="65"/>
      <c r="O24" s="65"/>
      <c r="P24" s="65"/>
      <c r="Q24" s="65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39"/>
      <c r="AW24" s="2"/>
      <c r="AX24" s="2"/>
      <c r="AY24" s="2"/>
      <c r="AZ24" s="65"/>
    </row>
    <row r="25" spans="1:52" ht="13.5" customHeight="1">
      <c r="A25" s="84"/>
      <c r="B25" s="84"/>
      <c r="C25" s="89"/>
      <c r="D25" s="86"/>
      <c r="E25" s="84"/>
      <c r="F25" s="84"/>
      <c r="G25" s="84"/>
      <c r="H25" s="90"/>
      <c r="I25" s="91"/>
      <c r="J25" s="91"/>
      <c r="K25" s="91"/>
      <c r="L25" s="91"/>
      <c r="M25" s="91"/>
      <c r="N25" s="91"/>
      <c r="O25" s="91"/>
      <c r="P25" s="91"/>
      <c r="Q25" s="91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39"/>
      <c r="AW25" s="2"/>
      <c r="AX25" s="2"/>
      <c r="AY25" s="2"/>
      <c r="AZ25" s="65"/>
    </row>
    <row r="26" spans="1:52" ht="13.5" customHeight="1">
      <c r="A26" s="84"/>
      <c r="B26" s="84"/>
      <c r="C26" s="89"/>
      <c r="D26" s="86"/>
      <c r="E26" s="84"/>
      <c r="F26" s="84"/>
      <c r="G26" s="84"/>
      <c r="H26" s="90"/>
      <c r="I26" s="84"/>
      <c r="J26" s="84"/>
      <c r="K26" s="84"/>
      <c r="L26" s="84"/>
      <c r="M26" s="84"/>
      <c r="N26" s="65"/>
      <c r="O26" s="65"/>
      <c r="P26" s="65"/>
      <c r="Q26" s="65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39"/>
      <c r="AW26" s="2"/>
      <c r="AX26" s="2"/>
      <c r="AY26" s="2"/>
      <c r="AZ26" s="65"/>
    </row>
    <row r="27" spans="1:52" ht="13.5" customHeight="1">
      <c r="A27" s="84"/>
      <c r="B27" s="84"/>
      <c r="C27" s="89"/>
      <c r="D27" s="86"/>
      <c r="E27" s="84"/>
      <c r="F27" s="84"/>
      <c r="G27" s="84"/>
      <c r="H27" s="90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39"/>
      <c r="AW27" s="2"/>
      <c r="AX27" s="2"/>
      <c r="AY27" s="2"/>
      <c r="AZ27" s="65"/>
    </row>
    <row r="28" spans="1:52" ht="13.5" customHeight="1">
      <c r="A28" s="84"/>
      <c r="B28" s="84"/>
      <c r="C28" s="89"/>
      <c r="D28" s="86"/>
      <c r="E28" s="84"/>
      <c r="F28" s="84"/>
      <c r="G28" s="84"/>
      <c r="H28" s="90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39"/>
      <c r="AW28" s="2"/>
      <c r="AX28" s="2"/>
      <c r="AY28" s="2"/>
      <c r="AZ28" s="65"/>
    </row>
    <row r="29" spans="1:52" ht="13.5" customHeight="1">
      <c r="A29" s="84"/>
      <c r="B29" s="84"/>
      <c r="C29" s="89"/>
      <c r="D29" s="86"/>
      <c r="E29" s="84"/>
      <c r="F29" s="84"/>
      <c r="G29" s="84"/>
      <c r="H29" s="90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39"/>
      <c r="AW29" s="2"/>
      <c r="AX29" s="2"/>
      <c r="AY29" s="2"/>
      <c r="AZ29" s="65"/>
    </row>
    <row r="30" spans="1:52" ht="13.5" customHeight="1">
      <c r="A30" s="84"/>
      <c r="B30" s="84"/>
      <c r="C30" s="89"/>
      <c r="D30" s="86"/>
      <c r="E30" s="84"/>
      <c r="F30" s="84"/>
      <c r="G30" s="84"/>
      <c r="H30" s="90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39"/>
      <c r="AW30" s="2"/>
      <c r="AX30" s="2"/>
      <c r="AY30" s="2"/>
      <c r="AZ30" s="65"/>
    </row>
    <row r="31" spans="1:52" ht="13.5" customHeight="1">
      <c r="A31" s="84"/>
      <c r="B31" s="84"/>
      <c r="C31" s="89"/>
      <c r="D31" s="86"/>
      <c r="E31" s="84"/>
      <c r="F31" s="84"/>
      <c r="G31" s="84"/>
      <c r="H31" s="90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39"/>
      <c r="AW31" s="2"/>
      <c r="AX31" s="2"/>
      <c r="AY31" s="2"/>
      <c r="AZ31" s="65"/>
    </row>
    <row r="32" spans="1:52" ht="13.5" customHeight="1">
      <c r="A32" s="84"/>
      <c r="B32" s="84"/>
      <c r="C32" s="89"/>
      <c r="D32" s="86"/>
      <c r="E32" s="84"/>
      <c r="F32" s="84"/>
      <c r="G32" s="84"/>
      <c r="H32" s="90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39"/>
      <c r="AW32" s="2"/>
      <c r="AX32" s="2"/>
      <c r="AY32" s="2"/>
      <c r="AZ32" s="65"/>
    </row>
    <row r="33" spans="1:52" ht="13.5" customHeight="1">
      <c r="A33" s="84"/>
      <c r="B33" s="84"/>
      <c r="C33" s="89"/>
      <c r="D33" s="86"/>
      <c r="E33" s="84"/>
      <c r="F33" s="84"/>
      <c r="G33" s="84"/>
      <c r="H33" s="90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65"/>
      <c r="AG33" s="84"/>
      <c r="AH33" s="65"/>
      <c r="AI33" s="84"/>
      <c r="AJ33" s="84"/>
      <c r="AK33" s="6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39"/>
      <c r="AW33" s="2"/>
      <c r="AX33" s="2"/>
      <c r="AY33" s="2"/>
      <c r="AZ33" s="65"/>
    </row>
    <row r="34" spans="1:52" ht="13.5" customHeight="1">
      <c r="A34" s="84"/>
      <c r="B34" s="84"/>
      <c r="C34" s="89"/>
      <c r="D34" s="86"/>
      <c r="E34" s="84"/>
      <c r="F34" s="84"/>
      <c r="G34" s="84"/>
      <c r="H34" s="90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65"/>
      <c r="AG34" s="84"/>
      <c r="AH34" s="65"/>
      <c r="AI34" s="84"/>
      <c r="AJ34" s="84"/>
      <c r="AK34" s="6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39"/>
      <c r="AW34" s="2"/>
      <c r="AX34" s="2"/>
      <c r="AY34" s="2"/>
      <c r="AZ34" s="65"/>
    </row>
    <row r="35" spans="1:52" ht="13.5" customHeight="1">
      <c r="A35" s="84"/>
      <c r="B35" s="84"/>
      <c r="C35" s="89"/>
      <c r="D35" s="86"/>
      <c r="E35" s="65"/>
      <c r="F35" s="84"/>
      <c r="G35" s="84"/>
      <c r="H35" s="90"/>
      <c r="I35" s="65"/>
      <c r="J35" s="65"/>
      <c r="K35" s="65"/>
      <c r="L35" s="65"/>
      <c r="M35" s="65"/>
      <c r="N35" s="65"/>
      <c r="O35" s="65"/>
      <c r="P35" s="65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65"/>
      <c r="AG35" s="84"/>
      <c r="AH35" s="65"/>
      <c r="AI35" s="84"/>
      <c r="AJ35" s="84"/>
      <c r="AK35" s="6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39"/>
      <c r="AW35" s="2"/>
      <c r="AX35" s="2"/>
      <c r="AY35" s="2"/>
      <c r="AZ35" s="65"/>
    </row>
    <row r="36" spans="1:52" ht="13.5" customHeight="1">
      <c r="A36" s="84"/>
      <c r="B36" s="84"/>
      <c r="C36" s="89"/>
      <c r="D36" s="86"/>
      <c r="E36" s="65"/>
      <c r="F36" s="84"/>
      <c r="G36" s="84"/>
      <c r="H36" s="90"/>
      <c r="I36" s="65"/>
      <c r="J36" s="65"/>
      <c r="K36" s="65"/>
      <c r="L36" s="65"/>
      <c r="M36" s="65"/>
      <c r="N36" s="65"/>
      <c r="O36" s="65"/>
      <c r="P36" s="65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39"/>
      <c r="AW36" s="2"/>
      <c r="AX36" s="2"/>
      <c r="AY36" s="2"/>
      <c r="AZ36" s="65"/>
    </row>
    <row r="37" spans="1:52" ht="13.5" customHeight="1">
      <c r="A37" s="84"/>
      <c r="B37" s="84"/>
      <c r="C37" s="89"/>
      <c r="D37" s="86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41"/>
      <c r="AY37" s="92"/>
      <c r="AZ37" s="65"/>
    </row>
    <row r="38" spans="1:52" ht="13.5" customHeight="1">
      <c r="A38" s="84"/>
      <c r="B38" s="84"/>
      <c r="C38" s="89"/>
      <c r="D38" s="86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65"/>
      <c r="AJ38" s="65"/>
      <c r="AK38" s="65"/>
      <c r="AL38" s="65"/>
      <c r="AM38" s="65"/>
      <c r="AN38" s="84"/>
      <c r="AO38" s="84"/>
      <c r="AP38" s="84"/>
      <c r="AQ38" s="84"/>
      <c r="AR38" s="84"/>
      <c r="AS38" s="84"/>
      <c r="AT38" s="84"/>
      <c r="AU38" s="84"/>
      <c r="AV38" s="39"/>
      <c r="AW38" s="2"/>
      <c r="AX38" s="2"/>
      <c r="AY38" s="2"/>
      <c r="AZ38" s="65"/>
    </row>
    <row r="39" spans="1:52" ht="13.5" customHeight="1">
      <c r="A39" s="65"/>
      <c r="B39" s="121" t="s">
        <v>4</v>
      </c>
      <c r="C39" s="122"/>
      <c r="D39" s="123"/>
      <c r="E39" s="121" t="s">
        <v>4</v>
      </c>
      <c r="F39" s="122"/>
      <c r="G39" s="123"/>
      <c r="H39" s="121" t="s">
        <v>86</v>
      </c>
      <c r="I39" s="122"/>
      <c r="J39" s="123"/>
      <c r="K39" s="121" t="s">
        <v>85</v>
      </c>
      <c r="L39" s="122"/>
      <c r="M39" s="123"/>
      <c r="N39" s="112"/>
      <c r="O39" s="112"/>
      <c r="P39" s="112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94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41"/>
      <c r="AW39" s="65"/>
      <c r="AX39" s="65"/>
      <c r="AY39" s="65"/>
      <c r="AZ39" s="65"/>
    </row>
    <row r="40" spans="1:52" ht="13.5" customHeight="1">
      <c r="A40" s="65"/>
      <c r="B40" s="124"/>
      <c r="C40" s="125"/>
      <c r="D40" s="125"/>
      <c r="E40" s="124"/>
      <c r="F40" s="125"/>
      <c r="G40" s="125"/>
      <c r="H40" s="124"/>
      <c r="I40" s="125"/>
      <c r="J40" s="125"/>
      <c r="K40" s="124"/>
      <c r="L40" s="125"/>
      <c r="M40" s="126"/>
      <c r="N40" s="112"/>
      <c r="O40" s="112"/>
      <c r="P40" s="112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94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41"/>
      <c r="AW40" s="65"/>
      <c r="AX40" s="65"/>
      <c r="AY40" s="65"/>
      <c r="AZ40" s="65"/>
    </row>
    <row r="41" spans="1:52" ht="13.5" customHeight="1">
      <c r="A41" s="65"/>
      <c r="B41" s="127"/>
      <c r="C41" s="128"/>
      <c r="D41" s="128"/>
      <c r="E41" s="127"/>
      <c r="F41" s="128"/>
      <c r="G41" s="128"/>
      <c r="H41" s="127"/>
      <c r="I41" s="128"/>
      <c r="J41" s="128"/>
      <c r="K41" s="127"/>
      <c r="L41" s="128"/>
      <c r="M41" s="129"/>
      <c r="N41" s="112"/>
      <c r="O41" s="112"/>
      <c r="P41" s="112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41"/>
      <c r="AW41" s="65"/>
      <c r="AX41" s="65"/>
      <c r="AY41" s="65"/>
      <c r="AZ41" s="65"/>
    </row>
    <row r="42" spans="1:52" ht="13.5" customHeight="1">
      <c r="A42" s="65"/>
      <c r="B42" s="130"/>
      <c r="C42" s="131"/>
      <c r="D42" s="131"/>
      <c r="E42" s="130"/>
      <c r="F42" s="131"/>
      <c r="G42" s="131"/>
      <c r="H42" s="130"/>
      <c r="I42" s="131"/>
      <c r="J42" s="131"/>
      <c r="K42" s="130"/>
      <c r="L42" s="131"/>
      <c r="M42" s="132"/>
      <c r="N42" s="112"/>
      <c r="O42" s="112"/>
      <c r="P42" s="112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290">
        <f>MAX(改訂日)</f>
        <v>44287</v>
      </c>
      <c r="AN42" s="291"/>
      <c r="AO42" s="291"/>
      <c r="AP42" s="291"/>
      <c r="AQ42" s="291"/>
      <c r="AR42" s="292">
        <f>MAX(改訂番号)</f>
        <v>1</v>
      </c>
      <c r="AS42" s="293"/>
      <c r="AT42" s="293"/>
      <c r="AU42" s="65"/>
      <c r="AV42" s="41"/>
      <c r="AW42" s="65"/>
      <c r="AX42" s="65"/>
      <c r="AY42" s="65"/>
      <c r="AZ42" s="65"/>
    </row>
    <row r="43" spans="1:52" ht="13.5" customHeight="1">
      <c r="A43" s="65"/>
      <c r="B43" s="65"/>
      <c r="C43" s="89"/>
      <c r="D43" s="93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41"/>
      <c r="AW43" s="65"/>
      <c r="AX43" s="65"/>
      <c r="AY43" s="65"/>
      <c r="AZ43" s="65"/>
    </row>
    <row r="44" spans="1:52" ht="13.5" customHeight="1">
      <c r="A44" s="41"/>
      <c r="B44" s="41"/>
      <c r="C44" s="42"/>
      <c r="D44" s="43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</row>
  </sheetData>
  <mergeCells count="4">
    <mergeCell ref="AM42:AQ42"/>
    <mergeCell ref="AR42:AT42"/>
    <mergeCell ref="A4:AU5"/>
    <mergeCell ref="C1:AJ3"/>
  </mergeCells>
  <phoneticPr fontId="4"/>
  <pageMargins left="0.39370078740157483" right="0.39370078740157483" top="0.39370078740157483" bottom="0.39370078740157483" header="0.51181102362204722" footer="0.11811023622047245"/>
  <pageSetup paperSize="9" scale="91" orientation="landscape" useFirstPageNumber="1" verticalDpi="300" copies="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G129"/>
  <sheetViews>
    <sheetView showGridLines="0" zoomScaleNormal="100" zoomScaleSheetLayoutView="40" workbookViewId="0">
      <selection activeCell="A87" sqref="A87:AV129"/>
    </sheetView>
  </sheetViews>
  <sheetFormatPr defaultColWidth="3.140625" defaultRowHeight="13.5" customHeight="1"/>
  <cols>
    <col min="1" max="2" width="3.140625" style="113" customWidth="1"/>
    <col min="3" max="3" width="3.140625" style="111" customWidth="1"/>
    <col min="4" max="4" width="3.140625" style="54" customWidth="1"/>
    <col min="5" max="28" width="3.140625" style="113" customWidth="1"/>
    <col min="29" max="29" width="3.140625" style="163" customWidth="1"/>
    <col min="30" max="49" width="3.140625" style="113" customWidth="1"/>
    <col min="50" max="16384" width="3.140625" style="113"/>
  </cols>
  <sheetData>
    <row r="1" spans="1:52" s="204" customFormat="1" ht="13.5" customHeight="1">
      <c r="A1" s="225" t="s">
        <v>39</v>
      </c>
      <c r="B1" s="226"/>
      <c r="C1" s="227"/>
      <c r="D1" s="228" t="str">
        <f>システム名</f>
        <v>○✕システム</v>
      </c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  <c r="P1" s="231" t="s">
        <v>0</v>
      </c>
      <c r="Q1" s="226"/>
      <c r="R1" s="227"/>
      <c r="S1" s="232" t="str">
        <f>IF(顧客名&lt;&gt;"",顧客名,"")</f>
        <v>○✕○✕株式会社</v>
      </c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4"/>
      <c r="AG1" s="235" t="s">
        <v>35</v>
      </c>
      <c r="AH1" s="235"/>
      <c r="AI1" s="235"/>
      <c r="AJ1" s="236">
        <f>作成日</f>
        <v>44287</v>
      </c>
      <c r="AK1" s="237"/>
      <c r="AL1" s="237"/>
      <c r="AM1" s="237"/>
      <c r="AN1" s="237"/>
      <c r="AO1" s="235" t="s">
        <v>36</v>
      </c>
      <c r="AP1" s="235"/>
      <c r="AQ1" s="235"/>
      <c r="AR1" s="238" t="str">
        <f>作成者</f>
        <v>○○　✕✕</v>
      </c>
      <c r="AS1" s="239"/>
      <c r="AT1" s="239"/>
      <c r="AU1" s="239"/>
      <c r="AV1" s="240"/>
      <c r="AX1" s="241" t="s">
        <v>179</v>
      </c>
      <c r="AY1" s="241"/>
    </row>
    <row r="2" spans="1:52" s="204" customFormat="1" ht="13.5" customHeight="1">
      <c r="A2" s="242" t="s">
        <v>30</v>
      </c>
      <c r="B2" s="243"/>
      <c r="C2" s="244"/>
      <c r="D2" s="245" t="s">
        <v>176</v>
      </c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7"/>
      <c r="P2" s="248" t="s">
        <v>2</v>
      </c>
      <c r="Q2" s="243"/>
      <c r="R2" s="244"/>
      <c r="S2" s="249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7"/>
      <c r="AG2" s="250" t="s">
        <v>34</v>
      </c>
      <c r="AH2" s="250"/>
      <c r="AI2" s="250"/>
      <c r="AJ2" s="251"/>
      <c r="AK2" s="252"/>
      <c r="AL2" s="252"/>
      <c r="AM2" s="252"/>
      <c r="AN2" s="252"/>
      <c r="AO2" s="250" t="s">
        <v>33</v>
      </c>
      <c r="AP2" s="250"/>
      <c r="AQ2" s="250"/>
      <c r="AR2" s="253"/>
      <c r="AS2" s="254"/>
      <c r="AT2" s="254"/>
      <c r="AU2" s="254"/>
      <c r="AV2" s="255"/>
      <c r="AX2" s="241"/>
      <c r="AY2" s="241"/>
    </row>
    <row r="3" spans="1:52" s="163" customFormat="1" ht="13.5" customHeight="1">
      <c r="A3" s="47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48"/>
      <c r="AW3" s="204"/>
      <c r="AX3" s="204"/>
      <c r="AY3" s="204"/>
      <c r="AZ3" s="204"/>
    </row>
    <row r="4" spans="1:52" s="163" customFormat="1" ht="13.5" customHeight="1">
      <c r="A4" s="3"/>
      <c r="B4" s="320" t="s">
        <v>177</v>
      </c>
      <c r="C4" s="320"/>
      <c r="D4" s="321" t="s">
        <v>188</v>
      </c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1"/>
      <c r="W4" s="321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 s="7"/>
      <c r="AW4" s="204"/>
      <c r="AX4" s="204"/>
      <c r="AY4" s="204"/>
      <c r="AZ4" s="204"/>
    </row>
    <row r="5" spans="1:52" s="163" customFormat="1" ht="13.5" customHeight="1">
      <c r="A5" s="95"/>
      <c r="B5" s="320" t="s">
        <v>178</v>
      </c>
      <c r="C5" s="320"/>
      <c r="D5" s="321" t="s">
        <v>189</v>
      </c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1"/>
      <c r="S5" s="321"/>
      <c r="T5" s="321"/>
      <c r="U5" s="321"/>
      <c r="V5" s="321"/>
      <c r="W5" s="321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 s="96"/>
      <c r="AW5" s="204"/>
      <c r="AX5" s="204"/>
      <c r="AY5" s="204"/>
      <c r="AZ5" s="204"/>
    </row>
    <row r="6" spans="1:52" s="163" customFormat="1" ht="13.5" customHeight="1">
      <c r="A6" s="95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 s="96"/>
      <c r="AW6" s="204"/>
      <c r="AX6" s="204"/>
      <c r="AY6" s="204"/>
      <c r="AZ6" s="204"/>
    </row>
    <row r="7" spans="1:52" s="163" customFormat="1" ht="13.5" customHeight="1">
      <c r="A7" s="95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 s="96"/>
      <c r="AW7" s="204"/>
      <c r="AX7" s="204"/>
      <c r="AY7" s="204"/>
      <c r="AZ7" s="204"/>
    </row>
    <row r="8" spans="1:52" s="163" customFormat="1" ht="13.5" customHeight="1">
      <c r="A8" s="95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 s="96"/>
      <c r="AW8" s="204"/>
      <c r="AX8" s="204"/>
      <c r="AY8" s="204"/>
      <c r="AZ8" s="204"/>
    </row>
    <row r="9" spans="1:52" s="163" customFormat="1" ht="13.5" customHeight="1">
      <c r="A9" s="95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 s="96"/>
      <c r="AW9" s="204"/>
      <c r="AX9" s="204"/>
      <c r="AY9" s="204"/>
      <c r="AZ9" s="204"/>
    </row>
    <row r="10" spans="1:52" s="163" customFormat="1" ht="13.5" customHeight="1">
      <c r="A10" s="9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 s="96"/>
      <c r="AW10" s="204"/>
      <c r="AX10" s="204"/>
      <c r="AY10" s="204"/>
      <c r="AZ10" s="204"/>
    </row>
    <row r="11" spans="1:52" s="163" customFormat="1" ht="13.5" customHeight="1">
      <c r="A11" s="9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 s="96"/>
      <c r="AW11" s="204"/>
      <c r="AX11" s="204"/>
      <c r="AY11" s="204"/>
      <c r="AZ11" s="204"/>
    </row>
    <row r="12" spans="1:52" s="163" customFormat="1" ht="13.5" customHeight="1">
      <c r="A12" s="9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 s="96"/>
      <c r="AW12" s="204"/>
      <c r="AX12" s="204"/>
      <c r="AY12" s="204"/>
      <c r="AZ12" s="204"/>
    </row>
    <row r="13" spans="1:52" s="163" customFormat="1" ht="13.5" customHeight="1">
      <c r="A13" s="9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 s="96"/>
      <c r="AW13" s="204"/>
      <c r="AX13" s="204"/>
      <c r="AY13" s="204"/>
      <c r="AZ13" s="204"/>
    </row>
    <row r="14" spans="1:52" s="163" customFormat="1" ht="13.5" customHeight="1">
      <c r="A14" s="9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 s="96"/>
      <c r="AW14" s="204"/>
      <c r="AX14" s="204"/>
      <c r="AY14" s="204"/>
      <c r="AZ14" s="204"/>
    </row>
    <row r="15" spans="1:52" s="163" customFormat="1" ht="13.5" customHeight="1">
      <c r="A15" s="9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 s="96"/>
      <c r="AW15" s="204"/>
      <c r="AX15" s="204"/>
      <c r="AY15" s="204"/>
      <c r="AZ15" s="204"/>
    </row>
    <row r="16" spans="1:52" s="163" customFormat="1" ht="13.5" customHeight="1">
      <c r="A16" s="9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96"/>
      <c r="AW16" s="204"/>
      <c r="AX16" s="204"/>
      <c r="AY16" s="204"/>
      <c r="AZ16" s="204"/>
    </row>
    <row r="17" spans="1:52" s="163" customFormat="1" ht="13.5" customHeight="1">
      <c r="A17" s="9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 s="96"/>
      <c r="AW17" s="204"/>
      <c r="AX17" s="204"/>
      <c r="AY17" s="204"/>
      <c r="AZ17" s="204"/>
    </row>
    <row r="18" spans="1:52" s="163" customFormat="1" ht="13.5" customHeight="1">
      <c r="A18" s="9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96"/>
      <c r="AW18" s="204"/>
      <c r="AX18" s="204"/>
      <c r="AY18" s="204"/>
      <c r="AZ18" s="204"/>
    </row>
    <row r="19" spans="1:52" s="163" customFormat="1" ht="13.5" customHeight="1">
      <c r="A19" s="9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96"/>
      <c r="AW19" s="204"/>
      <c r="AX19" s="204"/>
      <c r="AY19" s="204"/>
      <c r="AZ19" s="204"/>
    </row>
    <row r="20" spans="1:52" s="163" customFormat="1" ht="13.5" customHeight="1">
      <c r="A20" s="9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96"/>
      <c r="AW20" s="204"/>
      <c r="AX20" s="204"/>
      <c r="AY20" s="204"/>
      <c r="AZ20" s="204"/>
    </row>
    <row r="21" spans="1:52" s="163" customFormat="1" ht="13.5" customHeight="1">
      <c r="A21" s="9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96"/>
      <c r="AW21" s="204"/>
      <c r="AX21" s="204"/>
      <c r="AY21" s="204"/>
      <c r="AZ21" s="204"/>
    </row>
    <row r="22" spans="1:52" s="163" customFormat="1" ht="13.5" customHeight="1">
      <c r="A22" s="9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96"/>
      <c r="AW22" s="204"/>
      <c r="AX22" s="204"/>
      <c r="AY22" s="204"/>
      <c r="AZ22" s="204"/>
    </row>
    <row r="23" spans="1:52" s="163" customFormat="1" ht="13.5" customHeight="1">
      <c r="A23" s="9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96"/>
      <c r="AW23" s="204"/>
      <c r="AX23" s="204"/>
      <c r="AY23" s="204"/>
      <c r="AZ23" s="204"/>
    </row>
    <row r="24" spans="1:52" s="163" customFormat="1" ht="13.5" customHeight="1">
      <c r="A24" s="9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96"/>
      <c r="AW24" s="204"/>
      <c r="AX24" s="204"/>
      <c r="AY24" s="204"/>
      <c r="AZ24" s="204"/>
    </row>
    <row r="25" spans="1:52" s="163" customFormat="1" ht="13.5" customHeight="1">
      <c r="A25" s="9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96"/>
      <c r="AW25" s="204"/>
      <c r="AX25" s="204"/>
      <c r="AY25" s="204"/>
      <c r="AZ25" s="204"/>
    </row>
    <row r="26" spans="1:52" s="163" customFormat="1" ht="13.5" customHeight="1">
      <c r="A26" s="9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 s="96"/>
      <c r="AW26" s="204"/>
      <c r="AX26" s="204"/>
      <c r="AY26" s="204"/>
      <c r="AZ26" s="204"/>
    </row>
    <row r="27" spans="1:52" s="163" customFormat="1" ht="13.5" customHeight="1">
      <c r="A27" s="9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 s="96"/>
      <c r="AW27" s="204"/>
      <c r="AX27" s="204"/>
      <c r="AY27" s="204"/>
      <c r="AZ27" s="204"/>
    </row>
    <row r="28" spans="1:52" s="163" customFormat="1" ht="13.5" customHeight="1">
      <c r="A28" s="9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 s="96"/>
      <c r="AW28" s="204"/>
      <c r="AX28" s="204"/>
      <c r="AY28" s="204"/>
      <c r="AZ28" s="204"/>
    </row>
    <row r="29" spans="1:52" s="163" customFormat="1" ht="13.5" customHeight="1">
      <c r="A29" s="9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96"/>
      <c r="AW29" s="204"/>
      <c r="AX29" s="204"/>
      <c r="AY29" s="204"/>
      <c r="AZ29" s="204"/>
    </row>
    <row r="30" spans="1:52" s="163" customFormat="1" ht="13.5" customHeight="1">
      <c r="A30" s="9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96"/>
      <c r="AW30" s="204"/>
      <c r="AX30" s="204"/>
      <c r="AY30" s="204"/>
      <c r="AZ30" s="204"/>
    </row>
    <row r="31" spans="1:52" s="163" customFormat="1" ht="13.5" customHeight="1">
      <c r="A31" s="9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 s="96"/>
      <c r="AW31" s="204"/>
      <c r="AX31" s="204"/>
      <c r="AY31" s="204"/>
      <c r="AZ31" s="204"/>
    </row>
    <row r="32" spans="1:52" s="163" customFormat="1" ht="13.5" customHeight="1">
      <c r="A32" s="9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 s="96"/>
      <c r="AW32" s="204"/>
      <c r="AX32" s="204"/>
      <c r="AY32" s="204"/>
      <c r="AZ32" s="204"/>
    </row>
    <row r="33" spans="1:59" s="163" customFormat="1" ht="13.5" customHeight="1">
      <c r="A33" s="9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 s="96"/>
      <c r="AW33" s="204"/>
      <c r="AX33" s="204"/>
      <c r="AY33" s="204"/>
      <c r="AZ33" s="204"/>
    </row>
    <row r="34" spans="1:59" s="163" customFormat="1" ht="13.5" customHeight="1">
      <c r="A34" s="9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 s="96"/>
      <c r="AW34" s="204"/>
      <c r="AX34" s="204"/>
      <c r="AY34" s="204"/>
      <c r="AZ34" s="204"/>
    </row>
    <row r="35" spans="1:59" s="163" customFormat="1" ht="13.5" customHeight="1">
      <c r="A35" s="9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 s="96"/>
      <c r="AW35" s="204"/>
      <c r="AX35" s="204"/>
      <c r="AY35" s="204"/>
      <c r="AZ35" s="204"/>
    </row>
    <row r="36" spans="1:59" s="163" customFormat="1" ht="13.5" customHeight="1">
      <c r="A36" s="9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 s="96"/>
      <c r="AW36" s="204"/>
      <c r="AX36" s="204"/>
      <c r="AY36" s="204"/>
      <c r="AZ36" s="204"/>
    </row>
    <row r="37" spans="1:59" s="163" customFormat="1" ht="13.5" customHeight="1">
      <c r="A37" s="9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 s="96"/>
      <c r="AW37" s="204"/>
      <c r="AX37" s="204"/>
      <c r="AY37" s="204"/>
      <c r="AZ37" s="204"/>
    </row>
    <row r="38" spans="1:59" s="163" customFormat="1" ht="13.5" customHeight="1">
      <c r="A38" s="9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 s="96"/>
      <c r="AW38" s="204"/>
      <c r="AX38" s="204"/>
      <c r="AY38" s="204"/>
      <c r="AZ38" s="204"/>
    </row>
    <row r="39" spans="1:59" s="163" customFormat="1" ht="13.5" customHeight="1">
      <c r="A39" s="9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 s="96"/>
      <c r="AW39" s="204"/>
      <c r="AX39" s="204"/>
      <c r="AY39" s="204"/>
      <c r="AZ39" s="204"/>
    </row>
    <row r="40" spans="1:59" s="163" customFormat="1" ht="13.5" customHeight="1">
      <c r="A40" s="9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 s="96"/>
      <c r="AW40" s="204"/>
      <c r="AX40" s="204"/>
      <c r="AY40" s="204"/>
      <c r="AZ40" s="204"/>
    </row>
    <row r="41" spans="1:59" s="163" customFormat="1" ht="13.5" customHeight="1">
      <c r="A41" s="9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 s="96"/>
      <c r="AW41" s="204"/>
      <c r="AX41" s="204"/>
      <c r="AY41" s="204"/>
      <c r="AZ41" s="204"/>
    </row>
    <row r="42" spans="1:59" s="163" customFormat="1" ht="13.5" customHeight="1">
      <c r="A42" s="9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 s="96"/>
      <c r="AW42" s="204"/>
      <c r="AX42" s="204"/>
      <c r="AY42" s="204"/>
      <c r="AZ42" s="204"/>
    </row>
    <row r="43" spans="1:59" s="163" customFormat="1" ht="13.5" customHeight="1" thickBot="1">
      <c r="A43" s="97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98"/>
      <c r="AW43" s="204"/>
      <c r="AX43" s="223" t="str">
        <f>HYPERLINK("#$A$1","目次へ")</f>
        <v>目次へ</v>
      </c>
      <c r="AY43" s="224"/>
      <c r="AZ43" s="204"/>
    </row>
    <row r="44" spans="1:59" ht="13.5" customHeight="1">
      <c r="A44" s="225" t="s">
        <v>39</v>
      </c>
      <c r="B44" s="226"/>
      <c r="C44" s="227"/>
      <c r="D44" s="228" t="str">
        <f>システム名</f>
        <v>○✕システム</v>
      </c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30"/>
      <c r="P44" s="231" t="s">
        <v>0</v>
      </c>
      <c r="Q44" s="226"/>
      <c r="R44" s="227"/>
      <c r="S44" s="232" t="str">
        <f>IF(顧客名&lt;&gt;"",顧客名,"")</f>
        <v>○✕○✕株式会社</v>
      </c>
      <c r="T44" s="233"/>
      <c r="U44" s="233"/>
      <c r="V44" s="233"/>
      <c r="W44" s="233"/>
      <c r="X44" s="233"/>
      <c r="Y44" s="233"/>
      <c r="Z44" s="233"/>
      <c r="AA44" s="233"/>
      <c r="AB44" s="233"/>
      <c r="AC44" s="233"/>
      <c r="AD44" s="233"/>
      <c r="AE44" s="233"/>
      <c r="AF44" s="234"/>
      <c r="AG44" s="235" t="s">
        <v>35</v>
      </c>
      <c r="AH44" s="235"/>
      <c r="AI44" s="235"/>
      <c r="AJ44" s="236">
        <f>作成日</f>
        <v>44287</v>
      </c>
      <c r="AK44" s="237"/>
      <c r="AL44" s="237"/>
      <c r="AM44" s="237"/>
      <c r="AN44" s="237"/>
      <c r="AO44" s="235" t="s">
        <v>36</v>
      </c>
      <c r="AP44" s="235"/>
      <c r="AQ44" s="235"/>
      <c r="AR44" s="238" t="str">
        <f>作成者</f>
        <v>○○　✕✕</v>
      </c>
      <c r="AS44" s="239"/>
      <c r="AT44" s="239"/>
      <c r="AU44" s="239"/>
      <c r="AV44" s="240"/>
      <c r="AW44" s="204"/>
      <c r="AX44" s="322" t="s">
        <v>182</v>
      </c>
      <c r="AY44" s="322"/>
      <c r="AZ44" s="204"/>
      <c r="BA44" s="204"/>
      <c r="BB44" s="204"/>
      <c r="BC44" s="204"/>
      <c r="BD44" s="204"/>
      <c r="BE44" s="204"/>
      <c r="BF44" s="204"/>
      <c r="BG44" s="204"/>
    </row>
    <row r="45" spans="1:59" ht="13.5" customHeight="1">
      <c r="A45" s="242" t="s">
        <v>30</v>
      </c>
      <c r="B45" s="243"/>
      <c r="C45" s="244"/>
      <c r="D45" s="245" t="s">
        <v>183</v>
      </c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7"/>
      <c r="P45" s="248" t="s">
        <v>2</v>
      </c>
      <c r="Q45" s="243"/>
      <c r="R45" s="244"/>
      <c r="S45" s="249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7"/>
      <c r="AG45" s="250" t="s">
        <v>34</v>
      </c>
      <c r="AH45" s="250"/>
      <c r="AI45" s="250"/>
      <c r="AJ45" s="251"/>
      <c r="AK45" s="252"/>
      <c r="AL45" s="252"/>
      <c r="AM45" s="252"/>
      <c r="AN45" s="252"/>
      <c r="AO45" s="250" t="s">
        <v>33</v>
      </c>
      <c r="AP45" s="250"/>
      <c r="AQ45" s="250"/>
      <c r="AR45" s="253"/>
      <c r="AS45" s="254"/>
      <c r="AT45" s="254"/>
      <c r="AU45" s="254"/>
      <c r="AV45" s="255"/>
      <c r="AW45" s="204"/>
      <c r="AX45" s="322"/>
      <c r="AY45" s="322"/>
      <c r="AZ45" s="204"/>
      <c r="BA45" s="204"/>
      <c r="BB45" s="204"/>
      <c r="BC45" s="204"/>
      <c r="BD45" s="204"/>
      <c r="BE45" s="204"/>
      <c r="BF45" s="204"/>
      <c r="BG45" s="204"/>
    </row>
    <row r="46" spans="1:59" ht="13.5" customHeight="1">
      <c r="A46" s="3"/>
      <c r="B46" s="4"/>
      <c r="C46" s="5"/>
      <c r="D46" s="6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7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</row>
    <row r="47" spans="1:59" ht="13.5" customHeight="1">
      <c r="A47" s="3"/>
      <c r="B47" s="205" t="s">
        <v>184</v>
      </c>
      <c r="C47" s="206"/>
      <c r="D47" s="207"/>
      <c r="E47" s="205" t="s">
        <v>185</v>
      </c>
      <c r="F47" s="206"/>
      <c r="G47" s="206"/>
      <c r="H47" s="206"/>
      <c r="I47" s="207"/>
      <c r="J47" s="205" t="s">
        <v>3</v>
      </c>
      <c r="K47" s="206"/>
      <c r="L47" s="206"/>
      <c r="M47" s="207"/>
      <c r="N47" s="205" t="s">
        <v>186</v>
      </c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5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7"/>
      <c r="AV47" s="7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</row>
    <row r="48" spans="1:59" ht="13.5" customHeight="1">
      <c r="A48" s="3"/>
      <c r="B48" s="296">
        <v>1</v>
      </c>
      <c r="C48" s="297"/>
      <c r="D48" s="298"/>
      <c r="E48" s="302">
        <f>作成日</f>
        <v>44287</v>
      </c>
      <c r="F48" s="303"/>
      <c r="G48" s="303"/>
      <c r="H48" s="303"/>
      <c r="I48" s="304"/>
      <c r="J48" s="308" t="str">
        <f>作成者</f>
        <v>○○　✕✕</v>
      </c>
      <c r="K48" s="309"/>
      <c r="L48" s="309"/>
      <c r="M48" s="310"/>
      <c r="N48" s="314" t="s">
        <v>187</v>
      </c>
      <c r="O48" s="315"/>
      <c r="P48" s="315"/>
      <c r="Q48" s="315"/>
      <c r="R48" s="315"/>
      <c r="S48" s="315"/>
      <c r="T48" s="315"/>
      <c r="U48" s="315"/>
      <c r="V48" s="315"/>
      <c r="W48" s="315"/>
      <c r="X48" s="315"/>
      <c r="Y48" s="315"/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/>
      <c r="AL48" s="315"/>
      <c r="AM48" s="315"/>
      <c r="AN48" s="315"/>
      <c r="AO48" s="315"/>
      <c r="AP48" s="315"/>
      <c r="AQ48" s="315"/>
      <c r="AR48" s="315"/>
      <c r="AS48" s="315"/>
      <c r="AT48" s="315"/>
      <c r="AU48" s="316"/>
      <c r="AV48" s="7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</row>
    <row r="49" spans="1:59" ht="13.5" customHeight="1">
      <c r="A49" s="3"/>
      <c r="B49" s="299"/>
      <c r="C49" s="300"/>
      <c r="D49" s="301"/>
      <c r="E49" s="305">
        <f>作成日</f>
        <v>44287</v>
      </c>
      <c r="F49" s="306"/>
      <c r="G49" s="306"/>
      <c r="H49" s="306"/>
      <c r="I49" s="307"/>
      <c r="J49" s="311"/>
      <c r="K49" s="312"/>
      <c r="L49" s="312"/>
      <c r="M49" s="313"/>
      <c r="N49" s="317"/>
      <c r="O49" s="318"/>
      <c r="P49" s="318"/>
      <c r="Q49" s="318"/>
      <c r="R49" s="318"/>
      <c r="S49" s="318"/>
      <c r="T49" s="318"/>
      <c r="U49" s="318"/>
      <c r="V49" s="318"/>
      <c r="W49" s="318"/>
      <c r="X49" s="318"/>
      <c r="Y49" s="318"/>
      <c r="Z49" s="318"/>
      <c r="AA49" s="318"/>
      <c r="AB49" s="318"/>
      <c r="AC49" s="318"/>
      <c r="AD49" s="318"/>
      <c r="AE49" s="318"/>
      <c r="AF49" s="318"/>
      <c r="AG49" s="318"/>
      <c r="AH49" s="318"/>
      <c r="AI49" s="318"/>
      <c r="AJ49" s="318"/>
      <c r="AK49" s="318"/>
      <c r="AL49" s="318"/>
      <c r="AM49" s="318"/>
      <c r="AN49" s="318"/>
      <c r="AO49" s="318"/>
      <c r="AP49" s="318"/>
      <c r="AQ49" s="318"/>
      <c r="AR49" s="318"/>
      <c r="AS49" s="318"/>
      <c r="AT49" s="318"/>
      <c r="AU49" s="319"/>
      <c r="AV49" s="7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</row>
    <row r="50" spans="1:59" ht="13.5" customHeight="1">
      <c r="A50" s="3"/>
      <c r="B50" s="296"/>
      <c r="C50" s="297"/>
      <c r="D50" s="298"/>
      <c r="E50" s="302"/>
      <c r="F50" s="303"/>
      <c r="G50" s="303"/>
      <c r="H50" s="303"/>
      <c r="I50" s="304"/>
      <c r="J50" s="308"/>
      <c r="K50" s="309"/>
      <c r="L50" s="309"/>
      <c r="M50" s="310"/>
      <c r="N50" s="323"/>
      <c r="O50" s="315"/>
      <c r="P50" s="315"/>
      <c r="Q50" s="315"/>
      <c r="R50" s="315"/>
      <c r="S50" s="315"/>
      <c r="T50" s="315"/>
      <c r="U50" s="315"/>
      <c r="V50" s="315"/>
      <c r="W50" s="315"/>
      <c r="X50" s="315"/>
      <c r="Y50" s="315"/>
      <c r="Z50" s="315"/>
      <c r="AA50" s="315"/>
      <c r="AB50" s="315"/>
      <c r="AC50" s="315"/>
      <c r="AD50" s="315"/>
      <c r="AE50" s="315"/>
      <c r="AF50" s="315"/>
      <c r="AG50" s="315"/>
      <c r="AH50" s="315"/>
      <c r="AI50" s="315"/>
      <c r="AJ50" s="315"/>
      <c r="AK50" s="315"/>
      <c r="AL50" s="315"/>
      <c r="AM50" s="315"/>
      <c r="AN50" s="315"/>
      <c r="AO50" s="315"/>
      <c r="AP50" s="315"/>
      <c r="AQ50" s="315"/>
      <c r="AR50" s="315"/>
      <c r="AS50" s="315"/>
      <c r="AT50" s="315"/>
      <c r="AU50" s="316"/>
      <c r="AV50" s="7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</row>
    <row r="51" spans="1:59" ht="13.5" customHeight="1">
      <c r="A51" s="3"/>
      <c r="B51" s="299"/>
      <c r="C51" s="300"/>
      <c r="D51" s="301"/>
      <c r="E51" s="305"/>
      <c r="F51" s="306"/>
      <c r="G51" s="306"/>
      <c r="H51" s="306"/>
      <c r="I51" s="307"/>
      <c r="J51" s="311"/>
      <c r="K51" s="312"/>
      <c r="L51" s="312"/>
      <c r="M51" s="313"/>
      <c r="N51" s="317"/>
      <c r="O51" s="318"/>
      <c r="P51" s="318"/>
      <c r="Q51" s="318"/>
      <c r="R51" s="318"/>
      <c r="S51" s="318"/>
      <c r="T51" s="318"/>
      <c r="U51" s="318"/>
      <c r="V51" s="318"/>
      <c r="W51" s="318"/>
      <c r="X51" s="318"/>
      <c r="Y51" s="318"/>
      <c r="Z51" s="318"/>
      <c r="AA51" s="318"/>
      <c r="AB51" s="318"/>
      <c r="AC51" s="318"/>
      <c r="AD51" s="318"/>
      <c r="AE51" s="318"/>
      <c r="AF51" s="318"/>
      <c r="AG51" s="318"/>
      <c r="AH51" s="318"/>
      <c r="AI51" s="318"/>
      <c r="AJ51" s="318"/>
      <c r="AK51" s="318"/>
      <c r="AL51" s="318"/>
      <c r="AM51" s="318"/>
      <c r="AN51" s="318"/>
      <c r="AO51" s="318"/>
      <c r="AP51" s="318"/>
      <c r="AQ51" s="318"/>
      <c r="AR51" s="318"/>
      <c r="AS51" s="318"/>
      <c r="AT51" s="318"/>
      <c r="AU51" s="319"/>
      <c r="AV51" s="7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</row>
    <row r="52" spans="1:59" ht="13.5" customHeight="1">
      <c r="A52" s="3"/>
      <c r="B52" s="296"/>
      <c r="C52" s="297"/>
      <c r="D52" s="298"/>
      <c r="E52" s="302"/>
      <c r="F52" s="303"/>
      <c r="G52" s="303"/>
      <c r="H52" s="303"/>
      <c r="I52" s="304"/>
      <c r="J52" s="308"/>
      <c r="K52" s="309"/>
      <c r="L52" s="309"/>
      <c r="M52" s="310"/>
      <c r="N52" s="314"/>
      <c r="O52" s="315"/>
      <c r="P52" s="315"/>
      <c r="Q52" s="315"/>
      <c r="R52" s="315"/>
      <c r="S52" s="315"/>
      <c r="T52" s="315"/>
      <c r="U52" s="315"/>
      <c r="V52" s="315"/>
      <c r="W52" s="315"/>
      <c r="X52" s="315"/>
      <c r="Y52" s="315"/>
      <c r="Z52" s="315"/>
      <c r="AA52" s="315"/>
      <c r="AB52" s="315"/>
      <c r="AC52" s="315"/>
      <c r="AD52" s="315"/>
      <c r="AE52" s="315"/>
      <c r="AF52" s="315"/>
      <c r="AG52" s="315"/>
      <c r="AH52" s="315"/>
      <c r="AI52" s="315"/>
      <c r="AJ52" s="315"/>
      <c r="AK52" s="315"/>
      <c r="AL52" s="315"/>
      <c r="AM52" s="315"/>
      <c r="AN52" s="315"/>
      <c r="AO52" s="315"/>
      <c r="AP52" s="315"/>
      <c r="AQ52" s="315"/>
      <c r="AR52" s="315"/>
      <c r="AS52" s="315"/>
      <c r="AT52" s="315"/>
      <c r="AU52" s="316"/>
      <c r="AV52" s="7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</row>
    <row r="53" spans="1:59" ht="13.5" customHeight="1">
      <c r="A53" s="3"/>
      <c r="B53" s="299"/>
      <c r="C53" s="300"/>
      <c r="D53" s="301"/>
      <c r="E53" s="305"/>
      <c r="F53" s="306"/>
      <c r="G53" s="306"/>
      <c r="H53" s="306"/>
      <c r="I53" s="307"/>
      <c r="J53" s="311"/>
      <c r="K53" s="312"/>
      <c r="L53" s="312"/>
      <c r="M53" s="313"/>
      <c r="N53" s="317"/>
      <c r="O53" s="318"/>
      <c r="P53" s="318"/>
      <c r="Q53" s="318"/>
      <c r="R53" s="318"/>
      <c r="S53" s="318"/>
      <c r="T53" s="318"/>
      <c r="U53" s="318"/>
      <c r="V53" s="318"/>
      <c r="W53" s="318"/>
      <c r="X53" s="318"/>
      <c r="Y53" s="318"/>
      <c r="Z53" s="318"/>
      <c r="AA53" s="318"/>
      <c r="AB53" s="318"/>
      <c r="AC53" s="318"/>
      <c r="AD53" s="318"/>
      <c r="AE53" s="318"/>
      <c r="AF53" s="318"/>
      <c r="AG53" s="318"/>
      <c r="AH53" s="318"/>
      <c r="AI53" s="318"/>
      <c r="AJ53" s="318"/>
      <c r="AK53" s="318"/>
      <c r="AL53" s="318"/>
      <c r="AM53" s="318"/>
      <c r="AN53" s="318"/>
      <c r="AO53" s="318"/>
      <c r="AP53" s="318"/>
      <c r="AQ53" s="318"/>
      <c r="AR53" s="318"/>
      <c r="AS53" s="318"/>
      <c r="AT53" s="318"/>
      <c r="AU53" s="319"/>
      <c r="AV53" s="7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</row>
    <row r="54" spans="1:59" ht="13.5" customHeight="1">
      <c r="A54" s="3"/>
      <c r="B54" s="296"/>
      <c r="C54" s="297"/>
      <c r="D54" s="298"/>
      <c r="E54" s="302"/>
      <c r="F54" s="303"/>
      <c r="G54" s="303"/>
      <c r="H54" s="303"/>
      <c r="I54" s="304"/>
      <c r="J54" s="308"/>
      <c r="K54" s="309"/>
      <c r="L54" s="309"/>
      <c r="M54" s="310"/>
      <c r="N54" s="314"/>
      <c r="O54" s="315"/>
      <c r="P54" s="315"/>
      <c r="Q54" s="315"/>
      <c r="R54" s="315"/>
      <c r="S54" s="315"/>
      <c r="T54" s="315"/>
      <c r="U54" s="315"/>
      <c r="V54" s="315"/>
      <c r="W54" s="315"/>
      <c r="X54" s="315"/>
      <c r="Y54" s="315"/>
      <c r="Z54" s="315"/>
      <c r="AA54" s="315"/>
      <c r="AB54" s="315"/>
      <c r="AC54" s="315"/>
      <c r="AD54" s="315"/>
      <c r="AE54" s="315"/>
      <c r="AF54" s="315"/>
      <c r="AG54" s="315"/>
      <c r="AH54" s="315"/>
      <c r="AI54" s="315"/>
      <c r="AJ54" s="315"/>
      <c r="AK54" s="315"/>
      <c r="AL54" s="315"/>
      <c r="AM54" s="315"/>
      <c r="AN54" s="315"/>
      <c r="AO54" s="315"/>
      <c r="AP54" s="315"/>
      <c r="AQ54" s="315"/>
      <c r="AR54" s="315"/>
      <c r="AS54" s="315"/>
      <c r="AT54" s="315"/>
      <c r="AU54" s="316"/>
      <c r="AV54" s="7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</row>
    <row r="55" spans="1:59" ht="13.5" customHeight="1">
      <c r="A55" s="3"/>
      <c r="B55" s="299"/>
      <c r="C55" s="300"/>
      <c r="D55" s="301"/>
      <c r="E55" s="305"/>
      <c r="F55" s="306"/>
      <c r="G55" s="306"/>
      <c r="H55" s="306"/>
      <c r="I55" s="307"/>
      <c r="J55" s="311"/>
      <c r="K55" s="312"/>
      <c r="L55" s="312"/>
      <c r="M55" s="313"/>
      <c r="N55" s="317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  <c r="AN55" s="318"/>
      <c r="AO55" s="318"/>
      <c r="AP55" s="318"/>
      <c r="AQ55" s="318"/>
      <c r="AR55" s="318"/>
      <c r="AS55" s="318"/>
      <c r="AT55" s="318"/>
      <c r="AU55" s="319"/>
      <c r="AV55" s="7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</row>
    <row r="56" spans="1:59" ht="13.5" customHeight="1">
      <c r="A56" s="3"/>
      <c r="B56" s="296"/>
      <c r="C56" s="297"/>
      <c r="D56" s="298"/>
      <c r="E56" s="302"/>
      <c r="F56" s="303"/>
      <c r="G56" s="303"/>
      <c r="H56" s="303"/>
      <c r="I56" s="304"/>
      <c r="J56" s="308"/>
      <c r="K56" s="309"/>
      <c r="L56" s="309"/>
      <c r="M56" s="310"/>
      <c r="N56" s="314"/>
      <c r="O56" s="315"/>
      <c r="P56" s="315"/>
      <c r="Q56" s="315"/>
      <c r="R56" s="315"/>
      <c r="S56" s="315"/>
      <c r="T56" s="315"/>
      <c r="U56" s="315"/>
      <c r="V56" s="315"/>
      <c r="W56" s="315"/>
      <c r="X56" s="315"/>
      <c r="Y56" s="315"/>
      <c r="Z56" s="315"/>
      <c r="AA56" s="315"/>
      <c r="AB56" s="315"/>
      <c r="AC56" s="315"/>
      <c r="AD56" s="315"/>
      <c r="AE56" s="315"/>
      <c r="AF56" s="315"/>
      <c r="AG56" s="315"/>
      <c r="AH56" s="315"/>
      <c r="AI56" s="315"/>
      <c r="AJ56" s="315"/>
      <c r="AK56" s="315"/>
      <c r="AL56" s="315"/>
      <c r="AM56" s="315"/>
      <c r="AN56" s="315"/>
      <c r="AO56" s="315"/>
      <c r="AP56" s="315"/>
      <c r="AQ56" s="315"/>
      <c r="AR56" s="315"/>
      <c r="AS56" s="315"/>
      <c r="AT56" s="315"/>
      <c r="AU56" s="316"/>
      <c r="AV56" s="7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</row>
    <row r="57" spans="1:59" ht="13.5" customHeight="1">
      <c r="A57" s="3"/>
      <c r="B57" s="299"/>
      <c r="C57" s="300"/>
      <c r="D57" s="301"/>
      <c r="E57" s="305"/>
      <c r="F57" s="306"/>
      <c r="G57" s="306"/>
      <c r="H57" s="306"/>
      <c r="I57" s="307"/>
      <c r="J57" s="311"/>
      <c r="K57" s="312"/>
      <c r="L57" s="312"/>
      <c r="M57" s="313"/>
      <c r="N57" s="317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  <c r="AE57" s="318"/>
      <c r="AF57" s="318"/>
      <c r="AG57" s="318"/>
      <c r="AH57" s="318"/>
      <c r="AI57" s="318"/>
      <c r="AJ57" s="318"/>
      <c r="AK57" s="318"/>
      <c r="AL57" s="318"/>
      <c r="AM57" s="318"/>
      <c r="AN57" s="318"/>
      <c r="AO57" s="318"/>
      <c r="AP57" s="318"/>
      <c r="AQ57" s="318"/>
      <c r="AR57" s="318"/>
      <c r="AS57" s="318"/>
      <c r="AT57" s="318"/>
      <c r="AU57" s="319"/>
      <c r="AV57" s="7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</row>
    <row r="58" spans="1:59" ht="13.5" customHeight="1">
      <c r="A58" s="3"/>
      <c r="B58" s="296"/>
      <c r="C58" s="297"/>
      <c r="D58" s="298"/>
      <c r="E58" s="302"/>
      <c r="F58" s="303"/>
      <c r="G58" s="303"/>
      <c r="H58" s="303"/>
      <c r="I58" s="304"/>
      <c r="J58" s="308"/>
      <c r="K58" s="309"/>
      <c r="L58" s="309"/>
      <c r="M58" s="310"/>
      <c r="N58" s="314"/>
      <c r="O58" s="315"/>
      <c r="P58" s="315"/>
      <c r="Q58" s="315"/>
      <c r="R58" s="315"/>
      <c r="S58" s="315"/>
      <c r="T58" s="315"/>
      <c r="U58" s="315"/>
      <c r="V58" s="315"/>
      <c r="W58" s="315"/>
      <c r="X58" s="315"/>
      <c r="Y58" s="315"/>
      <c r="Z58" s="315"/>
      <c r="AA58" s="315"/>
      <c r="AB58" s="315"/>
      <c r="AC58" s="315"/>
      <c r="AD58" s="315"/>
      <c r="AE58" s="315"/>
      <c r="AF58" s="315"/>
      <c r="AG58" s="315"/>
      <c r="AH58" s="315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6"/>
      <c r="AV58" s="7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</row>
    <row r="59" spans="1:59" ht="13.5" customHeight="1">
      <c r="A59" s="3"/>
      <c r="B59" s="299"/>
      <c r="C59" s="300"/>
      <c r="D59" s="301"/>
      <c r="E59" s="305"/>
      <c r="F59" s="306"/>
      <c r="G59" s="306"/>
      <c r="H59" s="306"/>
      <c r="I59" s="307"/>
      <c r="J59" s="311"/>
      <c r="K59" s="312"/>
      <c r="L59" s="312"/>
      <c r="M59" s="313"/>
      <c r="N59" s="317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8"/>
      <c r="AA59" s="318"/>
      <c r="AB59" s="318"/>
      <c r="AC59" s="318"/>
      <c r="AD59" s="318"/>
      <c r="AE59" s="318"/>
      <c r="AF59" s="318"/>
      <c r="AG59" s="318"/>
      <c r="AH59" s="318"/>
      <c r="AI59" s="318"/>
      <c r="AJ59" s="318"/>
      <c r="AK59" s="318"/>
      <c r="AL59" s="318"/>
      <c r="AM59" s="318"/>
      <c r="AN59" s="318"/>
      <c r="AO59" s="318"/>
      <c r="AP59" s="318"/>
      <c r="AQ59" s="318"/>
      <c r="AR59" s="318"/>
      <c r="AS59" s="318"/>
      <c r="AT59" s="318"/>
      <c r="AU59" s="319"/>
      <c r="AV59" s="7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</row>
    <row r="60" spans="1:59" ht="13.5" customHeight="1">
      <c r="A60" s="3"/>
      <c r="B60" s="296"/>
      <c r="C60" s="297"/>
      <c r="D60" s="298"/>
      <c r="E60" s="302"/>
      <c r="F60" s="303"/>
      <c r="G60" s="303"/>
      <c r="H60" s="303"/>
      <c r="I60" s="304"/>
      <c r="J60" s="308"/>
      <c r="K60" s="309"/>
      <c r="L60" s="309"/>
      <c r="M60" s="310"/>
      <c r="N60" s="314"/>
      <c r="O60" s="315"/>
      <c r="P60" s="315"/>
      <c r="Q60" s="315"/>
      <c r="R60" s="315"/>
      <c r="S60" s="315"/>
      <c r="T60" s="315"/>
      <c r="U60" s="315"/>
      <c r="V60" s="315"/>
      <c r="W60" s="315"/>
      <c r="X60" s="315"/>
      <c r="Y60" s="315"/>
      <c r="Z60" s="315"/>
      <c r="AA60" s="315"/>
      <c r="AB60" s="315"/>
      <c r="AC60" s="315"/>
      <c r="AD60" s="315"/>
      <c r="AE60" s="315"/>
      <c r="AF60" s="315"/>
      <c r="AG60" s="315"/>
      <c r="AH60" s="315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6"/>
      <c r="AV60" s="7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</row>
    <row r="61" spans="1:59" ht="13.5" customHeight="1">
      <c r="A61" s="3"/>
      <c r="B61" s="299"/>
      <c r="C61" s="300"/>
      <c r="D61" s="301"/>
      <c r="E61" s="305"/>
      <c r="F61" s="306"/>
      <c r="G61" s="306"/>
      <c r="H61" s="306"/>
      <c r="I61" s="307"/>
      <c r="J61" s="311"/>
      <c r="K61" s="312"/>
      <c r="L61" s="312"/>
      <c r="M61" s="313"/>
      <c r="N61" s="317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8"/>
      <c r="AA61" s="318"/>
      <c r="AB61" s="318"/>
      <c r="AC61" s="318"/>
      <c r="AD61" s="318"/>
      <c r="AE61" s="318"/>
      <c r="AF61" s="318"/>
      <c r="AG61" s="318"/>
      <c r="AH61" s="318"/>
      <c r="AI61" s="318"/>
      <c r="AJ61" s="318"/>
      <c r="AK61" s="318"/>
      <c r="AL61" s="318"/>
      <c r="AM61" s="318"/>
      <c r="AN61" s="318"/>
      <c r="AO61" s="318"/>
      <c r="AP61" s="318"/>
      <c r="AQ61" s="318"/>
      <c r="AR61" s="318"/>
      <c r="AS61" s="318"/>
      <c r="AT61" s="318"/>
      <c r="AU61" s="319"/>
      <c r="AV61" s="7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</row>
    <row r="62" spans="1:59" ht="13.5" customHeight="1">
      <c r="A62" s="3"/>
      <c r="B62" s="296"/>
      <c r="C62" s="297"/>
      <c r="D62" s="298"/>
      <c r="E62" s="302"/>
      <c r="F62" s="303"/>
      <c r="G62" s="303"/>
      <c r="H62" s="303"/>
      <c r="I62" s="304"/>
      <c r="J62" s="308"/>
      <c r="K62" s="309"/>
      <c r="L62" s="309"/>
      <c r="M62" s="310"/>
      <c r="N62" s="314"/>
      <c r="O62" s="315"/>
      <c r="P62" s="315"/>
      <c r="Q62" s="315"/>
      <c r="R62" s="315"/>
      <c r="S62" s="315"/>
      <c r="T62" s="315"/>
      <c r="U62" s="315"/>
      <c r="V62" s="315"/>
      <c r="W62" s="315"/>
      <c r="X62" s="315"/>
      <c r="Y62" s="315"/>
      <c r="Z62" s="315"/>
      <c r="AA62" s="315"/>
      <c r="AB62" s="315"/>
      <c r="AC62" s="315"/>
      <c r="AD62" s="315"/>
      <c r="AE62" s="315"/>
      <c r="AF62" s="315"/>
      <c r="AG62" s="315"/>
      <c r="AH62" s="315"/>
      <c r="AI62" s="315"/>
      <c r="AJ62" s="315"/>
      <c r="AK62" s="315"/>
      <c r="AL62" s="315"/>
      <c r="AM62" s="315"/>
      <c r="AN62" s="315"/>
      <c r="AO62" s="315"/>
      <c r="AP62" s="315"/>
      <c r="AQ62" s="315"/>
      <c r="AR62" s="315"/>
      <c r="AS62" s="315"/>
      <c r="AT62" s="315"/>
      <c r="AU62" s="316"/>
      <c r="AV62" s="7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</row>
    <row r="63" spans="1:59" ht="13.5" customHeight="1">
      <c r="A63" s="3"/>
      <c r="B63" s="299"/>
      <c r="C63" s="300"/>
      <c r="D63" s="301"/>
      <c r="E63" s="305"/>
      <c r="F63" s="306"/>
      <c r="G63" s="306"/>
      <c r="H63" s="306"/>
      <c r="I63" s="307"/>
      <c r="J63" s="311"/>
      <c r="K63" s="312"/>
      <c r="L63" s="312"/>
      <c r="M63" s="313"/>
      <c r="N63" s="317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8"/>
      <c r="AA63" s="318"/>
      <c r="AB63" s="318"/>
      <c r="AC63" s="318"/>
      <c r="AD63" s="318"/>
      <c r="AE63" s="318"/>
      <c r="AF63" s="318"/>
      <c r="AG63" s="318"/>
      <c r="AH63" s="318"/>
      <c r="AI63" s="318"/>
      <c r="AJ63" s="318"/>
      <c r="AK63" s="318"/>
      <c r="AL63" s="318"/>
      <c r="AM63" s="318"/>
      <c r="AN63" s="318"/>
      <c r="AO63" s="318"/>
      <c r="AP63" s="318"/>
      <c r="AQ63" s="318"/>
      <c r="AR63" s="318"/>
      <c r="AS63" s="318"/>
      <c r="AT63" s="318"/>
      <c r="AU63" s="319"/>
      <c r="AV63" s="7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</row>
    <row r="64" spans="1:59" ht="13.5" customHeight="1">
      <c r="A64" s="3"/>
      <c r="B64" s="296"/>
      <c r="C64" s="297"/>
      <c r="D64" s="298"/>
      <c r="E64" s="302"/>
      <c r="F64" s="303"/>
      <c r="G64" s="303"/>
      <c r="H64" s="303"/>
      <c r="I64" s="304"/>
      <c r="J64" s="308"/>
      <c r="K64" s="309"/>
      <c r="L64" s="309"/>
      <c r="M64" s="310"/>
      <c r="N64" s="314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315"/>
      <c r="AB64" s="315"/>
      <c r="AC64" s="315"/>
      <c r="AD64" s="315"/>
      <c r="AE64" s="315"/>
      <c r="AF64" s="315"/>
      <c r="AG64" s="315"/>
      <c r="AH64" s="315"/>
      <c r="AI64" s="315"/>
      <c r="AJ64" s="315"/>
      <c r="AK64" s="315"/>
      <c r="AL64" s="315"/>
      <c r="AM64" s="315"/>
      <c r="AN64" s="315"/>
      <c r="AO64" s="315"/>
      <c r="AP64" s="315"/>
      <c r="AQ64" s="315"/>
      <c r="AR64" s="315"/>
      <c r="AS64" s="315"/>
      <c r="AT64" s="315"/>
      <c r="AU64" s="316"/>
      <c r="AV64" s="7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</row>
    <row r="65" spans="1:59" ht="13.5" customHeight="1">
      <c r="A65" s="3"/>
      <c r="B65" s="299"/>
      <c r="C65" s="300"/>
      <c r="D65" s="301"/>
      <c r="E65" s="305"/>
      <c r="F65" s="306"/>
      <c r="G65" s="306"/>
      <c r="H65" s="306"/>
      <c r="I65" s="307"/>
      <c r="J65" s="311"/>
      <c r="K65" s="312"/>
      <c r="L65" s="312"/>
      <c r="M65" s="313"/>
      <c r="N65" s="317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8"/>
      <c r="AA65" s="318"/>
      <c r="AB65" s="318"/>
      <c r="AC65" s="318"/>
      <c r="AD65" s="318"/>
      <c r="AE65" s="318"/>
      <c r="AF65" s="318"/>
      <c r="AG65" s="318"/>
      <c r="AH65" s="318"/>
      <c r="AI65" s="318"/>
      <c r="AJ65" s="318"/>
      <c r="AK65" s="318"/>
      <c r="AL65" s="318"/>
      <c r="AM65" s="318"/>
      <c r="AN65" s="318"/>
      <c r="AO65" s="318"/>
      <c r="AP65" s="318"/>
      <c r="AQ65" s="318"/>
      <c r="AR65" s="318"/>
      <c r="AS65" s="318"/>
      <c r="AT65" s="318"/>
      <c r="AU65" s="319"/>
      <c r="AV65" s="7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</row>
    <row r="66" spans="1:59" ht="13.5" customHeight="1">
      <c r="A66" s="3"/>
      <c r="B66" s="296"/>
      <c r="C66" s="297"/>
      <c r="D66" s="298"/>
      <c r="E66" s="302"/>
      <c r="F66" s="303"/>
      <c r="G66" s="303"/>
      <c r="H66" s="303"/>
      <c r="I66" s="304"/>
      <c r="J66" s="308"/>
      <c r="K66" s="309"/>
      <c r="L66" s="309"/>
      <c r="M66" s="310"/>
      <c r="N66" s="314"/>
      <c r="O66" s="315"/>
      <c r="P66" s="315"/>
      <c r="Q66" s="315"/>
      <c r="R66" s="315"/>
      <c r="S66" s="315"/>
      <c r="T66" s="315"/>
      <c r="U66" s="315"/>
      <c r="V66" s="315"/>
      <c r="W66" s="315"/>
      <c r="X66" s="315"/>
      <c r="Y66" s="315"/>
      <c r="Z66" s="315"/>
      <c r="AA66" s="315"/>
      <c r="AB66" s="315"/>
      <c r="AC66" s="315"/>
      <c r="AD66" s="315"/>
      <c r="AE66" s="315"/>
      <c r="AF66" s="315"/>
      <c r="AG66" s="315"/>
      <c r="AH66" s="315"/>
      <c r="AI66" s="315"/>
      <c r="AJ66" s="315"/>
      <c r="AK66" s="315"/>
      <c r="AL66" s="315"/>
      <c r="AM66" s="315"/>
      <c r="AN66" s="315"/>
      <c r="AO66" s="315"/>
      <c r="AP66" s="315"/>
      <c r="AQ66" s="315"/>
      <c r="AR66" s="315"/>
      <c r="AS66" s="315"/>
      <c r="AT66" s="315"/>
      <c r="AU66" s="316"/>
      <c r="AV66" s="7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</row>
    <row r="67" spans="1:59" ht="13.5" customHeight="1">
      <c r="A67" s="3"/>
      <c r="B67" s="299"/>
      <c r="C67" s="300"/>
      <c r="D67" s="301"/>
      <c r="E67" s="305"/>
      <c r="F67" s="306"/>
      <c r="G67" s="306"/>
      <c r="H67" s="306"/>
      <c r="I67" s="307"/>
      <c r="J67" s="311"/>
      <c r="K67" s="312"/>
      <c r="L67" s="312"/>
      <c r="M67" s="313"/>
      <c r="N67" s="317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8"/>
      <c r="AA67" s="318"/>
      <c r="AB67" s="318"/>
      <c r="AC67" s="318"/>
      <c r="AD67" s="318"/>
      <c r="AE67" s="318"/>
      <c r="AF67" s="318"/>
      <c r="AG67" s="318"/>
      <c r="AH67" s="318"/>
      <c r="AI67" s="318"/>
      <c r="AJ67" s="318"/>
      <c r="AK67" s="318"/>
      <c r="AL67" s="318"/>
      <c r="AM67" s="318"/>
      <c r="AN67" s="318"/>
      <c r="AO67" s="318"/>
      <c r="AP67" s="318"/>
      <c r="AQ67" s="318"/>
      <c r="AR67" s="318"/>
      <c r="AS67" s="318"/>
      <c r="AT67" s="318"/>
      <c r="AU67" s="319"/>
      <c r="AV67" s="7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</row>
    <row r="68" spans="1:59" ht="13.5" customHeight="1">
      <c r="A68" s="3"/>
      <c r="B68" s="296"/>
      <c r="C68" s="297"/>
      <c r="D68" s="298"/>
      <c r="E68" s="302"/>
      <c r="F68" s="303"/>
      <c r="G68" s="303"/>
      <c r="H68" s="303"/>
      <c r="I68" s="304"/>
      <c r="J68" s="308"/>
      <c r="K68" s="309"/>
      <c r="L68" s="309"/>
      <c r="M68" s="310"/>
      <c r="N68" s="314"/>
      <c r="O68" s="315"/>
      <c r="P68" s="315"/>
      <c r="Q68" s="315"/>
      <c r="R68" s="315"/>
      <c r="S68" s="315"/>
      <c r="T68" s="315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315"/>
      <c r="AK68" s="315"/>
      <c r="AL68" s="315"/>
      <c r="AM68" s="315"/>
      <c r="AN68" s="315"/>
      <c r="AO68" s="315"/>
      <c r="AP68" s="315"/>
      <c r="AQ68" s="315"/>
      <c r="AR68" s="315"/>
      <c r="AS68" s="315"/>
      <c r="AT68" s="315"/>
      <c r="AU68" s="316"/>
      <c r="AV68" s="7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</row>
    <row r="69" spans="1:59" ht="13.5" customHeight="1">
      <c r="A69" s="3"/>
      <c r="B69" s="299"/>
      <c r="C69" s="300"/>
      <c r="D69" s="301"/>
      <c r="E69" s="305"/>
      <c r="F69" s="306"/>
      <c r="G69" s="306"/>
      <c r="H69" s="306"/>
      <c r="I69" s="307"/>
      <c r="J69" s="311"/>
      <c r="K69" s="312"/>
      <c r="L69" s="312"/>
      <c r="M69" s="313"/>
      <c r="N69" s="317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8"/>
      <c r="AA69" s="318"/>
      <c r="AB69" s="318"/>
      <c r="AC69" s="318"/>
      <c r="AD69" s="318"/>
      <c r="AE69" s="318"/>
      <c r="AF69" s="318"/>
      <c r="AG69" s="318"/>
      <c r="AH69" s="318"/>
      <c r="AI69" s="318"/>
      <c r="AJ69" s="318"/>
      <c r="AK69" s="318"/>
      <c r="AL69" s="318"/>
      <c r="AM69" s="318"/>
      <c r="AN69" s="318"/>
      <c r="AO69" s="318"/>
      <c r="AP69" s="318"/>
      <c r="AQ69" s="318"/>
      <c r="AR69" s="318"/>
      <c r="AS69" s="318"/>
      <c r="AT69" s="318"/>
      <c r="AU69" s="319"/>
      <c r="AV69" s="7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</row>
    <row r="70" spans="1:59" ht="13.5" customHeight="1">
      <c r="A70" s="3"/>
      <c r="B70" s="296"/>
      <c r="C70" s="297"/>
      <c r="D70" s="298"/>
      <c r="E70" s="302"/>
      <c r="F70" s="303"/>
      <c r="G70" s="303"/>
      <c r="H70" s="303"/>
      <c r="I70" s="304"/>
      <c r="J70" s="308"/>
      <c r="K70" s="309"/>
      <c r="L70" s="309"/>
      <c r="M70" s="310"/>
      <c r="N70" s="314"/>
      <c r="O70" s="315"/>
      <c r="P70" s="315"/>
      <c r="Q70" s="315"/>
      <c r="R70" s="315"/>
      <c r="S70" s="315"/>
      <c r="T70" s="315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5"/>
      <c r="AJ70" s="315"/>
      <c r="AK70" s="315"/>
      <c r="AL70" s="315"/>
      <c r="AM70" s="315"/>
      <c r="AN70" s="315"/>
      <c r="AO70" s="315"/>
      <c r="AP70" s="315"/>
      <c r="AQ70" s="315"/>
      <c r="AR70" s="315"/>
      <c r="AS70" s="315"/>
      <c r="AT70" s="315"/>
      <c r="AU70" s="316"/>
      <c r="AV70" s="7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</row>
    <row r="71" spans="1:59" ht="13.5" customHeight="1">
      <c r="A71" s="3"/>
      <c r="B71" s="299"/>
      <c r="C71" s="300"/>
      <c r="D71" s="301"/>
      <c r="E71" s="305"/>
      <c r="F71" s="306"/>
      <c r="G71" s="306"/>
      <c r="H71" s="306"/>
      <c r="I71" s="307"/>
      <c r="J71" s="311"/>
      <c r="K71" s="312"/>
      <c r="L71" s="312"/>
      <c r="M71" s="313"/>
      <c r="N71" s="317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8"/>
      <c r="AA71" s="318"/>
      <c r="AB71" s="318"/>
      <c r="AC71" s="318"/>
      <c r="AD71" s="318"/>
      <c r="AE71" s="318"/>
      <c r="AF71" s="318"/>
      <c r="AG71" s="318"/>
      <c r="AH71" s="318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318"/>
      <c r="AT71" s="318"/>
      <c r="AU71" s="319"/>
      <c r="AV71" s="7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</row>
    <row r="72" spans="1:59" ht="13.5" customHeight="1">
      <c r="A72" s="3"/>
      <c r="B72" s="296"/>
      <c r="C72" s="297"/>
      <c r="D72" s="298"/>
      <c r="E72" s="302"/>
      <c r="F72" s="303"/>
      <c r="G72" s="303"/>
      <c r="H72" s="303"/>
      <c r="I72" s="304"/>
      <c r="J72" s="308"/>
      <c r="K72" s="309"/>
      <c r="L72" s="309"/>
      <c r="M72" s="310"/>
      <c r="N72" s="314"/>
      <c r="O72" s="315"/>
      <c r="P72" s="315"/>
      <c r="Q72" s="315"/>
      <c r="R72" s="315"/>
      <c r="S72" s="315"/>
      <c r="T72" s="315"/>
      <c r="U72" s="315"/>
      <c r="V72" s="315"/>
      <c r="W72" s="315"/>
      <c r="X72" s="315"/>
      <c r="Y72" s="315"/>
      <c r="Z72" s="315"/>
      <c r="AA72" s="315"/>
      <c r="AB72" s="315"/>
      <c r="AC72" s="315"/>
      <c r="AD72" s="315"/>
      <c r="AE72" s="315"/>
      <c r="AF72" s="315"/>
      <c r="AG72" s="315"/>
      <c r="AH72" s="315"/>
      <c r="AI72" s="315"/>
      <c r="AJ72" s="315"/>
      <c r="AK72" s="315"/>
      <c r="AL72" s="315"/>
      <c r="AM72" s="315"/>
      <c r="AN72" s="315"/>
      <c r="AO72" s="315"/>
      <c r="AP72" s="315"/>
      <c r="AQ72" s="315"/>
      <c r="AR72" s="315"/>
      <c r="AS72" s="315"/>
      <c r="AT72" s="315"/>
      <c r="AU72" s="316"/>
      <c r="AV72" s="7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</row>
    <row r="73" spans="1:59" ht="13.5" customHeight="1">
      <c r="A73" s="3"/>
      <c r="B73" s="299"/>
      <c r="C73" s="300"/>
      <c r="D73" s="301"/>
      <c r="E73" s="305"/>
      <c r="F73" s="306"/>
      <c r="G73" s="306"/>
      <c r="H73" s="306"/>
      <c r="I73" s="307"/>
      <c r="J73" s="311"/>
      <c r="K73" s="312"/>
      <c r="L73" s="312"/>
      <c r="M73" s="313"/>
      <c r="N73" s="317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8"/>
      <c r="AA73" s="318"/>
      <c r="AB73" s="318"/>
      <c r="AC73" s="318"/>
      <c r="AD73" s="318"/>
      <c r="AE73" s="318"/>
      <c r="AF73" s="318"/>
      <c r="AG73" s="318"/>
      <c r="AH73" s="318"/>
      <c r="AI73" s="318"/>
      <c r="AJ73" s="318"/>
      <c r="AK73" s="318"/>
      <c r="AL73" s="318"/>
      <c r="AM73" s="318"/>
      <c r="AN73" s="318"/>
      <c r="AO73" s="318"/>
      <c r="AP73" s="318"/>
      <c r="AQ73" s="318"/>
      <c r="AR73" s="318"/>
      <c r="AS73" s="318"/>
      <c r="AT73" s="318"/>
      <c r="AU73" s="319"/>
      <c r="AV73" s="7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</row>
    <row r="74" spans="1:59" ht="13.5" customHeight="1">
      <c r="A74" s="3"/>
      <c r="B74" s="296"/>
      <c r="C74" s="297"/>
      <c r="D74" s="298"/>
      <c r="E74" s="302"/>
      <c r="F74" s="303"/>
      <c r="G74" s="303"/>
      <c r="H74" s="303"/>
      <c r="I74" s="304"/>
      <c r="J74" s="308"/>
      <c r="K74" s="309"/>
      <c r="L74" s="309"/>
      <c r="M74" s="310"/>
      <c r="N74" s="314"/>
      <c r="O74" s="315"/>
      <c r="P74" s="315"/>
      <c r="Q74" s="315"/>
      <c r="R74" s="315"/>
      <c r="S74" s="315"/>
      <c r="T74" s="315"/>
      <c r="U74" s="315"/>
      <c r="V74" s="315"/>
      <c r="W74" s="315"/>
      <c r="X74" s="315"/>
      <c r="Y74" s="315"/>
      <c r="Z74" s="315"/>
      <c r="AA74" s="315"/>
      <c r="AB74" s="315"/>
      <c r="AC74" s="315"/>
      <c r="AD74" s="315"/>
      <c r="AE74" s="315"/>
      <c r="AF74" s="315"/>
      <c r="AG74" s="315"/>
      <c r="AH74" s="315"/>
      <c r="AI74" s="315"/>
      <c r="AJ74" s="315"/>
      <c r="AK74" s="315"/>
      <c r="AL74" s="315"/>
      <c r="AM74" s="315"/>
      <c r="AN74" s="315"/>
      <c r="AO74" s="315"/>
      <c r="AP74" s="315"/>
      <c r="AQ74" s="315"/>
      <c r="AR74" s="315"/>
      <c r="AS74" s="315"/>
      <c r="AT74" s="315"/>
      <c r="AU74" s="316"/>
      <c r="AV74" s="7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</row>
    <row r="75" spans="1:59" ht="13.5" customHeight="1">
      <c r="A75" s="3"/>
      <c r="B75" s="299"/>
      <c r="C75" s="300"/>
      <c r="D75" s="301"/>
      <c r="E75" s="305"/>
      <c r="F75" s="306"/>
      <c r="G75" s="306"/>
      <c r="H75" s="306"/>
      <c r="I75" s="307"/>
      <c r="J75" s="311"/>
      <c r="K75" s="312"/>
      <c r="L75" s="312"/>
      <c r="M75" s="313"/>
      <c r="N75" s="317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318"/>
      <c r="AB75" s="318"/>
      <c r="AC75" s="318"/>
      <c r="AD75" s="318"/>
      <c r="AE75" s="318"/>
      <c r="AF75" s="318"/>
      <c r="AG75" s="318"/>
      <c r="AH75" s="318"/>
      <c r="AI75" s="318"/>
      <c r="AJ75" s="318"/>
      <c r="AK75" s="318"/>
      <c r="AL75" s="318"/>
      <c r="AM75" s="318"/>
      <c r="AN75" s="318"/>
      <c r="AO75" s="318"/>
      <c r="AP75" s="318"/>
      <c r="AQ75" s="318"/>
      <c r="AR75" s="318"/>
      <c r="AS75" s="318"/>
      <c r="AT75" s="318"/>
      <c r="AU75" s="319"/>
      <c r="AV75" s="7"/>
      <c r="AW75" s="204"/>
      <c r="AX75" s="204"/>
      <c r="AY75" s="204"/>
      <c r="AZ75" s="204"/>
      <c r="BA75" s="204"/>
      <c r="BB75" s="204"/>
      <c r="BC75" s="204"/>
      <c r="BD75" s="204"/>
      <c r="BE75" s="204"/>
      <c r="BF75" s="204"/>
      <c r="BG75" s="204"/>
    </row>
    <row r="76" spans="1:59" ht="13.5" customHeight="1">
      <c r="A76" s="3"/>
      <c r="B76" s="296"/>
      <c r="C76" s="297"/>
      <c r="D76" s="298"/>
      <c r="E76" s="302"/>
      <c r="F76" s="303"/>
      <c r="G76" s="303"/>
      <c r="H76" s="303"/>
      <c r="I76" s="304"/>
      <c r="J76" s="308"/>
      <c r="K76" s="309"/>
      <c r="L76" s="309"/>
      <c r="M76" s="310"/>
      <c r="N76" s="314"/>
      <c r="O76" s="315"/>
      <c r="P76" s="315"/>
      <c r="Q76" s="315"/>
      <c r="R76" s="315"/>
      <c r="S76" s="315"/>
      <c r="T76" s="315"/>
      <c r="U76" s="315"/>
      <c r="V76" s="315"/>
      <c r="W76" s="315"/>
      <c r="X76" s="315"/>
      <c r="Y76" s="315"/>
      <c r="Z76" s="315"/>
      <c r="AA76" s="315"/>
      <c r="AB76" s="315"/>
      <c r="AC76" s="315"/>
      <c r="AD76" s="315"/>
      <c r="AE76" s="315"/>
      <c r="AF76" s="315"/>
      <c r="AG76" s="315"/>
      <c r="AH76" s="315"/>
      <c r="AI76" s="315"/>
      <c r="AJ76" s="315"/>
      <c r="AK76" s="315"/>
      <c r="AL76" s="315"/>
      <c r="AM76" s="315"/>
      <c r="AN76" s="315"/>
      <c r="AO76" s="315"/>
      <c r="AP76" s="315"/>
      <c r="AQ76" s="315"/>
      <c r="AR76" s="315"/>
      <c r="AS76" s="315"/>
      <c r="AT76" s="315"/>
      <c r="AU76" s="316"/>
      <c r="AV76" s="7"/>
      <c r="AW76" s="204"/>
      <c r="AX76" s="204"/>
      <c r="AY76" s="204"/>
      <c r="AZ76" s="204"/>
      <c r="BA76" s="204"/>
      <c r="BB76" s="204"/>
      <c r="BC76" s="204"/>
      <c r="BD76" s="204"/>
      <c r="BE76" s="204"/>
      <c r="BF76" s="204"/>
      <c r="BG76" s="204"/>
    </row>
    <row r="77" spans="1:59" ht="13.5" customHeight="1">
      <c r="A77" s="3"/>
      <c r="B77" s="299"/>
      <c r="C77" s="300"/>
      <c r="D77" s="301"/>
      <c r="E77" s="305"/>
      <c r="F77" s="306"/>
      <c r="G77" s="306"/>
      <c r="H77" s="306"/>
      <c r="I77" s="307"/>
      <c r="J77" s="311"/>
      <c r="K77" s="312"/>
      <c r="L77" s="312"/>
      <c r="M77" s="313"/>
      <c r="N77" s="317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8"/>
      <c r="AA77" s="318"/>
      <c r="AB77" s="318"/>
      <c r="AC77" s="318"/>
      <c r="AD77" s="318"/>
      <c r="AE77" s="318"/>
      <c r="AF77" s="318"/>
      <c r="AG77" s="318"/>
      <c r="AH77" s="318"/>
      <c r="AI77" s="318"/>
      <c r="AJ77" s="318"/>
      <c r="AK77" s="318"/>
      <c r="AL77" s="318"/>
      <c r="AM77" s="318"/>
      <c r="AN77" s="318"/>
      <c r="AO77" s="318"/>
      <c r="AP77" s="318"/>
      <c r="AQ77" s="318"/>
      <c r="AR77" s="318"/>
      <c r="AS77" s="318"/>
      <c r="AT77" s="318"/>
      <c r="AU77" s="319"/>
      <c r="AV77" s="7"/>
      <c r="AW77" s="204"/>
      <c r="AX77" s="204"/>
      <c r="AY77" s="204"/>
      <c r="AZ77" s="204"/>
      <c r="BA77" s="204"/>
      <c r="BB77" s="204"/>
      <c r="BC77" s="204"/>
      <c r="BD77" s="204"/>
      <c r="BE77" s="204"/>
      <c r="BF77" s="204"/>
      <c r="BG77" s="204"/>
    </row>
    <row r="78" spans="1:59" ht="13.5" customHeight="1">
      <c r="A78" s="3"/>
      <c r="B78" s="296"/>
      <c r="C78" s="297"/>
      <c r="D78" s="298"/>
      <c r="E78" s="302"/>
      <c r="F78" s="303"/>
      <c r="G78" s="303"/>
      <c r="H78" s="303"/>
      <c r="I78" s="304"/>
      <c r="J78" s="308"/>
      <c r="K78" s="309"/>
      <c r="L78" s="309"/>
      <c r="M78" s="310"/>
      <c r="N78" s="314"/>
      <c r="O78" s="315"/>
      <c r="P78" s="315"/>
      <c r="Q78" s="315"/>
      <c r="R78" s="315"/>
      <c r="S78" s="315"/>
      <c r="T78" s="315"/>
      <c r="U78" s="315"/>
      <c r="V78" s="315"/>
      <c r="W78" s="315"/>
      <c r="X78" s="315"/>
      <c r="Y78" s="315"/>
      <c r="Z78" s="315"/>
      <c r="AA78" s="315"/>
      <c r="AB78" s="315"/>
      <c r="AC78" s="315"/>
      <c r="AD78" s="315"/>
      <c r="AE78" s="315"/>
      <c r="AF78" s="315"/>
      <c r="AG78" s="315"/>
      <c r="AH78" s="315"/>
      <c r="AI78" s="315"/>
      <c r="AJ78" s="315"/>
      <c r="AK78" s="315"/>
      <c r="AL78" s="315"/>
      <c r="AM78" s="315"/>
      <c r="AN78" s="315"/>
      <c r="AO78" s="315"/>
      <c r="AP78" s="315"/>
      <c r="AQ78" s="315"/>
      <c r="AR78" s="315"/>
      <c r="AS78" s="315"/>
      <c r="AT78" s="315"/>
      <c r="AU78" s="316"/>
      <c r="AV78" s="7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</row>
    <row r="79" spans="1:59" ht="13.5" customHeight="1">
      <c r="A79" s="3"/>
      <c r="B79" s="299"/>
      <c r="C79" s="300"/>
      <c r="D79" s="301"/>
      <c r="E79" s="305"/>
      <c r="F79" s="306"/>
      <c r="G79" s="306"/>
      <c r="H79" s="306"/>
      <c r="I79" s="307"/>
      <c r="J79" s="311"/>
      <c r="K79" s="312"/>
      <c r="L79" s="312"/>
      <c r="M79" s="313"/>
      <c r="N79" s="317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8"/>
      <c r="AA79" s="318"/>
      <c r="AB79" s="318"/>
      <c r="AC79" s="318"/>
      <c r="AD79" s="318"/>
      <c r="AE79" s="318"/>
      <c r="AF79" s="318"/>
      <c r="AG79" s="318"/>
      <c r="AH79" s="318"/>
      <c r="AI79" s="318"/>
      <c r="AJ79" s="318"/>
      <c r="AK79" s="318"/>
      <c r="AL79" s="318"/>
      <c r="AM79" s="318"/>
      <c r="AN79" s="318"/>
      <c r="AO79" s="318"/>
      <c r="AP79" s="318"/>
      <c r="AQ79" s="318"/>
      <c r="AR79" s="318"/>
      <c r="AS79" s="318"/>
      <c r="AT79" s="318"/>
      <c r="AU79" s="319"/>
      <c r="AV79" s="7"/>
      <c r="AW79" s="204"/>
      <c r="AX79" s="204"/>
      <c r="AY79" s="204"/>
      <c r="AZ79" s="204"/>
      <c r="BA79" s="204"/>
      <c r="BB79" s="204"/>
      <c r="BC79" s="204"/>
      <c r="BD79" s="204"/>
      <c r="BE79" s="204"/>
      <c r="BF79" s="204"/>
      <c r="BG79" s="204"/>
    </row>
    <row r="80" spans="1:59" ht="13.5" customHeight="1">
      <c r="A80" s="3"/>
      <c r="B80" s="296"/>
      <c r="C80" s="297"/>
      <c r="D80" s="298"/>
      <c r="E80" s="302"/>
      <c r="F80" s="303"/>
      <c r="G80" s="303"/>
      <c r="H80" s="303"/>
      <c r="I80" s="304"/>
      <c r="J80" s="308"/>
      <c r="K80" s="309"/>
      <c r="L80" s="309"/>
      <c r="M80" s="310"/>
      <c r="N80" s="314"/>
      <c r="O80" s="315"/>
      <c r="P80" s="315"/>
      <c r="Q80" s="315"/>
      <c r="R80" s="315"/>
      <c r="S80" s="315"/>
      <c r="T80" s="315"/>
      <c r="U80" s="315"/>
      <c r="V80" s="315"/>
      <c r="W80" s="315"/>
      <c r="X80" s="315"/>
      <c r="Y80" s="315"/>
      <c r="Z80" s="315"/>
      <c r="AA80" s="315"/>
      <c r="AB80" s="315"/>
      <c r="AC80" s="315"/>
      <c r="AD80" s="315"/>
      <c r="AE80" s="315"/>
      <c r="AF80" s="315"/>
      <c r="AG80" s="315"/>
      <c r="AH80" s="315"/>
      <c r="AI80" s="315"/>
      <c r="AJ80" s="315"/>
      <c r="AK80" s="315"/>
      <c r="AL80" s="315"/>
      <c r="AM80" s="315"/>
      <c r="AN80" s="315"/>
      <c r="AO80" s="315"/>
      <c r="AP80" s="315"/>
      <c r="AQ80" s="315"/>
      <c r="AR80" s="315"/>
      <c r="AS80" s="315"/>
      <c r="AT80" s="315"/>
      <c r="AU80" s="316"/>
      <c r="AV80" s="7"/>
      <c r="AW80" s="204"/>
      <c r="AX80" s="204"/>
      <c r="AY80" s="204"/>
      <c r="AZ80" s="204"/>
      <c r="BA80" s="204"/>
      <c r="BB80" s="204"/>
      <c r="BC80" s="204"/>
      <c r="BD80" s="204"/>
      <c r="BE80" s="204"/>
      <c r="BF80" s="204"/>
      <c r="BG80" s="204"/>
    </row>
    <row r="81" spans="1:59" ht="13.5" customHeight="1">
      <c r="A81" s="3"/>
      <c r="B81" s="299"/>
      <c r="C81" s="300"/>
      <c r="D81" s="301"/>
      <c r="E81" s="305"/>
      <c r="F81" s="306"/>
      <c r="G81" s="306"/>
      <c r="H81" s="306"/>
      <c r="I81" s="307"/>
      <c r="J81" s="311"/>
      <c r="K81" s="312"/>
      <c r="L81" s="312"/>
      <c r="M81" s="313"/>
      <c r="N81" s="317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8"/>
      <c r="AA81" s="318"/>
      <c r="AB81" s="318"/>
      <c r="AC81" s="318"/>
      <c r="AD81" s="318"/>
      <c r="AE81" s="318"/>
      <c r="AF81" s="318"/>
      <c r="AG81" s="318"/>
      <c r="AH81" s="318"/>
      <c r="AI81" s="318"/>
      <c r="AJ81" s="318"/>
      <c r="AK81" s="318"/>
      <c r="AL81" s="318"/>
      <c r="AM81" s="318"/>
      <c r="AN81" s="318"/>
      <c r="AO81" s="318"/>
      <c r="AP81" s="318"/>
      <c r="AQ81" s="318"/>
      <c r="AR81" s="318"/>
      <c r="AS81" s="318"/>
      <c r="AT81" s="318"/>
      <c r="AU81" s="319"/>
      <c r="AV81" s="7"/>
      <c r="AW81" s="204"/>
      <c r="AX81" s="204"/>
      <c r="AY81" s="204"/>
      <c r="AZ81" s="204"/>
      <c r="BA81" s="204"/>
      <c r="BB81" s="204"/>
      <c r="BC81" s="204"/>
      <c r="BD81" s="204"/>
      <c r="BE81" s="204"/>
      <c r="BF81" s="204"/>
      <c r="BG81" s="204"/>
    </row>
    <row r="82" spans="1:59" ht="13.5" customHeight="1">
      <c r="A82" s="3"/>
      <c r="B82" s="296"/>
      <c r="C82" s="297"/>
      <c r="D82" s="298"/>
      <c r="E82" s="302"/>
      <c r="F82" s="303"/>
      <c r="G82" s="303"/>
      <c r="H82" s="303"/>
      <c r="I82" s="304"/>
      <c r="J82" s="308"/>
      <c r="K82" s="309"/>
      <c r="L82" s="309"/>
      <c r="M82" s="310"/>
      <c r="N82" s="314"/>
      <c r="O82" s="315"/>
      <c r="P82" s="315"/>
      <c r="Q82" s="315"/>
      <c r="R82" s="315"/>
      <c r="S82" s="315"/>
      <c r="T82" s="315"/>
      <c r="U82" s="315"/>
      <c r="V82" s="315"/>
      <c r="W82" s="315"/>
      <c r="X82" s="315"/>
      <c r="Y82" s="315"/>
      <c r="Z82" s="315"/>
      <c r="AA82" s="315"/>
      <c r="AB82" s="315"/>
      <c r="AC82" s="315"/>
      <c r="AD82" s="315"/>
      <c r="AE82" s="315"/>
      <c r="AF82" s="315"/>
      <c r="AG82" s="315"/>
      <c r="AH82" s="315"/>
      <c r="AI82" s="315"/>
      <c r="AJ82" s="315"/>
      <c r="AK82" s="315"/>
      <c r="AL82" s="315"/>
      <c r="AM82" s="315"/>
      <c r="AN82" s="315"/>
      <c r="AO82" s="315"/>
      <c r="AP82" s="315"/>
      <c r="AQ82" s="315"/>
      <c r="AR82" s="315"/>
      <c r="AS82" s="315"/>
      <c r="AT82" s="315"/>
      <c r="AU82" s="316"/>
      <c r="AV82" s="7"/>
      <c r="AW82" s="204"/>
      <c r="AX82" s="204"/>
      <c r="AY82" s="204"/>
      <c r="AZ82" s="204"/>
      <c r="BA82" s="204"/>
      <c r="BB82" s="204"/>
      <c r="BC82" s="204"/>
      <c r="BD82" s="204"/>
      <c r="BE82" s="204"/>
      <c r="BF82" s="204"/>
      <c r="BG82" s="204"/>
    </row>
    <row r="83" spans="1:59" ht="13.5" customHeight="1">
      <c r="A83" s="3"/>
      <c r="B83" s="299"/>
      <c r="C83" s="300"/>
      <c r="D83" s="301"/>
      <c r="E83" s="305"/>
      <c r="F83" s="306"/>
      <c r="G83" s="306"/>
      <c r="H83" s="306"/>
      <c r="I83" s="307"/>
      <c r="J83" s="311"/>
      <c r="K83" s="312"/>
      <c r="L83" s="312"/>
      <c r="M83" s="313"/>
      <c r="N83" s="317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8"/>
      <c r="AA83" s="318"/>
      <c r="AB83" s="318"/>
      <c r="AC83" s="318"/>
      <c r="AD83" s="318"/>
      <c r="AE83" s="318"/>
      <c r="AF83" s="318"/>
      <c r="AG83" s="318"/>
      <c r="AH83" s="318"/>
      <c r="AI83" s="318"/>
      <c r="AJ83" s="318"/>
      <c r="AK83" s="318"/>
      <c r="AL83" s="318"/>
      <c r="AM83" s="318"/>
      <c r="AN83" s="318"/>
      <c r="AO83" s="318"/>
      <c r="AP83" s="318"/>
      <c r="AQ83" s="318"/>
      <c r="AR83" s="318"/>
      <c r="AS83" s="318"/>
      <c r="AT83" s="318"/>
      <c r="AU83" s="319"/>
      <c r="AV83" s="7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</row>
    <row r="84" spans="1:59" ht="13.5" customHeight="1">
      <c r="A84" s="3"/>
      <c r="B84" s="296"/>
      <c r="C84" s="297"/>
      <c r="D84" s="298"/>
      <c r="E84" s="302"/>
      <c r="F84" s="303"/>
      <c r="G84" s="303"/>
      <c r="H84" s="303"/>
      <c r="I84" s="304"/>
      <c r="J84" s="308"/>
      <c r="K84" s="309"/>
      <c r="L84" s="309"/>
      <c r="M84" s="310"/>
      <c r="N84" s="314"/>
      <c r="O84" s="315"/>
      <c r="P84" s="315"/>
      <c r="Q84" s="315"/>
      <c r="R84" s="315"/>
      <c r="S84" s="315"/>
      <c r="T84" s="315"/>
      <c r="U84" s="315"/>
      <c r="V84" s="315"/>
      <c r="W84" s="315"/>
      <c r="X84" s="315"/>
      <c r="Y84" s="315"/>
      <c r="Z84" s="315"/>
      <c r="AA84" s="315"/>
      <c r="AB84" s="315"/>
      <c r="AC84" s="315"/>
      <c r="AD84" s="315"/>
      <c r="AE84" s="315"/>
      <c r="AF84" s="315"/>
      <c r="AG84" s="315"/>
      <c r="AH84" s="315"/>
      <c r="AI84" s="315"/>
      <c r="AJ84" s="315"/>
      <c r="AK84" s="315"/>
      <c r="AL84" s="315"/>
      <c r="AM84" s="315"/>
      <c r="AN84" s="315"/>
      <c r="AO84" s="315"/>
      <c r="AP84" s="315"/>
      <c r="AQ84" s="315"/>
      <c r="AR84" s="315"/>
      <c r="AS84" s="315"/>
      <c r="AT84" s="315"/>
      <c r="AU84" s="316"/>
      <c r="AV84" s="7"/>
      <c r="AW84" s="204"/>
      <c r="AX84" s="204"/>
      <c r="AY84" s="204"/>
      <c r="AZ84" s="204"/>
      <c r="BA84" s="204"/>
      <c r="BB84" s="204"/>
      <c r="BC84" s="204"/>
      <c r="BD84" s="204"/>
      <c r="BE84" s="204"/>
      <c r="BF84" s="204"/>
      <c r="BG84" s="204"/>
    </row>
    <row r="85" spans="1:59" ht="13.5" customHeight="1">
      <c r="A85" s="3"/>
      <c r="B85" s="299"/>
      <c r="C85" s="300"/>
      <c r="D85" s="301"/>
      <c r="E85" s="305"/>
      <c r="F85" s="306"/>
      <c r="G85" s="306"/>
      <c r="H85" s="306"/>
      <c r="I85" s="307"/>
      <c r="J85" s="311"/>
      <c r="K85" s="312"/>
      <c r="L85" s="312"/>
      <c r="M85" s="313"/>
      <c r="N85" s="317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8"/>
      <c r="AA85" s="318"/>
      <c r="AB85" s="318"/>
      <c r="AC85" s="318"/>
      <c r="AD85" s="318"/>
      <c r="AE85" s="318"/>
      <c r="AF85" s="318"/>
      <c r="AG85" s="318"/>
      <c r="AH85" s="318"/>
      <c r="AI85" s="318"/>
      <c r="AJ85" s="318"/>
      <c r="AK85" s="318"/>
      <c r="AL85" s="318"/>
      <c r="AM85" s="318"/>
      <c r="AN85" s="318"/>
      <c r="AO85" s="318"/>
      <c r="AP85" s="318"/>
      <c r="AQ85" s="318"/>
      <c r="AR85" s="318"/>
      <c r="AS85" s="318"/>
      <c r="AT85" s="318"/>
      <c r="AU85" s="319"/>
      <c r="AV85" s="7"/>
      <c r="AW85" s="204"/>
      <c r="AX85" s="204"/>
      <c r="AY85" s="204"/>
      <c r="AZ85" s="204"/>
      <c r="BA85" s="204"/>
      <c r="BB85" s="204"/>
      <c r="BC85" s="204"/>
      <c r="BD85" s="204"/>
      <c r="BE85" s="204"/>
      <c r="BF85" s="204"/>
      <c r="BG85" s="204"/>
    </row>
    <row r="86" spans="1:59" ht="13.5" customHeight="1" thickBot="1">
      <c r="A86" s="8"/>
      <c r="B86" s="9"/>
      <c r="C86" s="10"/>
      <c r="D86" s="11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12"/>
      <c r="AW86" s="204"/>
      <c r="AX86" s="223" t="str">
        <f>HYPERLINK("#$A$1","目次へ")</f>
        <v>目次へ</v>
      </c>
      <c r="AY86" s="223"/>
      <c r="AZ86" s="204"/>
      <c r="BA86" s="204"/>
      <c r="BB86" s="204"/>
      <c r="BC86" s="204"/>
      <c r="BD86" s="204"/>
      <c r="BE86" s="204"/>
      <c r="BF86" s="204"/>
      <c r="BG86" s="204"/>
    </row>
    <row r="87" spans="1:59" ht="13.5" customHeight="1">
      <c r="A87" s="225" t="s">
        <v>39</v>
      </c>
      <c r="B87" s="226"/>
      <c r="C87" s="227"/>
      <c r="D87" s="228" t="str">
        <f>システム名</f>
        <v>○✕システム</v>
      </c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30"/>
      <c r="P87" s="231" t="s">
        <v>0</v>
      </c>
      <c r="Q87" s="226"/>
      <c r="R87" s="227"/>
      <c r="S87" s="232" t="str">
        <f>IF(顧客名&lt;&gt;"",顧客名,"")</f>
        <v>○✕○✕株式会社</v>
      </c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4"/>
      <c r="AG87" s="235" t="s">
        <v>35</v>
      </c>
      <c r="AH87" s="235"/>
      <c r="AI87" s="235"/>
      <c r="AJ87" s="236">
        <f>作成日</f>
        <v>44287</v>
      </c>
      <c r="AK87" s="237"/>
      <c r="AL87" s="237"/>
      <c r="AM87" s="237"/>
      <c r="AN87" s="237"/>
      <c r="AO87" s="235" t="s">
        <v>36</v>
      </c>
      <c r="AP87" s="235"/>
      <c r="AQ87" s="235"/>
      <c r="AR87" s="238" t="str">
        <f>作成者</f>
        <v>○○　✕✕</v>
      </c>
      <c r="AS87" s="239"/>
      <c r="AT87" s="239"/>
      <c r="AU87" s="239"/>
      <c r="AV87" s="240"/>
      <c r="AW87" s="204"/>
      <c r="AX87" s="241" t="s">
        <v>179</v>
      </c>
      <c r="AY87" s="241"/>
      <c r="AZ87" s="204"/>
    </row>
    <row r="88" spans="1:59" ht="13.5" customHeight="1">
      <c r="A88" s="242" t="s">
        <v>30</v>
      </c>
      <c r="B88" s="243"/>
      <c r="C88" s="244"/>
      <c r="D88" s="245"/>
      <c r="E88" s="246"/>
      <c r="F88" s="246"/>
      <c r="G88" s="246"/>
      <c r="H88" s="246"/>
      <c r="I88" s="246"/>
      <c r="J88" s="246"/>
      <c r="K88" s="246"/>
      <c r="L88" s="246"/>
      <c r="M88" s="246"/>
      <c r="N88" s="246"/>
      <c r="O88" s="247"/>
      <c r="P88" s="248" t="s">
        <v>2</v>
      </c>
      <c r="Q88" s="243"/>
      <c r="R88" s="244"/>
      <c r="S88" s="249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7"/>
      <c r="AG88" s="250" t="s">
        <v>34</v>
      </c>
      <c r="AH88" s="250"/>
      <c r="AI88" s="250"/>
      <c r="AJ88" s="251"/>
      <c r="AK88" s="252"/>
      <c r="AL88" s="252"/>
      <c r="AM88" s="252"/>
      <c r="AN88" s="252"/>
      <c r="AO88" s="250" t="s">
        <v>33</v>
      </c>
      <c r="AP88" s="250"/>
      <c r="AQ88" s="250"/>
      <c r="AR88" s="253"/>
      <c r="AS88" s="254"/>
      <c r="AT88" s="254"/>
      <c r="AU88" s="254"/>
      <c r="AV88" s="255"/>
      <c r="AW88" s="204"/>
      <c r="AX88" s="241"/>
      <c r="AY88" s="241"/>
      <c r="AZ88" s="204"/>
    </row>
    <row r="89" spans="1:59" ht="13.5" customHeight="1">
      <c r="A89" s="47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48"/>
      <c r="AW89" s="204"/>
      <c r="AX89" s="204"/>
      <c r="AY89" s="204"/>
      <c r="AZ89" s="204"/>
    </row>
    <row r="90" spans="1:59" ht="13.5" customHeight="1">
      <c r="A90" s="3"/>
      <c r="B90" s="1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1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  <c r="AW90" s="204"/>
      <c r="AX90" s="204"/>
      <c r="AY90" s="204"/>
      <c r="AZ90" s="204"/>
    </row>
    <row r="91" spans="1:59" ht="13.5" customHeight="1">
      <c r="A91" s="9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96"/>
      <c r="AW91" s="204"/>
      <c r="AX91" s="204"/>
      <c r="AY91" s="204"/>
      <c r="AZ91" s="204"/>
    </row>
    <row r="92" spans="1:59" ht="13.5" customHeight="1">
      <c r="A92" s="9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96"/>
      <c r="AW92" s="204"/>
      <c r="AX92" s="204"/>
      <c r="AY92" s="204"/>
      <c r="AZ92" s="204"/>
    </row>
    <row r="93" spans="1:59" ht="13.5" customHeight="1">
      <c r="A93" s="9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96"/>
      <c r="AW93" s="204"/>
      <c r="AX93" s="204"/>
      <c r="AY93" s="204"/>
      <c r="AZ93" s="204"/>
    </row>
    <row r="94" spans="1:59" ht="13.5" customHeight="1">
      <c r="A94" s="9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96"/>
      <c r="AW94" s="204"/>
      <c r="AX94" s="204"/>
      <c r="AY94" s="204"/>
      <c r="AZ94" s="204"/>
    </row>
    <row r="95" spans="1:59" ht="13.5" customHeight="1">
      <c r="A95" s="95"/>
      <c r="B95" s="14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96"/>
      <c r="AW95" s="204"/>
      <c r="AX95" s="204"/>
      <c r="AY95" s="204"/>
      <c r="AZ95" s="204"/>
    </row>
    <row r="96" spans="1:59" ht="13.5" customHeight="1">
      <c r="A96" s="95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96"/>
      <c r="AW96" s="204"/>
      <c r="AX96" s="204"/>
      <c r="AY96" s="204"/>
      <c r="AZ96" s="204"/>
    </row>
    <row r="97" spans="1:52" ht="13.5" customHeight="1">
      <c r="A97" s="9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96"/>
      <c r="AW97" s="204"/>
      <c r="AX97" s="204"/>
      <c r="AY97" s="204"/>
      <c r="AZ97" s="204"/>
    </row>
    <row r="98" spans="1:52" ht="13.5" customHeight="1">
      <c r="A98" s="9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96"/>
      <c r="AW98" s="204"/>
      <c r="AX98" s="204"/>
      <c r="AY98" s="204"/>
      <c r="AZ98" s="204"/>
    </row>
    <row r="99" spans="1:52" ht="13.5" customHeight="1">
      <c r="A99" s="95"/>
      <c r="B99" s="14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96"/>
      <c r="AW99" s="204"/>
      <c r="AX99" s="204"/>
      <c r="AY99" s="204"/>
      <c r="AZ99" s="204"/>
    </row>
    <row r="100" spans="1:52" ht="13.5" customHeight="1">
      <c r="A100" s="95"/>
      <c r="B100" s="204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96"/>
      <c r="AW100" s="204"/>
      <c r="AX100" s="204"/>
      <c r="AY100" s="204"/>
      <c r="AZ100" s="204"/>
    </row>
    <row r="101" spans="1:52" ht="13.5" customHeight="1">
      <c r="A101" s="95"/>
      <c r="B101" s="204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96"/>
      <c r="AW101" s="204"/>
      <c r="AX101" s="204"/>
      <c r="AY101" s="204"/>
      <c r="AZ101" s="204"/>
    </row>
    <row r="102" spans="1:52" ht="13.5" customHeight="1">
      <c r="A102" s="95"/>
      <c r="B102" s="204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96"/>
      <c r="AW102" s="204"/>
      <c r="AX102" s="204"/>
      <c r="AY102" s="204"/>
      <c r="AZ102" s="204"/>
    </row>
    <row r="103" spans="1:52" ht="13.5" customHeight="1">
      <c r="A103" s="95"/>
      <c r="B103" s="204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96"/>
      <c r="AW103" s="204"/>
      <c r="AX103" s="204"/>
      <c r="AY103" s="204"/>
      <c r="AZ103" s="204"/>
    </row>
    <row r="104" spans="1:52" ht="13.5" customHeight="1">
      <c r="A104" s="95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96"/>
      <c r="AW104" s="204"/>
      <c r="AX104" s="204"/>
      <c r="AY104" s="204"/>
      <c r="AZ104" s="204"/>
    </row>
    <row r="105" spans="1:52" ht="13.5" customHeight="1">
      <c r="A105" s="95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96"/>
      <c r="AW105" s="204"/>
      <c r="AX105" s="204"/>
      <c r="AY105" s="204"/>
      <c r="AZ105" s="204"/>
    </row>
    <row r="106" spans="1:52" ht="13.5" customHeight="1">
      <c r="A106" s="9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96"/>
      <c r="AW106" s="204"/>
      <c r="AX106" s="204"/>
      <c r="AY106" s="204"/>
      <c r="AZ106" s="204"/>
    </row>
    <row r="107" spans="1:52" ht="13.5" customHeight="1">
      <c r="A107" s="9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96"/>
      <c r="AW107" s="204"/>
      <c r="AX107" s="204"/>
      <c r="AY107" s="204"/>
      <c r="AZ107" s="204"/>
    </row>
    <row r="108" spans="1:52" ht="13.5" customHeight="1">
      <c r="A108" s="9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96"/>
      <c r="AW108" s="204"/>
      <c r="AX108" s="204"/>
      <c r="AY108" s="204"/>
      <c r="AZ108" s="204"/>
    </row>
    <row r="109" spans="1:52" ht="13.5" customHeight="1">
      <c r="A109" s="9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96"/>
      <c r="AW109" s="204"/>
      <c r="AX109" s="204"/>
      <c r="AY109" s="204"/>
      <c r="AZ109" s="204"/>
    </row>
    <row r="110" spans="1:52" ht="13.5" customHeight="1">
      <c r="A110" s="9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96"/>
      <c r="AW110" s="204"/>
      <c r="AX110" s="204"/>
      <c r="AY110" s="204"/>
      <c r="AZ110" s="204"/>
    </row>
    <row r="111" spans="1:52" ht="13.5" customHeight="1">
      <c r="A111" s="9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96"/>
      <c r="AW111" s="204"/>
      <c r="AX111" s="204"/>
      <c r="AY111" s="204"/>
      <c r="AZ111" s="204"/>
    </row>
    <row r="112" spans="1:52" ht="13.5" customHeight="1">
      <c r="A112" s="95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96"/>
      <c r="AW112" s="204"/>
      <c r="AX112" s="204"/>
      <c r="AY112" s="204"/>
      <c r="AZ112" s="204"/>
    </row>
    <row r="113" spans="1:52" ht="13.5" customHeight="1">
      <c r="A113" s="95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96"/>
      <c r="AW113" s="204"/>
      <c r="AX113" s="204"/>
      <c r="AY113" s="204"/>
      <c r="AZ113" s="204"/>
    </row>
    <row r="114" spans="1:52" ht="13.5" customHeight="1">
      <c r="A114" s="9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96"/>
      <c r="AW114" s="204"/>
      <c r="AX114" s="204"/>
      <c r="AY114" s="204"/>
      <c r="AZ114" s="204"/>
    </row>
    <row r="115" spans="1:52" ht="13.5" customHeight="1">
      <c r="A115" s="9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96"/>
      <c r="AW115" s="204"/>
      <c r="AX115" s="204"/>
      <c r="AY115" s="204"/>
      <c r="AZ115" s="204"/>
    </row>
    <row r="116" spans="1:52" ht="13.5" customHeight="1">
      <c r="A116" s="9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96"/>
      <c r="AW116" s="204"/>
      <c r="AX116" s="204"/>
      <c r="AY116" s="204"/>
      <c r="AZ116" s="204"/>
    </row>
    <row r="117" spans="1:52" ht="13.5" customHeight="1">
      <c r="A117" s="9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96"/>
      <c r="AW117" s="204"/>
      <c r="AX117" s="204"/>
      <c r="AY117" s="204"/>
      <c r="AZ117" s="204"/>
    </row>
    <row r="118" spans="1:52" ht="13.5" customHeight="1">
      <c r="A118" s="9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96"/>
      <c r="AW118" s="204"/>
      <c r="AX118" s="204"/>
      <c r="AY118" s="204"/>
      <c r="AZ118" s="204"/>
    </row>
    <row r="119" spans="1:52" ht="13.5" customHeight="1">
      <c r="A119" s="9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96"/>
      <c r="AW119" s="204"/>
      <c r="AX119" s="204"/>
      <c r="AY119" s="204"/>
      <c r="AZ119" s="204"/>
    </row>
    <row r="120" spans="1:52" ht="13.5" customHeight="1">
      <c r="A120" s="95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96"/>
      <c r="AW120" s="204"/>
      <c r="AX120" s="204"/>
      <c r="AY120" s="204"/>
      <c r="AZ120" s="204"/>
    </row>
    <row r="121" spans="1:52" ht="13.5" customHeight="1">
      <c r="A121" s="95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96"/>
      <c r="AW121" s="204"/>
      <c r="AX121" s="204"/>
      <c r="AY121" s="204"/>
      <c r="AZ121" s="204"/>
    </row>
    <row r="122" spans="1:52" ht="13.5" customHeight="1">
      <c r="A122" s="9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96"/>
      <c r="AW122" s="204"/>
      <c r="AX122" s="204"/>
      <c r="AY122" s="204"/>
      <c r="AZ122" s="204"/>
    </row>
    <row r="123" spans="1:52" ht="13.5" customHeight="1">
      <c r="A123" s="9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96"/>
      <c r="AW123" s="204"/>
      <c r="AX123" s="204"/>
      <c r="AY123" s="204"/>
      <c r="AZ123" s="204"/>
    </row>
    <row r="124" spans="1:52" ht="13.5" customHeight="1">
      <c r="A124" s="9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96"/>
      <c r="AW124" s="204"/>
      <c r="AX124" s="204"/>
      <c r="AY124" s="204"/>
      <c r="AZ124" s="204"/>
    </row>
    <row r="125" spans="1:52" ht="13.5" customHeight="1">
      <c r="A125" s="9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96"/>
      <c r="AW125" s="204"/>
      <c r="AX125" s="204"/>
      <c r="AY125" s="204"/>
      <c r="AZ125" s="204"/>
    </row>
    <row r="126" spans="1:52" ht="13.5" customHeight="1">
      <c r="A126" s="9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96"/>
      <c r="AW126" s="204"/>
      <c r="AX126" s="204"/>
      <c r="AY126" s="204"/>
      <c r="AZ126" s="204"/>
    </row>
    <row r="127" spans="1:52" ht="13.5" customHeight="1">
      <c r="A127" s="9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96"/>
      <c r="AW127" s="204"/>
      <c r="AX127" s="204"/>
      <c r="AY127" s="204"/>
      <c r="AZ127" s="204"/>
    </row>
    <row r="128" spans="1:52" ht="13.5" customHeight="1">
      <c r="A128" s="95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96"/>
      <c r="AW128" s="204"/>
      <c r="AX128" s="204"/>
      <c r="AY128" s="204"/>
      <c r="AZ128" s="204"/>
    </row>
    <row r="129" spans="1:52" ht="13.5" customHeight="1" thickBot="1">
      <c r="A129" s="97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98"/>
      <c r="AW129" s="204"/>
      <c r="AX129" s="223" t="str">
        <f>HYPERLINK("#$A$1","目次へ")</f>
        <v>目次へ</v>
      </c>
      <c r="AY129" s="224"/>
      <c r="AZ129" s="204"/>
    </row>
  </sheetData>
  <mergeCells count="134">
    <mergeCell ref="AX129:AY129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86:AY86"/>
    <mergeCell ref="A44:C44"/>
    <mergeCell ref="D44:O44"/>
    <mergeCell ref="P44:R44"/>
    <mergeCell ref="S44:AF44"/>
    <mergeCell ref="AG44:AI44"/>
    <mergeCell ref="J50:M51"/>
    <mergeCell ref="N50:AU51"/>
    <mergeCell ref="B56:D57"/>
    <mergeCell ref="E56:I57"/>
    <mergeCell ref="J56:M57"/>
    <mergeCell ref="AX43:AY43"/>
    <mergeCell ref="A87:C87"/>
    <mergeCell ref="D87:O87"/>
    <mergeCell ref="P87:R87"/>
    <mergeCell ref="S87:AF87"/>
    <mergeCell ref="AG87:AI87"/>
    <mergeCell ref="AJ87:AN87"/>
    <mergeCell ref="AO87:AQ87"/>
    <mergeCell ref="AR87:AV87"/>
    <mergeCell ref="AX87:AY88"/>
    <mergeCell ref="A88:C88"/>
    <mergeCell ref="D88:O88"/>
    <mergeCell ref="P88:R88"/>
    <mergeCell ref="S88:AF88"/>
    <mergeCell ref="AG88:AI88"/>
    <mergeCell ref="AJ88:AN88"/>
    <mergeCell ref="AO88:AQ88"/>
    <mergeCell ref="AR88:AV88"/>
    <mergeCell ref="B48:D49"/>
    <mergeCell ref="E48:I49"/>
    <mergeCell ref="J48:M49"/>
    <mergeCell ref="N48:AU49"/>
    <mergeCell ref="B50:D51"/>
    <mergeCell ref="E50:I51"/>
    <mergeCell ref="AX1:AY2"/>
    <mergeCell ref="A2:C2"/>
    <mergeCell ref="D2:O2"/>
    <mergeCell ref="P2:R2"/>
    <mergeCell ref="S2:AF2"/>
    <mergeCell ref="AG2:AI2"/>
    <mergeCell ref="AJ2:AN2"/>
    <mergeCell ref="AO2:AQ2"/>
    <mergeCell ref="AR2:AV2"/>
    <mergeCell ref="A1:C1"/>
    <mergeCell ref="D1:O1"/>
    <mergeCell ref="P1:R1"/>
    <mergeCell ref="S1:AF1"/>
    <mergeCell ref="AG1:AI1"/>
    <mergeCell ref="AJ1:AN1"/>
    <mergeCell ref="AO1:AQ1"/>
    <mergeCell ref="AR1:AV1"/>
    <mergeCell ref="B4:C4"/>
    <mergeCell ref="D4:W4"/>
    <mergeCell ref="B5:C5"/>
    <mergeCell ref="D5:W5"/>
    <mergeCell ref="B52:D53"/>
    <mergeCell ref="E52:I53"/>
    <mergeCell ref="J52:M53"/>
    <mergeCell ref="N52:AU53"/>
    <mergeCell ref="B54:D55"/>
    <mergeCell ref="E54:I55"/>
    <mergeCell ref="J54:M55"/>
    <mergeCell ref="N54:AU55"/>
    <mergeCell ref="N56:AU57"/>
    <mergeCell ref="B58:D59"/>
    <mergeCell ref="E58:I59"/>
    <mergeCell ref="J58:M59"/>
    <mergeCell ref="N58:AU59"/>
    <mergeCell ref="B60:D61"/>
    <mergeCell ref="E60:I61"/>
    <mergeCell ref="J60:M61"/>
    <mergeCell ref="N60:AU61"/>
    <mergeCell ref="B62:D63"/>
    <mergeCell ref="E62:I63"/>
    <mergeCell ref="J62:M63"/>
    <mergeCell ref="N62:AU63"/>
    <mergeCell ref="B64:D65"/>
    <mergeCell ref="E64:I65"/>
    <mergeCell ref="J64:M65"/>
    <mergeCell ref="N64:AU65"/>
    <mergeCell ref="B66:D67"/>
    <mergeCell ref="E66:I67"/>
    <mergeCell ref="J66:M67"/>
    <mergeCell ref="N66:AU67"/>
    <mergeCell ref="B68:D69"/>
    <mergeCell ref="E68:I69"/>
    <mergeCell ref="J68:M69"/>
    <mergeCell ref="N68:AU69"/>
    <mergeCell ref="B70:D71"/>
    <mergeCell ref="E70:I71"/>
    <mergeCell ref="J70:M71"/>
    <mergeCell ref="N70:AU71"/>
    <mergeCell ref="B72:D73"/>
    <mergeCell ref="E72:I73"/>
    <mergeCell ref="J72:M73"/>
    <mergeCell ref="N72:AU73"/>
    <mergeCell ref="B74:D75"/>
    <mergeCell ref="E74:I75"/>
    <mergeCell ref="J74:M75"/>
    <mergeCell ref="N74:AU75"/>
    <mergeCell ref="B82:D83"/>
    <mergeCell ref="E82:I83"/>
    <mergeCell ref="J82:M83"/>
    <mergeCell ref="N82:AU83"/>
    <mergeCell ref="B84:D85"/>
    <mergeCell ref="E84:I85"/>
    <mergeCell ref="J84:M85"/>
    <mergeCell ref="N84:AU85"/>
    <mergeCell ref="B76:D77"/>
    <mergeCell ref="E76:I77"/>
    <mergeCell ref="J76:M77"/>
    <mergeCell ref="N76:AU77"/>
    <mergeCell ref="B78:D79"/>
    <mergeCell ref="E78:I79"/>
    <mergeCell ref="J78:M79"/>
    <mergeCell ref="N78:AU79"/>
    <mergeCell ref="B80:D81"/>
    <mergeCell ref="E80:I81"/>
    <mergeCell ref="J80:M81"/>
    <mergeCell ref="N80:AU81"/>
  </mergeCells>
  <phoneticPr fontId="44"/>
  <dataValidations count="1">
    <dataValidation imeMode="off" allowBlank="1" showInputMessage="1" showErrorMessage="1" sqref="B48:D63"/>
  </dataValidations>
  <hyperlinks>
    <hyperlink ref="D4:W4" location="#A44" display="#A44"/>
    <hyperlink ref="D5:W5" location="#A87" display="#A87"/>
  </hyperlinks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95" fitToHeight="0" orientation="landscape" useFirstPageNumber="1" r:id="rId1"/>
  <headerFooter alignWithMargins="0">
    <oddFooter>&amp;C- &amp;P -</oddFooter>
  </headerFooter>
  <rowBreaks count="2" manualBreakCount="2">
    <brk id="43" max="47" man="1"/>
    <brk id="86" max="47" man="1"/>
  </rowBreaks>
  <colBreaks count="1" manualBreakCount="1">
    <brk id="48" max="988" man="1"/>
  </colBreaks>
</worksheet>
</file>

<file path=customUI/_rels/customUI14.xml.rels><?xml version="1.0" encoding="UTF-8" standalone="yes"?>
<Relationships xmlns="http://schemas.openxmlformats.org/package/2006/relationships"><Relationship Id="SheetInsert" Type="http://schemas.openxmlformats.org/officeDocument/2006/relationships/image" Target="images/SheetInsert.png"/></Relationships>
</file>

<file path=customUI/customUI14.xml><?xml version="1.0" encoding="utf-8"?>
<customUI xmlns="http://schemas.microsoft.com/office/2009/07/customui">
  <ribbon>
    <tabs>
      <tab id="CustomTab" label="設計書">
        <group id="Group1" label="基本">
          <button id="Button1" image="SheetInsert" size="large" label="ページ追加" onAction="Main.AddPage"/>
          <button id="Button2" imageMso="SlideMasterTextPlaceholderInsert" size="large" label="目次作成" onAction="Main.MakeMenu"/>
          <button id="Button3" imageMso="FilePrintQuick" size="large" label="印刷範囲設定" onAction="Main.SetPrintArea"/>
          <dynamicMenu id="目次一覧" size="large" label="目次一覧" invalidateContentOnDrop="true" imageMso="SlideMasterTextPlaceholderInsert" getContent="Main.getMenuList"/>
        </group>
      </tab>
    </tabs>
  </ribbon>
  <backstage>
    <tab id="tab1" label="設計書" visible="true">
      <firstColumn>
        <group id="grp1" label="更新情報" visible="true">
          <topItems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21 B.Koizumi All Rights Reserved."/>
            <labelControl id="cp0912" label="最新ファイルは以下からダウンロードしてください"/>
            <hyperlink id="cp0913" label="Excel-VBA" target="https://github.com/bkoizumi/Template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20</vt:i4>
      </vt:variant>
    </vt:vector>
  </HeadingPairs>
  <TitlesOfParts>
    <vt:vector size="26" baseType="lpstr">
      <vt:lpstr>設定</vt:lpstr>
      <vt:lpstr>Notice</vt:lpstr>
      <vt:lpstr>Copy</vt:lpstr>
      <vt:lpstr>表紙 _縦</vt:lpstr>
      <vt:lpstr>表紙_横</vt:lpstr>
      <vt:lpstr>設計書</vt:lpstr>
      <vt:lpstr>BaseURL</vt:lpstr>
      <vt:lpstr>debugMode</vt:lpstr>
      <vt:lpstr>PageLine</vt:lpstr>
      <vt:lpstr>設計書!Print_Area</vt:lpstr>
      <vt:lpstr>'表紙 _縦'!Print_Area</vt:lpstr>
      <vt:lpstr>表紙_横!Print_Area</vt:lpstr>
      <vt:lpstr>Toc1StartColLine</vt:lpstr>
      <vt:lpstr>Toc1StartLine</vt:lpstr>
      <vt:lpstr>Toc2StartColLine</vt:lpstr>
      <vt:lpstr>TocCenterColLine</vt:lpstr>
      <vt:lpstr>TocMaxCnt</vt:lpstr>
      <vt:lpstr>TocTitle</vt:lpstr>
      <vt:lpstr>システム名</vt:lpstr>
      <vt:lpstr>プロジェクト名</vt:lpstr>
      <vt:lpstr>改訂日</vt:lpstr>
      <vt:lpstr>改訂番号</vt:lpstr>
      <vt:lpstr>顧客名</vt:lpstr>
      <vt:lpstr>作成者</vt:lpstr>
      <vt:lpstr>作成日</vt:lpstr>
      <vt:lpstr>設計書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設計書</dc:title>
  <dc:creator>B.Koizumi</dc:creator>
  <cp:lastModifiedBy>小泉　文平</cp:lastModifiedBy>
  <cp:revision>1</cp:revision>
  <cp:lastPrinted>2021-09-10T01:22:31Z</cp:lastPrinted>
  <dcterms:created xsi:type="dcterms:W3CDTF">1997-01-08T22:48:59Z</dcterms:created>
  <dcterms:modified xsi:type="dcterms:W3CDTF">2021-09-21T02:07:42Z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907750de-7f4f-49ff-85dc-d50670dbafe3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control idQ="doc:Button1" visible="true" imageMso="ViewFreezePanesGallery"/>
        <mso:control idQ="doc:Button2" visible="true" imageMso="SlideMasterTextPlaceholderInsert"/>
        <mso:control idQ="doc:Button3" visible="true" imageMso="FilePrintQuick"/>
        <mso:control idQ="doc:目次一覧" visible="true" imageMso="SlideMasterTextPlaceholderInsert"/>
      </mso:documentControls>
    </mso:qat>
  </mso:ribbon>
</mso:customUI>
</file>