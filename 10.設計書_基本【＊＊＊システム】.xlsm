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8a866c0d84404af8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pace\VBA\Template\"/>
    </mc:Choice>
  </mc:AlternateContent>
  <bookViews>
    <workbookView xWindow="0" yWindow="0" windowWidth="28800" windowHeight="11760" tabRatio="841" activeTab="6"/>
  </bookViews>
  <sheets>
    <sheet name="設定" sheetId="24" r:id="rId1"/>
    <sheet name="Notice" sheetId="25" r:id="rId2"/>
    <sheet name="設定2" sheetId="15" r:id="rId3"/>
    <sheet name="Copy" sheetId="19" r:id="rId4"/>
    <sheet name="表紙 (縦)" sheetId="22" r:id="rId5"/>
    <sheet name="表紙（横）" sheetId="16" r:id="rId6"/>
    <sheet name="設計書" sheetId="23" r:id="rId7"/>
  </sheets>
  <functionGroups builtInGroupCount="18"/>
  <externalReferences>
    <externalReference r:id="rId8"/>
  </externalReferences>
  <definedNames>
    <definedName name="BaseURL">設定!$E$11</definedName>
    <definedName name="debugMode">設定!$B$5</definedName>
    <definedName name="PageLine">設定!$B$7</definedName>
    <definedName name="_xlnm.Print_Area" localSheetId="6">設計書!$A$1:$AV$172</definedName>
    <definedName name="_xlnm.Print_Area" localSheetId="4">'表紙 (縦)'!$A$1:$AF$62</definedName>
    <definedName name="_xlnm.Print_Area" localSheetId="5">'表紙（横）'!$A$1:$AU$43</definedName>
    <definedName name="Toc1StartColLine">設定!$B$10</definedName>
    <definedName name="Toc1StartLine">設定!$B$9</definedName>
    <definedName name="Toc2StartColLine">設定!$B$13</definedName>
    <definedName name="TocCenterColLine">設定!$B$12</definedName>
    <definedName name="TocMaxCnt">設定!$B$15</definedName>
    <definedName name="TocTitle">設定!$B$11</definedName>
    <definedName name="システム名">設定!$E$9</definedName>
    <definedName name="プロジェクト名">設定!$E$8</definedName>
    <definedName name="顧客名">設定!$E$5</definedName>
    <definedName name="作成者">設定!$E$7</definedName>
    <definedName name="作成日">設定!$E$6</definedName>
    <definedName name="設計書">設定!$E$10</definedName>
  </definedNames>
  <calcPr calcId="162913"/>
</workbook>
</file>

<file path=xl/calcChain.xml><?xml version="1.0" encoding="utf-8"?>
<calcChain xmlns="http://schemas.openxmlformats.org/spreadsheetml/2006/main">
  <c r="AX86" i="23" l="1"/>
  <c r="AR44" i="23"/>
  <c r="AJ44" i="23"/>
  <c r="S44" i="23"/>
  <c r="D44" i="23"/>
  <c r="AX344" i="23" l="1"/>
  <c r="AR302" i="23"/>
  <c r="AJ302" i="23"/>
  <c r="S302" i="23"/>
  <c r="D302" i="23"/>
  <c r="AX301" i="23"/>
  <c r="AR259" i="23"/>
  <c r="AJ259" i="23"/>
  <c r="S259" i="23"/>
  <c r="D259" i="23"/>
  <c r="AX258" i="23"/>
  <c r="AR216" i="23"/>
  <c r="AJ216" i="23"/>
  <c r="S216" i="23"/>
  <c r="D216" i="23"/>
  <c r="AX215" i="23"/>
  <c r="AR173" i="23"/>
  <c r="AJ173" i="23"/>
  <c r="S173" i="23"/>
  <c r="D173" i="23"/>
  <c r="AX172" i="23"/>
  <c r="AR130" i="23"/>
  <c r="AJ130" i="23"/>
  <c r="S130" i="23"/>
  <c r="D130" i="23"/>
  <c r="AX129" i="23"/>
  <c r="AR87" i="23"/>
  <c r="AJ87" i="23"/>
  <c r="S87" i="23"/>
  <c r="D87" i="23"/>
  <c r="AX43" i="23"/>
  <c r="AR1" i="23"/>
  <c r="AJ1" i="23"/>
  <c r="S1" i="23"/>
  <c r="D1" i="23"/>
  <c r="AX86" i="19" l="1"/>
  <c r="AR44" i="19"/>
  <c r="AJ44" i="19"/>
  <c r="S44" i="19"/>
  <c r="D44" i="19"/>
  <c r="E10" i="24" l="1"/>
  <c r="AR259" i="19" l="1"/>
  <c r="AJ259" i="19"/>
  <c r="S259" i="19"/>
  <c r="D259" i="19"/>
  <c r="AX301" i="19"/>
  <c r="AR216" i="19"/>
  <c r="AJ216" i="19"/>
  <c r="S216" i="19"/>
  <c r="D216" i="19"/>
  <c r="AX258" i="19"/>
  <c r="S302" i="19" l="1"/>
  <c r="D302" i="19"/>
  <c r="S173" i="19"/>
  <c r="D173" i="19"/>
  <c r="S130" i="19"/>
  <c r="D130" i="19"/>
  <c r="S87" i="19"/>
  <c r="D87" i="19"/>
  <c r="S1" i="19"/>
  <c r="D1" i="19"/>
  <c r="E8" i="15" l="1"/>
  <c r="B2" i="22" l="1"/>
  <c r="C1" i="16"/>
  <c r="AX344" i="19" l="1"/>
  <c r="AX215" i="19"/>
  <c r="AX129" i="19"/>
  <c r="AX172" i="19"/>
  <c r="AR302" i="19" l="1"/>
  <c r="AJ302" i="19"/>
  <c r="AX43" i="19" l="1"/>
  <c r="AR130" i="19" l="1"/>
  <c r="AJ130" i="19"/>
  <c r="AR173" i="19"/>
  <c r="AJ173" i="19"/>
  <c r="AR87" i="19"/>
  <c r="AJ87" i="19"/>
  <c r="AR1" i="19"/>
  <c r="AJ1" i="19"/>
  <c r="A4" i="16" l="1"/>
  <c r="A5" i="22"/>
  <c r="AC60" i="22" l="1"/>
  <c r="AR42" i="16"/>
  <c r="X60" i="22" l="1"/>
  <c r="AM42" i="16"/>
</calcChain>
</file>

<file path=xl/sharedStrings.xml><?xml version="1.0" encoding="utf-8"?>
<sst xmlns="http://schemas.openxmlformats.org/spreadsheetml/2006/main" count="476" uniqueCount="277">
  <si>
    <t>顧客名</t>
    <rPh sb="0" eb="2">
      <t>コキャク</t>
    </rPh>
    <rPh sb="2" eb="3">
      <t>メイ</t>
    </rPh>
    <phoneticPr fontId="4"/>
  </si>
  <si>
    <t>作成日</t>
    <rPh sb="0" eb="3">
      <t>サクセイビ</t>
    </rPh>
    <phoneticPr fontId="4"/>
  </si>
  <si>
    <t>機能</t>
    <rPh sb="0" eb="2">
      <t>キノウ</t>
    </rPh>
    <phoneticPr fontId="4"/>
  </si>
  <si>
    <t>作成者</t>
    <rPh sb="0" eb="2">
      <t>サクセイ</t>
    </rPh>
    <rPh sb="2" eb="3">
      <t>シャ</t>
    </rPh>
    <phoneticPr fontId="4"/>
  </si>
  <si>
    <t>承認</t>
    <rPh sb="0" eb="2">
      <t>ショウニン</t>
    </rPh>
    <phoneticPr fontId="4"/>
  </si>
  <si>
    <t>項目名</t>
    <rPh sb="0" eb="2">
      <t>コウモク</t>
    </rPh>
    <rPh sb="2" eb="3">
      <t>メイ</t>
    </rPh>
    <phoneticPr fontId="4"/>
  </si>
  <si>
    <t>値</t>
    <rPh sb="0" eb="1">
      <t>アタイ</t>
    </rPh>
    <phoneticPr fontId="4"/>
  </si>
  <si>
    <t>システム名</t>
    <rPh sb="4" eb="5">
      <t>メイ</t>
    </rPh>
    <phoneticPr fontId="4"/>
  </si>
  <si>
    <t>■　ページ基本項目の設定</t>
    <rPh sb="5" eb="7">
      <t>キホン</t>
    </rPh>
    <rPh sb="7" eb="9">
      <t>コウモク</t>
    </rPh>
    <rPh sb="10" eb="12">
      <t>セッテイ</t>
    </rPh>
    <phoneticPr fontId="4"/>
  </si>
  <si>
    <t>設計書</t>
    <rPh sb="0" eb="2">
      <t>セッケイ</t>
    </rPh>
    <rPh sb="2" eb="3">
      <t>ショ</t>
    </rPh>
    <phoneticPr fontId="4"/>
  </si>
  <si>
    <t>初期値</t>
    <rPh sb="0" eb="3">
      <t>ショキチ</t>
    </rPh>
    <phoneticPr fontId="4"/>
  </si>
  <si>
    <t>説明</t>
    <rPh sb="0" eb="2">
      <t>セツメイ</t>
    </rPh>
    <phoneticPr fontId="4"/>
  </si>
  <si>
    <t>関連ファイル</t>
    <rPh sb="0" eb="2">
      <t>カンレン</t>
    </rPh>
    <phoneticPr fontId="4"/>
  </si>
  <si>
    <t>表示項目一覧</t>
    <rPh sb="0" eb="2">
      <t>ヒョウジ</t>
    </rPh>
    <rPh sb="2" eb="4">
      <t>コウモク</t>
    </rPh>
    <rPh sb="4" eb="6">
      <t>イチラン</t>
    </rPh>
    <phoneticPr fontId="4"/>
  </si>
  <si>
    <t>表示形式</t>
    <rPh sb="0" eb="2">
      <t>ヒョウジ</t>
    </rPh>
    <rPh sb="2" eb="4">
      <t>ケイシキ</t>
    </rPh>
    <phoneticPr fontId="4"/>
  </si>
  <si>
    <t>必須</t>
    <rPh sb="0" eb="2">
      <t>ヒッス</t>
    </rPh>
    <phoneticPr fontId="4"/>
  </si>
  <si>
    <t>制限事項・その他</t>
    <rPh sb="0" eb="2">
      <t>セイゲン</t>
    </rPh>
    <rPh sb="2" eb="4">
      <t>ジコウ</t>
    </rPh>
    <rPh sb="7" eb="8">
      <t>タ</t>
    </rPh>
    <phoneticPr fontId="4"/>
  </si>
  <si>
    <t>テーブル名</t>
    <rPh sb="4" eb="5">
      <t>メイ</t>
    </rPh>
    <phoneticPr fontId="4"/>
  </si>
  <si>
    <t>カラム名</t>
    <rPh sb="3" eb="4">
      <t>メイ</t>
    </rPh>
    <phoneticPr fontId="4"/>
  </si>
  <si>
    <t>表示元データ</t>
    <rPh sb="0" eb="2">
      <t>ヒョウジ</t>
    </rPh>
    <rPh sb="2" eb="3">
      <t>モト</t>
    </rPh>
    <phoneticPr fontId="4"/>
  </si>
  <si>
    <t>取得項目一覧</t>
    <rPh sb="0" eb="2">
      <t>シュトク</t>
    </rPh>
    <rPh sb="2" eb="4">
      <t>コウモク</t>
    </rPh>
    <rPh sb="4" eb="6">
      <t>イチラン</t>
    </rPh>
    <phoneticPr fontId="4"/>
  </si>
  <si>
    <t>フォーム属性名称</t>
    <rPh sb="4" eb="6">
      <t>ゾクセイ</t>
    </rPh>
    <rPh sb="6" eb="8">
      <t>メイショウ</t>
    </rPh>
    <phoneticPr fontId="4"/>
  </si>
  <si>
    <t>形式</t>
    <rPh sb="0" eb="2">
      <t>ケイシキ</t>
    </rPh>
    <phoneticPr fontId="4"/>
  </si>
  <si>
    <t>取得元データ</t>
    <rPh sb="0" eb="2">
      <t>シュトク</t>
    </rPh>
    <rPh sb="2" eb="3">
      <t>モト</t>
    </rPh>
    <phoneticPr fontId="4"/>
  </si>
  <si>
    <t>表示項目</t>
    <rPh sb="0" eb="2">
      <t>ヒョウジ</t>
    </rPh>
    <rPh sb="2" eb="4">
      <t>コウモク</t>
    </rPh>
    <phoneticPr fontId="4"/>
  </si>
  <si>
    <t>URL</t>
    <phoneticPr fontId="4"/>
  </si>
  <si>
    <t>ファイルパス</t>
    <phoneticPr fontId="4"/>
  </si>
  <si>
    <t>インクルード</t>
    <phoneticPr fontId="4"/>
  </si>
  <si>
    <t>テンプレートファイル</t>
    <phoneticPr fontId="4"/>
  </si>
  <si>
    <t>処理フロー</t>
    <phoneticPr fontId="4"/>
  </si>
  <si>
    <t>タイトル</t>
    <phoneticPr fontId="4"/>
  </si>
  <si>
    <t>構成</t>
    <rPh sb="0" eb="2">
      <t>コウセイ</t>
    </rPh>
    <phoneticPr fontId="4"/>
  </si>
  <si>
    <t>プロジェクト名</t>
    <rPh sb="6" eb="7">
      <t>メイ</t>
    </rPh>
    <phoneticPr fontId="4"/>
  </si>
  <si>
    <t>更新者</t>
    <rPh sb="0" eb="3">
      <t>コウシンシャ</t>
    </rPh>
    <phoneticPr fontId="4"/>
  </si>
  <si>
    <t>更新日</t>
    <rPh sb="0" eb="3">
      <t>コウシンビ</t>
    </rPh>
    <phoneticPr fontId="4"/>
  </si>
  <si>
    <t>作成日</t>
    <rPh sb="0" eb="2">
      <t>サクセイ</t>
    </rPh>
    <rPh sb="2" eb="3">
      <t>ビ</t>
    </rPh>
    <phoneticPr fontId="4"/>
  </si>
  <si>
    <t>作成者</t>
    <rPh sb="0" eb="3">
      <t>サクセイシャ</t>
    </rPh>
    <phoneticPr fontId="4"/>
  </si>
  <si>
    <t>https://www.hogehoge.jp/path/to/action.php</t>
  </si>
  <si>
    <t>/home/www.hogehoge.jp/path/to/action.php</t>
  </si>
  <si>
    <t>■ VBA用の設定項目</t>
    <rPh sb="5" eb="6">
      <t>ヨウ</t>
    </rPh>
    <rPh sb="7" eb="9">
      <t>セッテイ</t>
    </rPh>
    <rPh sb="9" eb="11">
      <t>コウモク</t>
    </rPh>
    <phoneticPr fontId="4"/>
  </si>
  <si>
    <t>システム</t>
    <phoneticPr fontId="4"/>
  </si>
  <si>
    <t>1行目のページ数書き込み位置</t>
    <phoneticPr fontId="4"/>
  </si>
  <si>
    <t>2行目のページ数書き込み位置</t>
  </si>
  <si>
    <t>1ページの行数</t>
  </si>
  <si>
    <t>1ページ目の目次表示位置</t>
    <rPh sb="8" eb="10">
      <t>ヒョウジ</t>
    </rPh>
    <rPh sb="10" eb="12">
      <t>イチ</t>
    </rPh>
    <phoneticPr fontId="4"/>
  </si>
  <si>
    <t>1ページ目の目次分割位置</t>
    <rPh sb="8" eb="10">
      <t>ブンカツ</t>
    </rPh>
    <rPh sb="10" eb="12">
      <t>イチ</t>
    </rPh>
    <phoneticPr fontId="4"/>
  </si>
  <si>
    <t>2ページ目の目次表示位置</t>
    <rPh sb="8" eb="10">
      <t>ヒョウジ</t>
    </rPh>
    <rPh sb="10" eb="12">
      <t>イチ</t>
    </rPh>
    <phoneticPr fontId="4"/>
  </si>
  <si>
    <t>2ページ目の目次分割位置</t>
    <rPh sb="8" eb="10">
      <t>ブンカツ</t>
    </rPh>
    <rPh sb="10" eb="12">
      <t>イチ</t>
    </rPh>
    <phoneticPr fontId="4"/>
  </si>
  <si>
    <t>1ページ目の目次開始位置</t>
    <rPh sb="8" eb="10">
      <t>カイシ</t>
    </rPh>
    <rPh sb="10" eb="12">
      <t>イチ</t>
    </rPh>
    <phoneticPr fontId="4"/>
  </si>
  <si>
    <t>小泉　文平</t>
    <rPh sb="0" eb="2">
      <t>コイズミ</t>
    </rPh>
    <rPh sb="3" eb="5">
      <t>ブンペイ</t>
    </rPh>
    <phoneticPr fontId="4"/>
  </si>
  <si>
    <t>D5:AR42</t>
    <phoneticPr fontId="4"/>
  </si>
  <si>
    <t>X5:X42</t>
    <phoneticPr fontId="4"/>
  </si>
  <si>
    <t>D48:AR85</t>
    <phoneticPr fontId="4"/>
  </si>
  <si>
    <t>X48:X85</t>
    <phoneticPr fontId="4"/>
  </si>
  <si>
    <t>入力項目制限</t>
    <rPh sb="0" eb="2">
      <t>ニュウリョク</t>
    </rPh>
    <rPh sb="2" eb="4">
      <t>コウモク</t>
    </rPh>
    <rPh sb="4" eb="6">
      <t>セイゲン</t>
    </rPh>
    <phoneticPr fontId="4"/>
  </si>
  <si>
    <t>項目(表示)名称</t>
    <rPh sb="0" eb="2">
      <t>コウモク</t>
    </rPh>
    <rPh sb="3" eb="5">
      <t>ヒョウジ</t>
    </rPh>
    <rPh sb="6" eb="8">
      <t>メイショウ</t>
    </rPh>
    <phoneticPr fontId="4"/>
  </si>
  <si>
    <t>データ型</t>
    <rPh sb="3" eb="4">
      <t>カタ</t>
    </rPh>
    <phoneticPr fontId="4"/>
  </si>
  <si>
    <t>桁数</t>
    <rPh sb="0" eb="2">
      <t>ケタスウ</t>
    </rPh>
    <phoneticPr fontId="4"/>
  </si>
  <si>
    <t>入力形式</t>
    <rPh sb="0" eb="2">
      <t>ニュウリョク</t>
    </rPh>
    <rPh sb="2" eb="4">
      <t>ケイシキ</t>
    </rPh>
    <phoneticPr fontId="4"/>
  </si>
  <si>
    <t>＊＊＊フォーム</t>
    <phoneticPr fontId="4"/>
  </si>
  <si>
    <t>名称</t>
    <rPh sb="0" eb="2">
      <t>メイショウ</t>
    </rPh>
    <phoneticPr fontId="4"/>
  </si>
  <si>
    <t>Selenium コマンド</t>
    <phoneticPr fontId="4"/>
  </si>
  <si>
    <t>手動確認/設定</t>
  </si>
  <si>
    <t>NULL</t>
    <phoneticPr fontId="25"/>
  </si>
  <si>
    <t>画面遷移</t>
  </si>
  <si>
    <t>open</t>
  </si>
  <si>
    <t>type</t>
  </si>
  <si>
    <t>select</t>
  </si>
  <si>
    <t>click</t>
  </si>
  <si>
    <t>clickAndWait</t>
    <phoneticPr fontId="25"/>
  </si>
  <si>
    <t>ボタン[Alt指定]押下(待機有)</t>
    <phoneticPr fontId="4"/>
  </si>
  <si>
    <t>ボタン[Value指定]押下(待機有)</t>
  </si>
  <si>
    <t>ボタン[Name指定]押下(待機有)</t>
  </si>
  <si>
    <t>ボタン押下(待機無)</t>
  </si>
  <si>
    <t>表示確認</t>
  </si>
  <si>
    <t>verifyTextPresent</t>
  </si>
  <si>
    <t>表示確認(位置)</t>
  </si>
  <si>
    <t>verifyText</t>
    <phoneticPr fontId="25"/>
  </si>
  <si>
    <t>表示確認(Table)</t>
  </si>
  <si>
    <t>verifyTable</t>
    <phoneticPr fontId="25"/>
  </si>
  <si>
    <t>アラｰト文字列取得</t>
  </si>
  <si>
    <t xml:space="preserve">verifyAlert </t>
  </si>
  <si>
    <t>リンククリック</t>
  </si>
  <si>
    <t>スクリｰンショット</t>
  </si>
  <si>
    <t>captureEntirePageScreenshot</t>
    <phoneticPr fontId="25"/>
  </si>
  <si>
    <t>JS実行</t>
  </si>
  <si>
    <t>runScriptAndWait</t>
    <phoneticPr fontId="25"/>
  </si>
  <si>
    <t>JS実行(待機無)</t>
  </si>
  <si>
    <t>runScript</t>
    <phoneticPr fontId="25"/>
  </si>
  <si>
    <t>フレームオープン待ち</t>
  </si>
  <si>
    <t>waitForFrameToLoad</t>
    <phoneticPr fontId="25"/>
  </si>
  <si>
    <t>フレーム選択</t>
  </si>
  <si>
    <t>selectFrame</t>
    <phoneticPr fontId="25"/>
  </si>
  <si>
    <t>ウインドウ選択</t>
  </si>
  <si>
    <t>selectWindow</t>
    <phoneticPr fontId="25"/>
  </si>
  <si>
    <t>スリープ（ミリ秒）</t>
  </si>
  <si>
    <t>pause</t>
  </si>
  <si>
    <t>変数設定（Javascript）</t>
    <rPh sb="2" eb="4">
      <t>セッテイ</t>
    </rPh>
    <phoneticPr fontId="4"/>
  </si>
  <si>
    <t>store</t>
    <phoneticPr fontId="4"/>
  </si>
  <si>
    <t>変数設定</t>
    <phoneticPr fontId="4"/>
  </si>
  <si>
    <t>storeEval</t>
    <phoneticPr fontId="4"/>
  </si>
  <si>
    <t>半角数字</t>
    <rPh sb="0" eb="2">
      <t>ハンカク</t>
    </rPh>
    <rPh sb="2" eb="4">
      <t>スウジ</t>
    </rPh>
    <phoneticPr fontId="25"/>
  </si>
  <si>
    <t>半角英字</t>
    <rPh sb="0" eb="2">
      <t>ハンカク</t>
    </rPh>
    <rPh sb="2" eb="4">
      <t>エイジ</t>
    </rPh>
    <phoneticPr fontId="4"/>
  </si>
  <si>
    <t>半角英数字</t>
    <rPh sb="0" eb="5">
      <t>ハンカクエイスウジ</t>
    </rPh>
    <phoneticPr fontId="4"/>
  </si>
  <si>
    <t>email</t>
  </si>
  <si>
    <t>email</t>
    <phoneticPr fontId="4"/>
  </si>
  <si>
    <t>全角カナ</t>
    <rPh sb="0" eb="2">
      <t>ゼンカク</t>
    </rPh>
    <phoneticPr fontId="4"/>
  </si>
  <si>
    <t>全角文字</t>
    <rPh sb="0" eb="2">
      <t>ゼンカク</t>
    </rPh>
    <rPh sb="2" eb="4">
      <t>モジ</t>
    </rPh>
    <phoneticPr fontId="4"/>
  </si>
  <si>
    <t>半角英数記号</t>
    <rPh sb="0" eb="2">
      <t>ハンカク</t>
    </rPh>
    <rPh sb="2" eb="4">
      <t>エイスウ</t>
    </rPh>
    <rPh sb="4" eb="6">
      <t>キゴウ</t>
    </rPh>
    <phoneticPr fontId="4"/>
  </si>
  <si>
    <t>url</t>
    <phoneticPr fontId="4"/>
  </si>
  <si>
    <t>/home/www.hogehoge.jp/path/to/view.tpl</t>
    <phoneticPr fontId="4"/>
  </si>
  <si>
    <t>/home/www.hogehoge.jp/path/to/Module.php</t>
    <phoneticPr fontId="4"/>
  </si>
  <si>
    <t>お問合せ</t>
  </si>
  <si>
    <t>お問合せ内容</t>
  </si>
  <si>
    <t>メールアドレス</t>
  </si>
  <si>
    <t>口座</t>
  </si>
  <si>
    <t>同意ボタン</t>
  </si>
  <si>
    <t>制限内容</t>
    <phoneticPr fontId="4"/>
  </si>
  <si>
    <t>contact/input</t>
    <phoneticPr fontId="4"/>
  </si>
  <si>
    <t>Base URL</t>
    <phoneticPr fontId="4"/>
  </si>
  <si>
    <t>テキストボックス</t>
  </si>
  <si>
    <t>テキストボックス</t>
    <phoneticPr fontId="4"/>
  </si>
  <si>
    <t>テキストエリア</t>
  </si>
  <si>
    <t>テキストエリア</t>
    <phoneticPr fontId="4"/>
  </si>
  <si>
    <t>ボタン</t>
    <phoneticPr fontId="4"/>
  </si>
  <si>
    <t>メールアドレス(確認用)</t>
    <rPh sb="8" eb="10">
      <t>カクニン</t>
    </rPh>
    <rPh sb="10" eb="11">
      <t>ヨウ</t>
    </rPh>
    <phoneticPr fontId="4"/>
  </si>
  <si>
    <t>nameタグ名称</t>
    <rPh sb="6" eb="8">
      <t>メイショウ</t>
    </rPh>
    <phoneticPr fontId="4"/>
  </si>
  <si>
    <t>備考</t>
    <rPh sb="0" eb="2">
      <t>ビコウ</t>
    </rPh>
    <phoneticPr fontId="4"/>
  </si>
  <si>
    <t>kind</t>
  </si>
  <si>
    <t>body</t>
  </si>
  <si>
    <t>name</t>
  </si>
  <si>
    <t>kana</t>
  </si>
  <si>
    <t>tel01</t>
  </si>
  <si>
    <t>tel02</t>
  </si>
  <si>
    <t>tel03</t>
  </si>
  <si>
    <t>mail</t>
  </si>
  <si>
    <t>mail_confirmation</t>
  </si>
  <si>
    <t>document.contactConfirm.submit();</t>
    <phoneticPr fontId="4"/>
  </si>
  <si>
    <t>account</t>
    <phoneticPr fontId="4"/>
  </si>
  <si>
    <t>privacy</t>
    <phoneticPr fontId="4"/>
  </si>
  <si>
    <t>No.</t>
  </si>
  <si>
    <t>○</t>
  </si>
  <si>
    <t>確認/登録ボタン</t>
    <rPh sb="0" eb="2">
      <t>カクニン</t>
    </rPh>
    <rPh sb="3" eb="5">
      <t>トウロク</t>
    </rPh>
    <phoneticPr fontId="4"/>
  </si>
  <si>
    <t>お名前</t>
    <phoneticPr fontId="4"/>
  </si>
  <si>
    <t>オナマエ</t>
    <phoneticPr fontId="4"/>
  </si>
  <si>
    <t>電話番号1</t>
    <phoneticPr fontId="4"/>
  </si>
  <si>
    <t>電話番号2</t>
  </si>
  <si>
    <t>電話番号3</t>
  </si>
  <si>
    <t>email</t>
    <phoneticPr fontId="4"/>
  </si>
  <si>
    <t>機能概要</t>
    <rPh sb="0" eb="2">
      <t>キノウ</t>
    </rPh>
    <rPh sb="2" eb="4">
      <t>ガイヨウ</t>
    </rPh>
    <phoneticPr fontId="4"/>
  </si>
  <si>
    <t>ラジオボタン</t>
    <phoneticPr fontId="4"/>
  </si>
  <si>
    <t>プルダウン</t>
    <phoneticPr fontId="4"/>
  </si>
  <si>
    <t>チェックボックス</t>
    <phoneticPr fontId="4"/>
  </si>
  <si>
    <t>作成</t>
    <rPh sb="0" eb="2">
      <t>サクセイ</t>
    </rPh>
    <phoneticPr fontId="4"/>
  </si>
  <si>
    <t>検査</t>
    <rPh sb="0" eb="2">
      <t>ケンサ</t>
    </rPh>
    <phoneticPr fontId="4"/>
  </si>
  <si>
    <t>ラジオボタン</t>
  </si>
  <si>
    <t>チェックボックス</t>
  </si>
  <si>
    <t>プルダウン</t>
  </si>
  <si>
    <t>10～15</t>
    <phoneticPr fontId="4"/>
  </si>
  <si>
    <t>2～3</t>
    <phoneticPr fontId="4"/>
  </si>
  <si>
    <t>レスポンス</t>
    <phoneticPr fontId="46"/>
  </si>
  <si>
    <t>JSON</t>
    <phoneticPr fontId="46"/>
  </si>
  <si>
    <t>パラメータ</t>
    <phoneticPr fontId="46"/>
  </si>
  <si>
    <t>No</t>
    <phoneticPr fontId="46"/>
  </si>
  <si>
    <t>JSON　Key</t>
    <phoneticPr fontId="46"/>
  </si>
  <si>
    <t>概要</t>
    <rPh sb="0" eb="2">
      <t>ガイヨウ</t>
    </rPh>
    <phoneticPr fontId="46"/>
  </si>
  <si>
    <t>型</t>
    <rPh sb="0" eb="1">
      <t>カタ</t>
    </rPh>
    <phoneticPr fontId="46"/>
  </si>
  <si>
    <t>必須</t>
    <rPh sb="0" eb="2">
      <t>ヒッス</t>
    </rPh>
    <phoneticPr fontId="46"/>
  </si>
  <si>
    <t>繰り返し</t>
    <rPh sb="0" eb="1">
      <t>ク</t>
    </rPh>
    <rPh sb="2" eb="3">
      <t>カエ</t>
    </rPh>
    <phoneticPr fontId="46"/>
  </si>
  <si>
    <t>備考</t>
    <rPh sb="0" eb="2">
      <t>ビコウ</t>
    </rPh>
    <phoneticPr fontId="46"/>
  </si>
  <si>
    <t>Response サンプル</t>
    <phoneticPr fontId="46"/>
  </si>
  <si>
    <t>WebAPI名</t>
    <rPh sb="6" eb="7">
      <t>メイ</t>
    </rPh>
    <phoneticPr fontId="46"/>
  </si>
  <si>
    <t>処理概要</t>
  </si>
  <si>
    <t>Header</t>
    <phoneticPr fontId="46"/>
  </si>
  <si>
    <t>Method</t>
    <phoneticPr fontId="46"/>
  </si>
  <si>
    <t>Get</t>
    <phoneticPr fontId="4"/>
  </si>
  <si>
    <t>Content-Type</t>
    <phoneticPr fontId="46"/>
  </si>
  <si>
    <t>multipart/form-data</t>
    <phoneticPr fontId="46"/>
  </si>
  <si>
    <t>Content-Language</t>
    <phoneticPr fontId="46"/>
  </si>
  <si>
    <t>Authentication</t>
    <phoneticPr fontId="46"/>
  </si>
  <si>
    <t>Basic認証</t>
    <phoneticPr fontId="46"/>
  </si>
  <si>
    <t>パラメータ</t>
    <phoneticPr fontId="46"/>
  </si>
  <si>
    <t>No</t>
    <phoneticPr fontId="46"/>
  </si>
  <si>
    <t>名前</t>
    <rPh sb="0" eb="2">
      <t>ナマエ</t>
    </rPh>
    <phoneticPr fontId="46"/>
  </si>
  <si>
    <t>設定値</t>
    <rPh sb="0" eb="3">
      <t>セッテイチ</t>
    </rPh>
    <phoneticPr fontId="46"/>
  </si>
  <si>
    <t>Body - Request</t>
    <phoneticPr fontId="46"/>
  </si>
  <si>
    <t>No</t>
    <phoneticPr fontId="46"/>
  </si>
  <si>
    <t>Request サンプル</t>
    <phoneticPr fontId="46"/>
  </si>
  <si>
    <t>#</t>
    <phoneticPr fontId="4"/>
  </si>
  <si>
    <t>前提条件</t>
    <rPh sb="0" eb="4">
      <t>ゼ</t>
    </rPh>
    <phoneticPr fontId="4"/>
  </si>
  <si>
    <t>処理フロー</t>
    <rPh sb="0" eb="2">
      <t>ショリ</t>
    </rPh>
    <phoneticPr fontId="4"/>
  </si>
  <si>
    <t>○✕システム</t>
    <phoneticPr fontId="4"/>
  </si>
  <si>
    <t>○△□プロジェクト</t>
    <phoneticPr fontId="4"/>
  </si>
  <si>
    <t>○✕○✕株式会社</t>
    <rPh sb="4" eb="8">
      <t>カブ</t>
    </rPh>
    <phoneticPr fontId="4"/>
  </si>
  <si>
    <t>■VBA用の設定</t>
    <rPh sb="4" eb="5">
      <t>ヨウ</t>
    </rPh>
    <rPh sb="6" eb="8">
      <t>セッテイ</t>
    </rPh>
    <phoneticPr fontId="4"/>
  </si>
  <si>
    <t>debugMode</t>
    <phoneticPr fontId="57"/>
  </si>
  <si>
    <t>develop</t>
    <phoneticPr fontId="57"/>
  </si>
  <si>
    <t>ID</t>
    <phoneticPr fontId="4"/>
  </si>
  <si>
    <t>Message</t>
    <phoneticPr fontId="4"/>
  </si>
  <si>
    <t>&lt;&lt;メッセージ[情報]&gt;&gt; 0～399</t>
    <rPh sb="8" eb="10">
      <t>ジョウホウ</t>
    </rPh>
    <phoneticPr fontId="46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</si>
  <si>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</si>
  <si>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</si>
  <si>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</si>
  <si>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</si>
  <si>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%%</t>
    <phoneticPr fontId="46"/>
  </si>
  <si>
    <t>キャンセルされました</t>
    <phoneticPr fontId="59"/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</si>
  <si>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</si>
  <si>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</si>
  <si>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</si>
  <si>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</si>
  <si>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</si>
  <si>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&lt;%%&gt;取得処理が完了しました</t>
    <rPh sb="4" eb="6">
      <t>シュトク</t>
    </rPh>
    <phoneticPr fontId="46"/>
  </si>
  <si>
    <t>&lt;&lt;メッセージ[警告]&gt;&gt; 400～599</t>
    <rPh sb="8" eb="10">
      <t>ケイコク</t>
    </rPh>
    <phoneticPr fontId="46"/>
  </si>
  <si>
    <t>エラーが発生しました&lt;BR&gt;&lt;%%&gt;</t>
    <rPh sb="4" eb="6">
      <t>ハッセイ</t>
    </rPh>
    <phoneticPr fontId="60"/>
  </si>
  <si>
    <t>インストールバージョンが一致しません</t>
    <rPh sb="12" eb="14">
      <t>イッチ</t>
    </rPh>
    <phoneticPr fontId="59"/>
  </si>
  <si>
    <t>インストールファイルが存在しません</t>
    <rPh sb="11" eb="13">
      <t>ソンザイ</t>
    </rPh>
    <phoneticPr fontId="59"/>
  </si>
  <si>
    <t>&lt;%%&gt;フォルダーが存在しません</t>
    <phoneticPr fontId="46"/>
  </si>
  <si>
    <t>&lt;%%&gt;ファイルが存在しません</t>
    <phoneticPr fontId="46"/>
  </si>
  <si>
    <t>&lt;%%&gt;シートが存在しません</t>
  </si>
  <si>
    <t>&lt;%%&gt;データが存在しません</t>
  </si>
  <si>
    <t>同名ファイル&lt;%%&gt;が開かれています</t>
    <phoneticPr fontId="46"/>
  </si>
  <si>
    <t>ヘッダーの項目が異なります</t>
  </si>
  <si>
    <t>&lt;%%&gt;実行できませんでした</t>
    <rPh sb="4" eb="6">
      <t>ジッコウ</t>
    </rPh>
    <phoneticPr fontId="46"/>
  </si>
  <si>
    <t>DBインサート中にエラーが発生しました&lt;%%&gt;</t>
    <phoneticPr fontId="46"/>
  </si>
  <si>
    <t>ファイル、フォルダの削除に失敗しました</t>
    <rPh sb="10" eb="12">
      <t>サクジョ</t>
    </rPh>
    <rPh sb="13" eb="15">
      <t>シッ</t>
    </rPh>
    <phoneticPr fontId="1"/>
  </si>
  <si>
    <t>&lt;&lt;メッセージ[注意]&gt;&gt; 600～799</t>
    <rPh sb="8" eb="10">
      <t>チュウイ</t>
    </rPh>
    <phoneticPr fontId="46"/>
  </si>
  <si>
    <t>ExcelError：インデックスが有効範囲にありません。</t>
    <phoneticPr fontId="60"/>
  </si>
  <si>
    <t>ExcelError：型が一致しません。</t>
    <phoneticPr fontId="59"/>
  </si>
  <si>
    <t>ExcelError：ファイルが存在しません</t>
    <phoneticPr fontId="60"/>
  </si>
  <si>
    <t>ExcelError：オブジェクト変数または With ブロック変数が設定されていません。</t>
    <phoneticPr fontId="60"/>
  </si>
  <si>
    <t>ExcelError：アプリケーション定義またはオブジェクト定義のエラーです。</t>
    <rPh sb="19" eb="21">
      <t>テイギ</t>
    </rPh>
    <rPh sb="30" eb="32">
      <t>テイギ</t>
    </rPh>
    <phoneticPr fontId="59"/>
  </si>
  <si>
    <r>
      <t>P</t>
    </r>
    <r>
      <rPr>
        <sz val="9"/>
        <color theme="1"/>
        <rFont val="メイリオ"/>
        <family val="3"/>
        <charset val="128"/>
      </rPr>
      <t>ageLine</t>
    </r>
    <phoneticPr fontId="46"/>
  </si>
  <si>
    <r>
      <t>4</t>
    </r>
    <r>
      <rPr>
        <sz val="9"/>
        <color theme="1"/>
        <rFont val="メイリオ"/>
        <family val="3"/>
        <charset val="128"/>
      </rPr>
      <t>3</t>
    </r>
    <phoneticPr fontId="46"/>
  </si>
  <si>
    <r>
      <t>Toc</t>
    </r>
    <r>
      <rPr>
        <sz val="9"/>
        <color theme="1"/>
        <rFont val="メイリオ"/>
        <family val="3"/>
        <charset val="128"/>
      </rPr>
      <t>1StartLine</t>
    </r>
    <phoneticPr fontId="46"/>
  </si>
  <si>
    <t>4</t>
    <phoneticPr fontId="46"/>
  </si>
  <si>
    <t>Toc1StartColLine</t>
    <phoneticPr fontId="46"/>
  </si>
  <si>
    <t>Toc2StartColLine</t>
  </si>
  <si>
    <t>TocCenterColLine</t>
    <phoneticPr fontId="46"/>
  </si>
  <si>
    <t>BaseURL</t>
    <phoneticPr fontId="4"/>
  </si>
  <si>
    <t>TocTitle</t>
    <phoneticPr fontId="46"/>
  </si>
  <si>
    <t>26</t>
    <phoneticPr fontId="46"/>
  </si>
  <si>
    <t>TocMaxCnt</t>
    <phoneticPr fontId="46"/>
  </si>
  <si>
    <t>39</t>
    <phoneticPr fontId="46"/>
  </si>
  <si>
    <t>19</t>
    <phoneticPr fontId="46"/>
  </si>
  <si>
    <t>目次</t>
    <rPh sb="0" eb="2">
      <t>モクジ</t>
    </rPh>
    <phoneticPr fontId="4"/>
  </si>
  <si>
    <t>機能_1</t>
  </si>
  <si>
    <t>機能_2</t>
  </si>
  <si>
    <t>機能_3</t>
  </si>
  <si>
    <t>機能_4</t>
  </si>
  <si>
    <t>機能_5</t>
  </si>
  <si>
    <t>機能_6</t>
  </si>
  <si>
    <t>タイトル_1</t>
    <phoneticPr fontId="4"/>
  </si>
  <si>
    <t>タイトル_2</t>
    <phoneticPr fontId="4"/>
  </si>
  <si>
    <t>タイトル_3</t>
    <phoneticPr fontId="4"/>
  </si>
  <si>
    <t>タイトル_4</t>
    <phoneticPr fontId="4"/>
  </si>
  <si>
    <t>タイトル_5</t>
    <phoneticPr fontId="4"/>
  </si>
  <si>
    <t>タイトル_6</t>
    <phoneticPr fontId="4"/>
  </si>
  <si>
    <t>目次</t>
    <phoneticPr fontId="4"/>
  </si>
  <si>
    <t>P.2</t>
  </si>
  <si>
    <t>P.3</t>
  </si>
  <si>
    <t>P.4</t>
  </si>
  <si>
    <t>P.5</t>
  </si>
  <si>
    <t>P.6</t>
  </si>
  <si>
    <t>P.7</t>
  </si>
  <si>
    <t>1.</t>
  </si>
  <si>
    <t>タイトル_1 - 機能_1</t>
  </si>
  <si>
    <t>2.</t>
  </si>
  <si>
    <t>タイトル_2 - 機能_2</t>
  </si>
  <si>
    <t>3.</t>
  </si>
  <si>
    <t>タイトル_3 - 機能_3</t>
  </si>
  <si>
    <t>4.</t>
  </si>
  <si>
    <t>タイトル_4 - 機能_4</t>
  </si>
  <si>
    <t>5.</t>
  </si>
  <si>
    <t>タイトル_5 - 機能_5</t>
  </si>
  <si>
    <t>6.</t>
  </si>
  <si>
    <t>タイトル_6 - 機能_6</t>
  </si>
  <si>
    <t>目次2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</si>
</sst>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76" formatCode="#"/>
    <numFmt numFmtId="177" formatCode="&quot;≪&quot;@&quot;≫&quot;"/>
    <numFmt numFmtId="178" formatCode="&quot;■&quot;\ @"/>
    <numFmt numFmtId="179" formatCode="yyyy/mm/dd"/>
    <numFmt numFmtId="180" formatCode="&quot;第&quot;0.0&quot;版&quot;"/>
    <numFmt numFmtId="181" formatCode="&quot;P.&quot;#0"/>
    <numFmt numFmtId="182" formatCode="&quot;¥&quot;#,##0,_ ;[Red]&quot;¥&quot;\-#,##0,\ "/>
    <numFmt numFmtId="183" formatCode="#,##0_ ;[Red]\-#,##0\ "/>
    <numFmt numFmtId="184" formatCode="#,##0,_ ;[Red]\-#,##0,\ "/>
    <numFmt numFmtId="185" formatCode="#,##0.0_ ;[Red]\-#,##0.0\ "/>
    <numFmt numFmtId="186" formatCode="yyyy/m"/>
    <numFmt numFmtId="187" formatCode="yyyy/mm/dd\ hh:mm:ss"/>
    <numFmt numFmtId="188" formatCode="0_);[Red]\(0\)"/>
    <numFmt numFmtId="189" formatCode="[h]:mm"/>
  </numFmts>
  <fonts count="62">
    <font>
      <sz val="9"/>
      <color theme="1"/>
      <name val="メイリオ"/>
      <family val="3"/>
      <charset val="128"/>
    </font>
    <font>
      <sz val="9"/>
      <color theme="1"/>
      <name val="メイリオ"/>
      <family val="2"/>
      <charset val="128"/>
    </font>
    <font>
      <sz val="9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6"/>
      <name val="HGｺﾞｼｯｸE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0"/>
      <color indexed="12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9"/>
      <color indexed="9"/>
      <name val="メイリオ"/>
      <family val="3"/>
      <charset val="128"/>
    </font>
    <font>
      <sz val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name val="メイリオ"/>
      <family val="3"/>
      <charset val="128"/>
    </font>
    <font>
      <i/>
      <sz val="9"/>
      <name val="メイリオ"/>
      <family val="3"/>
      <charset val="128"/>
    </font>
    <font>
      <i/>
      <sz val="9"/>
      <color indexed="9"/>
      <name val="メイリオ"/>
      <family val="3"/>
      <charset val="128"/>
    </font>
    <font>
      <b/>
      <sz val="16"/>
      <color indexed="9"/>
      <name val="メイリオ"/>
      <family val="3"/>
      <charset val="128"/>
    </font>
    <font>
      <sz val="16"/>
      <name val="メイリオ"/>
      <family val="3"/>
      <charset val="128"/>
    </font>
    <font>
      <b/>
      <sz val="16"/>
      <name val="メイリオ"/>
      <family val="3"/>
      <charset val="128"/>
    </font>
    <font>
      <sz val="9"/>
      <name val="Meiryo UI"/>
      <family val="3"/>
      <charset val="128"/>
    </font>
    <font>
      <sz val="9"/>
      <color theme="0"/>
      <name val="Meiryo UI"/>
      <family val="2"/>
      <charset val="128"/>
    </font>
    <font>
      <sz val="10"/>
      <name val="ＭＳ Ｐゴシック"/>
      <family val="3"/>
      <charset val="128"/>
      <scheme val="major"/>
    </font>
    <font>
      <sz val="9"/>
      <name val="Meiryo UI"/>
      <family val="2"/>
      <charset val="128"/>
    </font>
    <font>
      <sz val="6"/>
      <name val="ＭＳ ゴシック"/>
      <family val="3"/>
      <charset val="128"/>
    </font>
    <font>
      <sz val="10"/>
      <name val="Meiryo UI"/>
      <family val="3"/>
      <charset val="128"/>
    </font>
    <font>
      <sz val="10"/>
      <color theme="1"/>
      <name val="Arial Unicode MS"/>
      <family val="3"/>
      <charset val="128"/>
    </font>
    <font>
      <b/>
      <sz val="18"/>
      <color theme="3"/>
      <name val="ＭＳ Ｐゴシック"/>
      <family val="2"/>
      <charset val="128"/>
      <scheme val="major"/>
    </font>
    <font>
      <b/>
      <sz val="9"/>
      <color theme="0"/>
      <name val="Meiryo UI"/>
      <family val="2"/>
      <charset val="128"/>
    </font>
    <font>
      <sz val="9"/>
      <color rgb="FF9C6500"/>
      <name val="Meiryo UI"/>
      <family val="2"/>
      <charset val="128"/>
    </font>
    <font>
      <sz val="9"/>
      <color rgb="FFFA7D00"/>
      <name val="Meiryo UI"/>
      <family val="2"/>
      <charset val="128"/>
    </font>
    <font>
      <sz val="9"/>
      <color rgb="FF9C0006"/>
      <name val="Meiryo UI"/>
      <family val="2"/>
      <charset val="128"/>
    </font>
    <font>
      <b/>
      <sz val="9"/>
      <color rgb="FFFA7D00"/>
      <name val="Meiryo UI"/>
      <family val="2"/>
      <charset val="128"/>
    </font>
    <font>
      <sz val="9"/>
      <color rgb="FFFF0000"/>
      <name val="Meiryo UI"/>
      <family val="2"/>
      <charset val="128"/>
    </font>
    <font>
      <b/>
      <sz val="15"/>
      <color theme="3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3"/>
      <name val="Meiryo UI"/>
      <family val="2"/>
      <charset val="128"/>
    </font>
    <font>
      <b/>
      <sz val="9"/>
      <color theme="1"/>
      <name val="Meiryo UI"/>
      <family val="2"/>
      <charset val="128"/>
    </font>
    <font>
      <b/>
      <sz val="9"/>
      <color rgb="FF3F3F3F"/>
      <name val="Meiryo UI"/>
      <family val="2"/>
      <charset val="128"/>
    </font>
    <font>
      <i/>
      <sz val="9"/>
      <color rgb="FF7F7F7F"/>
      <name val="Meiryo UI"/>
      <family val="2"/>
      <charset val="128"/>
    </font>
    <font>
      <sz val="9"/>
      <color rgb="FF3F3F76"/>
      <name val="Meiryo UI"/>
      <family val="2"/>
      <charset val="128"/>
    </font>
    <font>
      <sz val="9"/>
      <color rgb="FF006100"/>
      <name val="Meiryo UI"/>
      <family val="2"/>
      <charset val="128"/>
    </font>
    <font>
      <u/>
      <sz val="8"/>
      <color indexed="12"/>
      <name val="Meiryo UI"/>
      <family val="3"/>
      <charset val="128"/>
    </font>
    <font>
      <sz val="9"/>
      <color theme="1"/>
      <name val="Meiryo UI"/>
      <family val="3"/>
      <charset val="128"/>
    </font>
    <font>
      <sz val="10"/>
      <color theme="1"/>
      <name val="メイリオ"/>
      <family val="3"/>
      <charset val="128"/>
    </font>
    <font>
      <sz val="6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0"/>
      <color theme="1"/>
      <name val="ＭＳ Ｐゴシック"/>
      <family val="3"/>
      <charset val="128"/>
    </font>
    <font>
      <u/>
      <sz val="9"/>
      <color theme="11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b/>
      <sz val="10"/>
      <color rgb="FF000000"/>
      <name val="メイリオ"/>
      <family val="3"/>
      <charset val="128"/>
    </font>
    <font>
      <sz val="6"/>
      <name val="メイリオ"/>
      <family val="2"/>
      <charset val="128"/>
    </font>
    <font>
      <sz val="10"/>
      <color theme="0"/>
      <name val="メイリオ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  <font>
      <u/>
      <sz val="9"/>
      <color theme="10"/>
      <name val="メイリオ"/>
      <family val="3"/>
      <charset val="128"/>
    </font>
  </fonts>
  <fills count="4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5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66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</borders>
  <cellStyleXfs count="58">
    <xf numFmtId="0" fontId="0" fillId="0" borderId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29" borderId="29" applyNumberFormat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top"/>
      <protection locked="0"/>
    </xf>
    <xf numFmtId="0" fontId="11" fillId="31" borderId="30" applyNumberFormat="0" applyFont="0" applyAlignment="0" applyProtection="0">
      <alignment vertical="center"/>
    </xf>
    <xf numFmtId="0" fontId="31" fillId="0" borderId="31" applyNumberFormat="0" applyFill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3" fillId="33" borderId="32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33" applyNumberFormat="0" applyFill="0" applyAlignment="0" applyProtection="0">
      <alignment vertical="center"/>
    </xf>
    <xf numFmtId="0" fontId="36" fillId="0" borderId="34" applyNumberFormat="0" applyFill="0" applyAlignment="0" applyProtection="0">
      <alignment vertical="center"/>
    </xf>
    <xf numFmtId="0" fontId="37" fillId="0" borderId="35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36" applyNumberFormat="0" applyFill="0" applyAlignment="0" applyProtection="0">
      <alignment vertical="center"/>
    </xf>
    <xf numFmtId="0" fontId="39" fillId="33" borderId="37" applyNumberFormat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34" borderId="32" applyNumberFormat="0" applyAlignment="0" applyProtection="0">
      <alignment vertical="center"/>
    </xf>
    <xf numFmtId="0" fontId="42" fillId="35" borderId="0" applyNumberFormat="0" applyBorder="0" applyAlignment="0" applyProtection="0">
      <alignment vertical="center"/>
    </xf>
    <xf numFmtId="187" fontId="52" fillId="0" borderId="0" applyNumberFormat="0" applyFill="0" applyBorder="0" applyAlignment="0" applyProtection="0">
      <alignment vertical="center"/>
    </xf>
    <xf numFmtId="0" fontId="52" fillId="38" borderId="0" applyBorder="0" applyProtection="0">
      <alignment vertical="center"/>
    </xf>
    <xf numFmtId="186" fontId="52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184" fontId="51" fillId="0" borderId="0" applyFont="0" applyFill="0" applyBorder="0" applyAlignment="0" applyProtection="0">
      <alignment vertical="center"/>
    </xf>
    <xf numFmtId="185" fontId="51" fillId="0" borderId="0" applyFont="0" applyFill="0" applyBorder="0" applyAlignment="0" applyProtection="0">
      <alignment vertical="center"/>
    </xf>
    <xf numFmtId="179" fontId="52" fillId="0" borderId="0" applyNumberFormat="0" applyFill="0" applyBorder="0" applyAlignment="0" applyProtection="0">
      <alignment vertical="center"/>
    </xf>
    <xf numFmtId="183" fontId="51" fillId="0" borderId="0" applyFont="0" applyFill="0" applyBorder="0" applyAlignment="0" applyProtection="0">
      <alignment vertical="center"/>
    </xf>
    <xf numFmtId="182" fontId="51" fillId="0" borderId="0" applyFont="0" applyFill="0" applyBorder="0" applyAlignment="0" applyProtection="0">
      <alignment vertical="center"/>
    </xf>
    <xf numFmtId="0" fontId="53" fillId="39" borderId="0" applyBorder="0" applyProtection="0">
      <alignment vertical="center"/>
    </xf>
    <xf numFmtId="0" fontId="56" fillId="41" borderId="0" applyBorder="0" applyProtection="0">
      <alignment horizontal="left" vertical="center"/>
    </xf>
    <xf numFmtId="0" fontId="55" fillId="42" borderId="0" applyBorder="0" applyProtection="0">
      <alignment horizontal="center" vertical="center"/>
    </xf>
    <xf numFmtId="0" fontId="54" fillId="40" borderId="0" applyBorder="0" applyProtection="0">
      <alignment vertical="center"/>
    </xf>
    <xf numFmtId="0" fontId="1" fillId="0" borderId="0">
      <alignment vertical="center"/>
    </xf>
    <xf numFmtId="0" fontId="61" fillId="0" borderId="0" applyNumberFormat="0" applyFill="0" applyBorder="0" applyAlignment="0" applyProtection="0">
      <alignment vertical="center"/>
    </xf>
  </cellStyleXfs>
  <cellXfs count="303">
    <xf numFmtId="0" fontId="0" fillId="0" borderId="0" xfId="0">
      <alignment vertical="center"/>
    </xf>
    <xf numFmtId="0" fontId="55" fillId="42" borderId="47" xfId="54" applyBorder="1" applyProtection="1">
      <alignment horizontal="center" vertical="center"/>
      <protection locked="0"/>
    </xf>
    <xf numFmtId="0" fontId="0" fillId="0" borderId="0" xfId="0" applyFill="1" applyAlignment="1"/>
    <xf numFmtId="0" fontId="13" fillId="0" borderId="13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vertical="center"/>
    </xf>
    <xf numFmtId="0" fontId="13" fillId="0" borderId="14" xfId="0" applyFont="1" applyFill="1" applyBorder="1" applyAlignment="1">
      <alignment vertical="center"/>
    </xf>
    <xf numFmtId="0" fontId="13" fillId="0" borderId="15" xfId="0" applyFont="1" applyFill="1" applyBorder="1" applyAlignment="1">
      <alignment vertical="center"/>
    </xf>
    <xf numFmtId="0" fontId="13" fillId="0" borderId="16" xfId="0" applyFont="1" applyFill="1" applyBorder="1" applyAlignment="1">
      <alignment vertical="center"/>
    </xf>
    <xf numFmtId="0" fontId="13" fillId="0" borderId="16" xfId="0" applyFont="1" applyFill="1" applyBorder="1" applyAlignment="1">
      <alignment horizontal="center" vertical="center"/>
    </xf>
    <xf numFmtId="49" fontId="13" fillId="0" borderId="16" xfId="0" applyNumberFormat="1" applyFont="1" applyFill="1" applyBorder="1" applyAlignment="1">
      <alignment vertical="center"/>
    </xf>
    <xf numFmtId="0" fontId="13" fillId="0" borderId="17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left" vertical="center"/>
    </xf>
    <xf numFmtId="177" fontId="15" fillId="0" borderId="0" xfId="0" applyNumberFormat="1" applyFont="1" applyFill="1" applyBorder="1" applyAlignment="1">
      <alignment horizontal="left" vertical="center"/>
    </xf>
    <xf numFmtId="178" fontId="13" fillId="0" borderId="0" xfId="0" applyNumberFormat="1" applyFont="1" applyFill="1" applyBorder="1" applyAlignment="1">
      <alignment vertical="center"/>
    </xf>
    <xf numFmtId="0" fontId="12" fillId="2" borderId="1" xfId="0" applyFont="1" applyFill="1" applyBorder="1" applyAlignment="1">
      <alignment vertical="center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2" fillId="2" borderId="4" xfId="0" applyFont="1" applyFill="1" applyBorder="1" applyAlignment="1">
      <alignment vertical="center"/>
    </xf>
    <xf numFmtId="0" fontId="13" fillId="2" borderId="5" xfId="0" applyFont="1" applyFill="1" applyBorder="1" applyAlignment="1">
      <alignment vertical="center"/>
    </xf>
    <xf numFmtId="0" fontId="13" fillId="2" borderId="6" xfId="0" applyFont="1" applyFill="1" applyBorder="1" applyAlignment="1">
      <alignment vertical="center"/>
    </xf>
    <xf numFmtId="0" fontId="12" fillId="2" borderId="7" xfId="0" applyFont="1" applyFill="1" applyBorder="1" applyAlignment="1">
      <alignment vertical="center"/>
    </xf>
    <xf numFmtId="0" fontId="13" fillId="2" borderId="0" xfId="0" applyFont="1" applyFill="1" applyBorder="1" applyAlignment="1">
      <alignment vertical="center"/>
    </xf>
    <xf numFmtId="0" fontId="13" fillId="2" borderId="8" xfId="0" applyFont="1" applyFill="1" applyBorder="1" applyAlignment="1">
      <alignment vertical="center"/>
    </xf>
    <xf numFmtId="0" fontId="12" fillId="2" borderId="9" xfId="0" applyFont="1" applyFill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11" xfId="0" applyFont="1" applyFill="1" applyBorder="1" applyAlignment="1">
      <alignment vertical="center"/>
    </xf>
    <xf numFmtId="177" fontId="15" fillId="0" borderId="0" xfId="0" applyNumberFormat="1" applyFont="1" applyFill="1" applyBorder="1" applyAlignment="1">
      <alignment vertical="center"/>
    </xf>
    <xf numFmtId="0" fontId="13" fillId="0" borderId="5" xfId="0" applyFont="1" applyFill="1" applyBorder="1" applyAlignment="1">
      <alignment vertical="center"/>
    </xf>
    <xf numFmtId="0" fontId="13" fillId="0" borderId="4" xfId="0" applyFont="1" applyFill="1" applyBorder="1" applyAlignment="1">
      <alignment vertical="center"/>
    </xf>
    <xf numFmtId="49" fontId="13" fillId="0" borderId="2" xfId="0" applyNumberFormat="1" applyFont="1" applyFill="1" applyBorder="1" applyAlignment="1">
      <alignment vertical="center"/>
    </xf>
    <xf numFmtId="0" fontId="16" fillId="0" borderId="0" xfId="0" quotePrefix="1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6" fillId="3" borderId="0" xfId="0" applyFont="1" applyFill="1">
      <alignment vertical="center"/>
    </xf>
    <xf numFmtId="0" fontId="6" fillId="3" borderId="0" xfId="0" applyFont="1" applyFill="1" applyAlignment="1">
      <alignment horizontal="center"/>
    </xf>
    <xf numFmtId="49" fontId="6" fillId="3" borderId="0" xfId="0" applyNumberFormat="1" applyFont="1" applyFill="1">
      <alignment vertical="center"/>
    </xf>
    <xf numFmtId="0" fontId="0" fillId="3" borderId="0" xfId="0" applyFill="1" applyBorder="1" applyAlignment="1"/>
    <xf numFmtId="0" fontId="0" fillId="3" borderId="0" xfId="0" applyFill="1" applyBorder="1">
      <alignment vertical="center"/>
    </xf>
    <xf numFmtId="0" fontId="6" fillId="3" borderId="0" xfId="0" applyFont="1" applyFill="1" applyBorder="1">
      <alignment vertical="center"/>
    </xf>
    <xf numFmtId="0" fontId="6" fillId="3" borderId="0" xfId="0" applyFont="1" applyFill="1" applyBorder="1" applyAlignment="1">
      <alignment horizontal="center"/>
    </xf>
    <xf numFmtId="49" fontId="6" fillId="3" borderId="0" xfId="0" applyNumberFormat="1" applyFont="1" applyFill="1" applyBorder="1">
      <alignment vertical="center"/>
    </xf>
    <xf numFmtId="0" fontId="10" fillId="0" borderId="0" xfId="0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6" fillId="0" borderId="12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left" vertical="center"/>
    </xf>
    <xf numFmtId="0" fontId="6" fillId="4" borderId="12" xfId="0" applyFont="1" applyFill="1" applyBorder="1" applyAlignment="1">
      <alignment vertical="center"/>
    </xf>
    <xf numFmtId="0" fontId="24" fillId="4" borderId="28" xfId="0" applyFont="1" applyFill="1" applyBorder="1" applyAlignment="1">
      <alignment horizontal="center" vertical="center"/>
    </xf>
    <xf numFmtId="0" fontId="21" fillId="4" borderId="28" xfId="0" applyFont="1" applyFill="1" applyBorder="1" applyAlignment="1">
      <alignment horizontal="center" vertical="center"/>
    </xf>
    <xf numFmtId="0" fontId="21" fillId="0" borderId="0" xfId="0" applyFont="1" applyFill="1">
      <alignment vertical="center"/>
    </xf>
    <xf numFmtId="0" fontId="21" fillId="0" borderId="28" xfId="0" applyFont="1" applyFill="1" applyBorder="1" applyAlignment="1">
      <alignment vertical="center"/>
    </xf>
    <xf numFmtId="0" fontId="21" fillId="0" borderId="0" xfId="0" applyFont="1" applyFill="1" applyAlignment="1">
      <alignment vertical="center"/>
    </xf>
    <xf numFmtId="0" fontId="21" fillId="4" borderId="12" xfId="0" applyFont="1" applyFill="1" applyBorder="1" applyAlignment="1">
      <alignment vertical="center"/>
    </xf>
    <xf numFmtId="0" fontId="13" fillId="0" borderId="7" xfId="0" applyFont="1" applyFill="1" applyBorder="1" applyAlignment="1">
      <alignment vertical="center"/>
    </xf>
    <xf numFmtId="0" fontId="12" fillId="2" borderId="1" xfId="0" applyFont="1" applyFill="1" applyBorder="1" applyAlignment="1">
      <alignment vertical="center"/>
    </xf>
    <xf numFmtId="0" fontId="13" fillId="0" borderId="26" xfId="0" applyFont="1" applyFill="1" applyBorder="1" applyAlignment="1">
      <alignment vertical="center"/>
    </xf>
    <xf numFmtId="0" fontId="13" fillId="0" borderId="27" xfId="0" applyFont="1" applyFill="1" applyBorder="1" applyAlignment="1">
      <alignment vertical="center"/>
    </xf>
    <xf numFmtId="0" fontId="13" fillId="0" borderId="8" xfId="0" applyFont="1" applyFill="1" applyBorder="1" applyAlignment="1">
      <alignment vertical="center"/>
    </xf>
    <xf numFmtId="0" fontId="13" fillId="0" borderId="0" xfId="0" applyFont="1" applyFill="1">
      <alignment vertical="center"/>
    </xf>
    <xf numFmtId="0" fontId="13" fillId="0" borderId="13" xfId="0" applyFont="1" applyFill="1" applyBorder="1" applyAlignment="1">
      <alignment horizontal="left" vertical="center"/>
    </xf>
    <xf numFmtId="49" fontId="13" fillId="0" borderId="0" xfId="0" applyNumberFormat="1" applyFont="1" applyFill="1" applyBorder="1" applyAlignment="1">
      <alignment horizontal="left" vertical="center"/>
    </xf>
    <xf numFmtId="0" fontId="13" fillId="0" borderId="14" xfId="0" applyFont="1" applyFill="1" applyBorder="1" applyAlignment="1">
      <alignment horizontal="left" vertical="center"/>
    </xf>
    <xf numFmtId="49" fontId="13" fillId="0" borderId="0" xfId="0" applyNumberFormat="1" applyFont="1" applyFill="1" applyAlignment="1">
      <alignment vertical="center"/>
    </xf>
    <xf numFmtId="0" fontId="13" fillId="0" borderId="15" xfId="0" applyFont="1" applyFill="1" applyBorder="1" applyAlignment="1">
      <alignment horizontal="left" vertical="center"/>
    </xf>
    <xf numFmtId="0" fontId="13" fillId="0" borderId="16" xfId="0" applyFont="1" applyFill="1" applyBorder="1" applyAlignment="1">
      <alignment horizontal="left" vertical="center"/>
    </xf>
    <xf numFmtId="49" fontId="13" fillId="0" borderId="16" xfId="0" applyNumberFormat="1" applyFont="1" applyFill="1" applyBorder="1" applyAlignment="1">
      <alignment horizontal="left" vertical="center"/>
    </xf>
    <xf numFmtId="0" fontId="13" fillId="0" borderId="17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vertical="center"/>
    </xf>
    <xf numFmtId="0" fontId="13" fillId="0" borderId="11" xfId="0" applyFont="1" applyFill="1" applyBorder="1" applyAlignment="1">
      <alignment vertical="center"/>
    </xf>
    <xf numFmtId="0" fontId="13" fillId="0" borderId="9" xfId="0" applyFont="1" applyFill="1" applyBorder="1" applyAlignment="1">
      <alignment vertical="center"/>
    </xf>
    <xf numFmtId="0" fontId="13" fillId="0" borderId="10" xfId="0" applyFont="1" applyFill="1" applyBorder="1" applyAlignment="1">
      <alignment vertical="center"/>
    </xf>
    <xf numFmtId="0" fontId="13" fillId="0" borderId="0" xfId="0" quotePrefix="1" applyFont="1" applyFill="1" applyBorder="1" applyAlignment="1">
      <alignment horizontal="left" vertical="center"/>
    </xf>
    <xf numFmtId="49" fontId="16" fillId="0" borderId="0" xfId="0" applyNumberFormat="1" applyFont="1" applyFill="1" applyBorder="1" applyAlignment="1">
      <alignment horizontal="left" vertical="center"/>
    </xf>
    <xf numFmtId="0" fontId="6" fillId="0" borderId="0" xfId="0" applyFont="1" applyFill="1" applyBorder="1">
      <alignment vertical="center"/>
    </xf>
    <xf numFmtId="0" fontId="6" fillId="0" borderId="0" xfId="0" applyFont="1" applyFill="1">
      <alignment vertical="center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/>
    <xf numFmtId="0" fontId="6" fillId="0" borderId="0" xfId="0" applyFont="1" applyFill="1" applyAlignment="1"/>
    <xf numFmtId="0" fontId="5" fillId="0" borderId="0" xfId="0" applyFont="1" applyFill="1" applyAlignment="1">
      <alignment horizontal="center"/>
    </xf>
    <xf numFmtId="49" fontId="6" fillId="0" borderId="0" xfId="0" applyNumberFormat="1" applyFont="1" applyFill="1" applyAlignment="1"/>
    <xf numFmtId="0" fontId="5" fillId="0" borderId="0" xfId="0" applyFont="1" applyFill="1" applyAlignment="1">
      <alignment horizontal="left"/>
    </xf>
    <xf numFmtId="0" fontId="6" fillId="0" borderId="0" xfId="0" applyFont="1" applyFill="1" applyAlignment="1">
      <alignment horizontal="left"/>
    </xf>
    <xf numFmtId="0" fontId="6" fillId="0" borderId="0" xfId="0" applyFont="1" applyFill="1" applyAlignment="1">
      <alignment horizontal="center"/>
    </xf>
    <xf numFmtId="176" fontId="6" fillId="0" borderId="0" xfId="0" applyNumberFormat="1" applyFont="1" applyFill="1" applyAlignment="1"/>
    <xf numFmtId="0" fontId="8" fillId="0" borderId="0" xfId="0" applyFont="1" applyFill="1" applyAlignment="1" applyProtection="1">
      <alignment horizontal="left"/>
    </xf>
    <xf numFmtId="49" fontId="3" fillId="0" borderId="0" xfId="0" applyNumberFormat="1" applyFont="1" applyFill="1" applyAlignment="1">
      <alignment horizontal="left"/>
    </xf>
    <xf numFmtId="49" fontId="6" fillId="0" borderId="0" xfId="0" applyNumberFormat="1" applyFont="1" applyFill="1">
      <alignment vertical="center"/>
    </xf>
    <xf numFmtId="0" fontId="9" fillId="0" borderId="0" xfId="0" applyFont="1" applyFill="1" applyAlignment="1"/>
    <xf numFmtId="0" fontId="23" fillId="0" borderId="0" xfId="0" applyFont="1" applyFill="1">
      <alignment vertical="center"/>
    </xf>
    <xf numFmtId="0" fontId="0" fillId="0" borderId="0" xfId="0" applyFill="1" applyBorder="1" applyAlignment="1"/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/>
    <xf numFmtId="0" fontId="6" fillId="0" borderId="0" xfId="0" applyFont="1" applyFill="1" applyBorder="1" applyAlignment="1"/>
    <xf numFmtId="0" fontId="5" fillId="0" borderId="0" xfId="0" applyFont="1" applyFill="1" applyBorder="1" applyAlignment="1">
      <alignment horizontal="center"/>
    </xf>
    <xf numFmtId="49" fontId="6" fillId="0" borderId="0" xfId="0" applyNumberFormat="1" applyFont="1" applyFill="1" applyBorder="1" applyAlignment="1"/>
    <xf numFmtId="0" fontId="5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176" fontId="6" fillId="0" borderId="0" xfId="0" applyNumberFormat="1" applyFont="1" applyFill="1" applyBorder="1" applyAlignment="1"/>
    <xf numFmtId="0" fontId="8" fillId="0" borderId="0" xfId="0" applyFont="1" applyFill="1" applyBorder="1" applyAlignment="1" applyProtection="1">
      <alignment horizontal="left"/>
    </xf>
    <xf numFmtId="49" fontId="7" fillId="0" borderId="0" xfId="0" applyNumberFormat="1" applyFont="1" applyFill="1" applyAlignment="1">
      <alignment horizontal="left"/>
    </xf>
    <xf numFmtId="49" fontId="6" fillId="0" borderId="0" xfId="0" applyNumberFormat="1" applyFont="1" applyFill="1" applyBorder="1">
      <alignment vertical="center"/>
    </xf>
    <xf numFmtId="0" fontId="9" fillId="0" borderId="0" xfId="0" applyFont="1" applyFill="1" applyBorder="1" applyAlignment="1"/>
    <xf numFmtId="0" fontId="45" fillId="0" borderId="12" xfId="0" applyFont="1" applyFill="1" applyBorder="1" applyAlignment="1" applyProtection="1">
      <alignment horizontal="center" vertical="center" shrinkToFit="1"/>
      <protection locked="0"/>
    </xf>
    <xf numFmtId="179" fontId="45" fillId="0" borderId="12" xfId="0" applyNumberFormat="1" applyFont="1" applyFill="1" applyBorder="1" applyAlignment="1" applyProtection="1">
      <alignment horizontal="center" vertical="center" shrinkToFit="1"/>
      <protection locked="0"/>
    </xf>
    <xf numFmtId="14" fontId="45" fillId="0" borderId="12" xfId="0" applyNumberFormat="1" applyFont="1" applyFill="1" applyBorder="1" applyAlignment="1" applyProtection="1">
      <alignment horizontal="center" vertical="center" shrinkToFit="1"/>
      <protection locked="0"/>
    </xf>
    <xf numFmtId="0" fontId="45" fillId="0" borderId="12" xfId="0" applyFont="1" applyFill="1" applyBorder="1" applyAlignment="1">
      <alignment horizontal="center" vertical="center" shrinkToFit="1"/>
    </xf>
    <xf numFmtId="49" fontId="13" fillId="0" borderId="13" xfId="0" applyNumberFormat="1" applyFont="1" applyFill="1" applyBorder="1" applyAlignment="1">
      <alignment vertical="center"/>
    </xf>
    <xf numFmtId="49" fontId="13" fillId="0" borderId="14" xfId="0" applyNumberFormat="1" applyFont="1" applyFill="1" applyBorder="1" applyAlignment="1">
      <alignment vertical="center"/>
    </xf>
    <xf numFmtId="49" fontId="13" fillId="0" borderId="15" xfId="0" applyNumberFormat="1" applyFont="1" applyFill="1" applyBorder="1" applyAlignment="1">
      <alignment vertical="center"/>
    </xf>
    <xf numFmtId="49" fontId="13" fillId="0" borderId="17" xfId="0" applyNumberFormat="1" applyFont="1" applyFill="1" applyBorder="1" applyAlignment="1">
      <alignment vertical="center"/>
    </xf>
    <xf numFmtId="49" fontId="13" fillId="0" borderId="1" xfId="0" applyNumberFormat="1" applyFont="1" applyFill="1" applyBorder="1" applyAlignment="1">
      <alignment horizontal="left" vertical="center"/>
    </xf>
    <xf numFmtId="49" fontId="13" fillId="0" borderId="1" xfId="0" applyNumberFormat="1" applyFont="1" applyFill="1" applyBorder="1" applyAlignment="1">
      <alignment vertical="center"/>
    </xf>
    <xf numFmtId="49" fontId="13" fillId="0" borderId="3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2" xfId="0" applyNumberFormat="1" applyFont="1" applyFill="1" applyBorder="1" applyAlignment="1">
      <alignment vertical="center"/>
    </xf>
    <xf numFmtId="49" fontId="16" fillId="0" borderId="3" xfId="0" applyNumberFormat="1" applyFont="1" applyFill="1" applyBorder="1" applyAlignment="1">
      <alignment vertical="center"/>
    </xf>
    <xf numFmtId="49" fontId="16" fillId="0" borderId="7" xfId="0" applyNumberFormat="1" applyFont="1" applyFill="1" applyBorder="1" applyAlignment="1">
      <alignment vertical="center"/>
    </xf>
    <xf numFmtId="49" fontId="13" fillId="0" borderId="8" xfId="0" applyNumberFormat="1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13" fillId="0" borderId="0" xfId="0" applyFont="1" applyFill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0" fillId="0" borderId="0" xfId="0" applyFill="1">
      <alignment vertical="center"/>
    </xf>
    <xf numFmtId="0" fontId="13" fillId="0" borderId="0" xfId="0" applyFont="1" applyFill="1" applyAlignment="1">
      <alignment vertical="center"/>
    </xf>
    <xf numFmtId="0" fontId="19" fillId="0" borderId="0" xfId="0" applyFont="1" applyFill="1" applyAlignment="1"/>
    <xf numFmtId="0" fontId="44" fillId="0" borderId="1" xfId="0" applyFont="1" applyFill="1" applyBorder="1" applyAlignment="1">
      <alignment horizontal="centerContinuous" vertical="center" wrapText="1" shrinkToFit="1"/>
    </xf>
    <xf numFmtId="0" fontId="44" fillId="0" borderId="2" xfId="0" applyFont="1" applyFill="1" applyBorder="1" applyAlignment="1">
      <alignment horizontal="centerContinuous" vertical="center" wrapText="1" shrinkToFit="1"/>
    </xf>
    <xf numFmtId="0" fontId="44" fillId="0" borderId="3" xfId="0" applyFont="1" applyFill="1" applyBorder="1" applyAlignment="1">
      <alignment horizontal="centerContinuous" vertical="center" wrapText="1" shrinkToFit="1"/>
    </xf>
    <xf numFmtId="0" fontId="44" fillId="0" borderId="4" xfId="0" applyFont="1" applyFill="1" applyBorder="1" applyAlignment="1">
      <alignment vertical="center" wrapText="1"/>
    </xf>
    <xf numFmtId="0" fontId="44" fillId="0" borderId="5" xfId="0" applyFont="1" applyFill="1" applyBorder="1" applyAlignment="1">
      <alignment vertical="center" wrapText="1"/>
    </xf>
    <xf numFmtId="0" fontId="44" fillId="0" borderId="6" xfId="0" applyFont="1" applyFill="1" applyBorder="1" applyAlignment="1">
      <alignment vertical="center" wrapText="1"/>
    </xf>
    <xf numFmtId="0" fontId="44" fillId="0" borderId="7" xfId="0" applyFont="1" applyFill="1" applyBorder="1" applyAlignment="1">
      <alignment vertical="center" wrapText="1"/>
    </xf>
    <xf numFmtId="0" fontId="44" fillId="0" borderId="0" xfId="0" applyFont="1" applyFill="1" applyBorder="1" applyAlignment="1">
      <alignment vertical="center" wrapText="1"/>
    </xf>
    <xf numFmtId="0" fontId="44" fillId="0" borderId="8" xfId="0" applyFont="1" applyFill="1" applyBorder="1" applyAlignment="1">
      <alignment vertical="center" wrapText="1"/>
    </xf>
    <xf numFmtId="0" fontId="44" fillId="0" borderId="9" xfId="0" applyFont="1" applyFill="1" applyBorder="1" applyAlignment="1">
      <alignment vertical="center" wrapText="1"/>
    </xf>
    <xf numFmtId="0" fontId="44" fillId="0" borderId="10" xfId="0" applyFont="1" applyFill="1" applyBorder="1" applyAlignment="1">
      <alignment vertical="center" wrapText="1"/>
    </xf>
    <xf numFmtId="0" fontId="44" fillId="0" borderId="11" xfId="0" applyFont="1" applyFill="1" applyBorder="1" applyAlignment="1">
      <alignment vertical="center" wrapText="1"/>
    </xf>
    <xf numFmtId="0" fontId="47" fillId="37" borderId="1" xfId="0" applyFont="1" applyFill="1" applyBorder="1" applyAlignment="1">
      <alignment horizontal="centerContinuous" vertical="center"/>
    </xf>
    <xf numFmtId="0" fontId="0" fillId="37" borderId="2" xfId="0" applyFont="1" applyFill="1" applyBorder="1" applyAlignment="1">
      <alignment horizontal="centerContinuous" vertical="center"/>
    </xf>
    <xf numFmtId="0" fontId="0" fillId="37" borderId="3" xfId="0" applyFont="1" applyFill="1" applyBorder="1" applyAlignment="1">
      <alignment horizontal="centerContinuous" vertical="center"/>
    </xf>
    <xf numFmtId="0" fontId="48" fillId="37" borderId="1" xfId="0" applyFont="1" applyFill="1" applyBorder="1" applyAlignment="1">
      <alignment horizontal="centerContinuous" vertical="center"/>
    </xf>
    <xf numFmtId="0" fontId="13" fillId="0" borderId="1" xfId="0" applyFont="1" applyFill="1" applyBorder="1" applyAlignment="1"/>
    <xf numFmtId="0" fontId="0" fillId="0" borderId="2" xfId="0" applyFont="1" applyFill="1" applyBorder="1" applyAlignment="1">
      <alignment vertical="center"/>
    </xf>
    <xf numFmtId="0" fontId="0" fillId="0" borderId="3" xfId="0" applyFont="1" applyFill="1" applyBorder="1" applyAlignment="1">
      <alignment vertical="center"/>
    </xf>
    <xf numFmtId="0" fontId="48" fillId="37" borderId="2" xfId="0" applyFont="1" applyFill="1" applyBorder="1" applyAlignment="1">
      <alignment horizontal="centerContinuous" vertical="center"/>
    </xf>
    <xf numFmtId="0" fontId="48" fillId="37" borderId="3" xfId="0" applyFont="1" applyFill="1" applyBorder="1" applyAlignment="1">
      <alignment horizontal="centerContinuous" vertical="center"/>
    </xf>
    <xf numFmtId="0" fontId="13" fillId="0" borderId="1" xfId="0" applyFont="1" applyFill="1" applyBorder="1" applyAlignment="1">
      <alignment horizontal="centerContinuous" vertical="center"/>
    </xf>
    <xf numFmtId="0" fontId="13" fillId="0" borderId="2" xfId="0" applyFont="1" applyFill="1" applyBorder="1" applyAlignment="1">
      <alignment horizontal="centerContinuous" vertical="center"/>
    </xf>
    <xf numFmtId="0" fontId="13" fillId="0" borderId="3" xfId="0" applyFont="1" applyFill="1" applyBorder="1" applyAlignment="1">
      <alignment horizontal="centerContinuous" vertical="center"/>
    </xf>
    <xf numFmtId="0" fontId="0" fillId="0" borderId="0" xfId="0" applyFill="1" applyAlignment="1">
      <alignment vertical="center"/>
    </xf>
    <xf numFmtId="0" fontId="48" fillId="37" borderId="1" xfId="0" applyFont="1" applyFill="1" applyBorder="1" applyAlignment="1">
      <alignment vertical="center"/>
    </xf>
    <xf numFmtId="0" fontId="48" fillId="37" borderId="2" xfId="0" applyFont="1" applyFill="1" applyBorder="1" applyAlignment="1">
      <alignment vertical="center"/>
    </xf>
    <xf numFmtId="0" fontId="48" fillId="37" borderId="12" xfId="0" applyFont="1" applyFill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0" fontId="48" fillId="0" borderId="2" xfId="0" applyFont="1" applyFill="1" applyBorder="1" applyAlignment="1">
      <alignment vertical="center"/>
    </xf>
    <xf numFmtId="0" fontId="48" fillId="0" borderId="3" xfId="0" applyFont="1" applyFill="1" applyBorder="1" applyAlignment="1">
      <alignment vertical="center"/>
    </xf>
    <xf numFmtId="49" fontId="49" fillId="0" borderId="4" xfId="0" quotePrefix="1" applyNumberFormat="1" applyFont="1" applyFill="1" applyBorder="1" applyAlignment="1">
      <alignment vertical="center"/>
    </xf>
    <xf numFmtId="49" fontId="13" fillId="0" borderId="5" xfId="0" applyNumberFormat="1" applyFont="1" applyFill="1" applyBorder="1" applyAlignment="1">
      <alignment vertical="center"/>
    </xf>
    <xf numFmtId="49" fontId="13" fillId="0" borderId="6" xfId="0" applyNumberFormat="1" applyFont="1" applyFill="1" applyBorder="1" applyAlignment="1">
      <alignment vertical="center"/>
    </xf>
    <xf numFmtId="49" fontId="49" fillId="0" borderId="7" xfId="0" quotePrefix="1" applyNumberFormat="1" applyFont="1" applyFill="1" applyBorder="1" applyAlignment="1">
      <alignment vertical="center"/>
    </xf>
    <xf numFmtId="49" fontId="49" fillId="0" borderId="9" xfId="0" quotePrefix="1" applyNumberFormat="1" applyFont="1" applyFill="1" applyBorder="1" applyAlignment="1">
      <alignment vertical="center"/>
    </xf>
    <xf numFmtId="49" fontId="13" fillId="0" borderId="10" xfId="0" applyNumberFormat="1" applyFont="1" applyFill="1" applyBorder="1" applyAlignment="1">
      <alignment vertical="center"/>
    </xf>
    <xf numFmtId="49" fontId="13" fillId="0" borderId="11" xfId="0" applyNumberFormat="1" applyFont="1" applyFill="1" applyBorder="1" applyAlignment="1">
      <alignment vertical="center"/>
    </xf>
    <xf numFmtId="0" fontId="12" fillId="2" borderId="1" xfId="0" applyFont="1" applyFill="1" applyBorder="1" applyAlignment="1">
      <alignment horizontal="centerContinuous" vertical="center"/>
    </xf>
    <xf numFmtId="0" fontId="12" fillId="2" borderId="2" xfId="0" applyFont="1" applyFill="1" applyBorder="1" applyAlignment="1">
      <alignment horizontal="centerContinuous" vertical="center"/>
    </xf>
    <xf numFmtId="0" fontId="12" fillId="2" borderId="3" xfId="0" applyFont="1" applyFill="1" applyBorder="1" applyAlignment="1">
      <alignment horizontal="centerContinuous" vertical="center"/>
    </xf>
    <xf numFmtId="0" fontId="12" fillId="2" borderId="4" xfId="0" applyFont="1" applyFill="1" applyBorder="1" applyAlignment="1">
      <alignment horizontal="centerContinuous" vertical="center"/>
    </xf>
    <xf numFmtId="0" fontId="12" fillId="2" borderId="5" xfId="0" applyFont="1" applyFill="1" applyBorder="1" applyAlignment="1">
      <alignment horizontal="centerContinuous" vertical="center"/>
    </xf>
    <xf numFmtId="0" fontId="12" fillId="2" borderId="6" xfId="0" applyFont="1" applyFill="1" applyBorder="1" applyAlignment="1">
      <alignment horizontal="centerContinuous" vertical="center"/>
    </xf>
    <xf numFmtId="0" fontId="13" fillId="0" borderId="38" xfId="0" applyFont="1" applyFill="1" applyBorder="1" applyAlignment="1">
      <alignment vertical="center"/>
    </xf>
    <xf numFmtId="0" fontId="13" fillId="0" borderId="39" xfId="0" applyFont="1" applyFill="1" applyBorder="1" applyAlignment="1">
      <alignment vertical="center"/>
    </xf>
    <xf numFmtId="0" fontId="13" fillId="0" borderId="40" xfId="0" applyFont="1" applyFill="1" applyBorder="1" applyAlignment="1">
      <alignment vertical="center"/>
    </xf>
    <xf numFmtId="0" fontId="13" fillId="0" borderId="41" xfId="0" applyFont="1" applyFill="1" applyBorder="1" applyAlignment="1">
      <alignment vertical="center"/>
    </xf>
    <xf numFmtId="0" fontId="13" fillId="0" borderId="42" xfId="0" applyFont="1" applyFill="1" applyBorder="1" applyAlignment="1">
      <alignment vertical="center"/>
    </xf>
    <xf numFmtId="0" fontId="13" fillId="0" borderId="43" xfId="0" applyFont="1" applyFill="1" applyBorder="1" applyAlignment="1">
      <alignment vertical="center"/>
    </xf>
    <xf numFmtId="0" fontId="13" fillId="0" borderId="44" xfId="0" applyFont="1" applyFill="1" applyBorder="1" applyAlignment="1">
      <alignment vertical="center"/>
    </xf>
    <xf numFmtId="0" fontId="13" fillId="0" borderId="45" xfId="0" applyFont="1" applyFill="1" applyBorder="1" applyAlignment="1">
      <alignment vertical="center"/>
    </xf>
    <xf numFmtId="0" fontId="13" fillId="0" borderId="46" xfId="0" applyFont="1" applyFill="1" applyBorder="1" applyAlignment="1">
      <alignment vertical="center"/>
    </xf>
    <xf numFmtId="0" fontId="13" fillId="0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3" fillId="0" borderId="2" xfId="0" applyFont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2" xfId="0" applyFont="1" applyBorder="1" applyAlignment="1">
      <alignment horizontal="center" vertical="center"/>
    </xf>
    <xf numFmtId="0" fontId="13" fillId="0" borderId="0" xfId="0" applyFont="1" applyFill="1" applyAlignment="1">
      <alignment vertical="center"/>
    </xf>
    <xf numFmtId="188" fontId="51" fillId="0" borderId="0" xfId="56" applyNumberFormat="1" applyFont="1" applyAlignment="1" applyProtection="1">
      <alignment horizontal="center" vertical="center"/>
      <protection locked="0"/>
    </xf>
    <xf numFmtId="188" fontId="51" fillId="0" borderId="0" xfId="56" applyNumberFormat="1" applyFont="1" applyAlignment="1">
      <alignment horizontal="center" vertical="center"/>
    </xf>
    <xf numFmtId="188" fontId="1" fillId="0" borderId="0" xfId="56" applyNumberFormat="1" applyAlignment="1">
      <alignment horizontal="center" vertical="center"/>
    </xf>
    <xf numFmtId="0" fontId="51" fillId="0" borderId="0" xfId="56" applyNumberFormat="1" applyFont="1" applyAlignment="1">
      <alignment vertical="center" shrinkToFit="1"/>
    </xf>
    <xf numFmtId="0" fontId="51" fillId="0" borderId="0" xfId="56" applyFont="1" applyFill="1" applyBorder="1" applyAlignment="1" applyProtection="1">
      <alignment vertical="center" shrinkToFit="1"/>
      <protection locked="0"/>
    </xf>
    <xf numFmtId="0" fontId="51" fillId="0" borderId="0" xfId="56" applyFont="1" applyFill="1" applyBorder="1" applyAlignment="1" applyProtection="1">
      <alignment horizontal="center" vertical="center" shrinkToFit="1"/>
      <protection locked="0"/>
    </xf>
    <xf numFmtId="0" fontId="51" fillId="0" borderId="0" xfId="56" applyNumberFormat="1" applyFont="1" applyFill="1" applyAlignment="1" applyProtection="1">
      <alignment vertical="center" shrinkToFit="1"/>
      <protection locked="0"/>
    </xf>
    <xf numFmtId="0" fontId="1" fillId="0" borderId="0" xfId="56">
      <alignment vertical="center"/>
    </xf>
    <xf numFmtId="0" fontId="51" fillId="0" borderId="0" xfId="56" applyNumberFormat="1" applyFont="1" applyAlignment="1" applyProtection="1">
      <alignment vertical="center" shrinkToFit="1"/>
      <protection locked="0"/>
    </xf>
    <xf numFmtId="0" fontId="51" fillId="0" borderId="48" xfId="56" applyFont="1" applyBorder="1" applyAlignment="1" applyProtection="1">
      <alignment vertical="center" shrinkToFit="1"/>
      <protection locked="0"/>
    </xf>
    <xf numFmtId="49" fontId="51" fillId="0" borderId="48" xfId="56" applyNumberFormat="1" applyFont="1" applyBorder="1" applyAlignment="1" applyProtection="1">
      <alignment vertical="center" shrinkToFit="1"/>
      <protection locked="0"/>
    </xf>
    <xf numFmtId="0" fontId="1" fillId="0" borderId="48" xfId="56" applyBorder="1">
      <alignment vertical="center"/>
    </xf>
    <xf numFmtId="49" fontId="51" fillId="0" borderId="48" xfId="56" applyNumberFormat="1" applyFont="1" applyBorder="1" applyAlignment="1" applyProtection="1">
      <alignment horizontal="left" vertical="center" shrinkToFit="1"/>
      <protection locked="0"/>
    </xf>
    <xf numFmtId="0" fontId="51" fillId="0" borderId="48" xfId="56" applyNumberFormat="1" applyFont="1" applyFill="1" applyBorder="1" applyAlignment="1" applyProtection="1">
      <alignment horizontal="left" vertical="center" shrinkToFit="1"/>
      <protection locked="0"/>
    </xf>
    <xf numFmtId="0" fontId="1" fillId="0" borderId="48" xfId="56" applyBorder="1" applyAlignment="1">
      <alignment vertical="center" shrinkToFit="1"/>
    </xf>
    <xf numFmtId="0" fontId="1" fillId="0" borderId="51" xfId="56" applyBorder="1">
      <alignment vertical="center"/>
    </xf>
    <xf numFmtId="189" fontId="51" fillId="0" borderId="0" xfId="56" applyNumberFormat="1" applyFont="1" applyAlignment="1">
      <alignment vertical="center" shrinkToFit="1"/>
    </xf>
    <xf numFmtId="0" fontId="58" fillId="43" borderId="12" xfId="56" applyFont="1" applyFill="1" applyBorder="1" applyAlignment="1" applyProtection="1">
      <alignment horizontal="center" vertical="center" wrapText="1"/>
      <protection locked="0"/>
    </xf>
    <xf numFmtId="0" fontId="1" fillId="0" borderId="0" xfId="56" applyProtection="1">
      <alignment vertical="center"/>
      <protection locked="0"/>
    </xf>
    <xf numFmtId="0" fontId="51" fillId="44" borderId="49" xfId="56" applyFont="1" applyFill="1" applyBorder="1" applyAlignment="1" applyProtection="1">
      <alignment horizontal="centerContinuous" vertical="center"/>
      <protection locked="0"/>
    </xf>
    <xf numFmtId="0" fontId="13" fillId="44" borderId="49" xfId="56" applyFont="1" applyFill="1" applyBorder="1" applyAlignment="1" applyProtection="1">
      <alignment horizontal="center" vertical="center"/>
      <protection locked="0"/>
    </xf>
    <xf numFmtId="0" fontId="51" fillId="0" borderId="49" xfId="56" applyFont="1" applyBorder="1" applyAlignment="1" applyProtection="1">
      <alignment horizontal="center" vertical="center"/>
      <protection locked="0"/>
    </xf>
    <xf numFmtId="0" fontId="51" fillId="0" borderId="49" xfId="56" applyFont="1" applyBorder="1" applyProtection="1">
      <alignment vertical="center"/>
      <protection locked="0"/>
    </xf>
    <xf numFmtId="0" fontId="1" fillId="0" borderId="49" xfId="56" applyBorder="1" applyProtection="1">
      <alignment vertical="center"/>
      <protection locked="0"/>
    </xf>
    <xf numFmtId="0" fontId="51" fillId="0" borderId="50" xfId="56" applyFont="1" applyBorder="1" applyAlignment="1" applyProtection="1">
      <alignment horizontal="center" vertical="center"/>
      <protection locked="0"/>
    </xf>
    <xf numFmtId="0" fontId="51" fillId="0" borderId="50" xfId="56" applyFont="1" applyBorder="1" applyProtection="1">
      <alignment vertical="center"/>
      <protection locked="0"/>
    </xf>
    <xf numFmtId="0" fontId="51" fillId="0" borderId="0" xfId="56" applyFont="1" applyAlignment="1" applyProtection="1">
      <alignment horizontal="center" vertical="center"/>
      <protection locked="0"/>
    </xf>
    <xf numFmtId="0" fontId="51" fillId="0" borderId="0" xfId="56" applyFont="1" applyProtection="1">
      <alignment vertical="center"/>
      <protection locked="0"/>
    </xf>
    <xf numFmtId="0" fontId="55" fillId="42" borderId="47" xfId="54" applyBorder="1">
      <alignment horizontal="center" vertical="center"/>
    </xf>
    <xf numFmtId="0" fontId="0" fillId="0" borderId="48" xfId="0" applyBorder="1">
      <alignment vertical="center"/>
    </xf>
    <xf numFmtId="0" fontId="45" fillId="0" borderId="48" xfId="0" applyFont="1" applyFill="1" applyBorder="1" applyAlignment="1" applyProtection="1">
      <alignment horizontal="center" vertical="center" shrinkToFit="1"/>
      <protection locked="0"/>
    </xf>
    <xf numFmtId="179" fontId="45" fillId="0" borderId="48" xfId="0" applyNumberFormat="1" applyFont="1" applyFill="1" applyBorder="1" applyAlignment="1" applyProtection="1">
      <alignment horizontal="center" vertical="center" shrinkToFit="1"/>
      <protection locked="0"/>
    </xf>
    <xf numFmtId="14" fontId="45" fillId="0" borderId="48" xfId="0" applyNumberFormat="1" applyFont="1" applyFill="1" applyBorder="1" applyAlignment="1" applyProtection="1">
      <alignment horizontal="center" vertical="center" shrinkToFit="1"/>
      <protection locked="0"/>
    </xf>
    <xf numFmtId="0" fontId="45" fillId="0" borderId="48" xfId="0" applyFont="1" applyFill="1" applyBorder="1" applyAlignment="1">
      <alignment horizontal="center" vertical="center" shrinkToFit="1"/>
    </xf>
    <xf numFmtId="0" fontId="0" fillId="0" borderId="51" xfId="0" applyBorder="1">
      <alignment vertical="center"/>
    </xf>
    <xf numFmtId="0" fontId="45" fillId="0" borderId="51" xfId="0" applyFont="1" applyFill="1" applyBorder="1" applyAlignment="1">
      <alignment horizontal="center" vertical="center" shrinkToFit="1"/>
    </xf>
    <xf numFmtId="0" fontId="0" fillId="0" borderId="48" xfId="56" applyFont="1" applyBorder="1" applyAlignment="1" applyProtection="1">
      <alignment vertical="center" shrinkToFit="1"/>
      <protection locked="0"/>
    </xf>
    <xf numFmtId="49" fontId="0" fillId="0" borderId="48" xfId="56" applyNumberFormat="1" applyFont="1" applyBorder="1" applyAlignment="1" applyProtection="1">
      <alignment horizontal="left" vertical="center" shrinkToFit="1"/>
      <protection locked="0"/>
    </xf>
    <xf numFmtId="49" fontId="0" fillId="0" borderId="48" xfId="56" applyNumberFormat="1" applyFont="1" applyFill="1" applyBorder="1" applyAlignment="1" applyProtection="1">
      <alignment vertical="center" shrinkToFit="1"/>
      <protection locked="0"/>
    </xf>
    <xf numFmtId="49" fontId="0" fillId="0" borderId="48" xfId="56" applyNumberFormat="1" applyFont="1" applyBorder="1" applyAlignment="1" applyProtection="1">
      <alignment vertical="center" shrinkToFit="1"/>
      <protection locked="0"/>
    </xf>
    <xf numFmtId="0" fontId="12" fillId="2" borderId="2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vertical="center"/>
    </xf>
    <xf numFmtId="0" fontId="12" fillId="2" borderId="18" xfId="0" applyFont="1" applyFill="1" applyBorder="1" applyAlignment="1">
      <alignment horizontal="center" vertical="center"/>
    </xf>
    <xf numFmtId="0" fontId="12" fillId="2" borderId="19" xfId="0" applyFont="1" applyFill="1" applyBorder="1" applyAlignment="1">
      <alignment horizontal="center" vertical="center"/>
    </xf>
    <xf numFmtId="0" fontId="12" fillId="2" borderId="20" xfId="0" applyFont="1" applyFill="1" applyBorder="1" applyAlignment="1">
      <alignment horizontal="center" vertical="center"/>
    </xf>
    <xf numFmtId="0" fontId="13" fillId="0" borderId="21" xfId="0" applyFont="1" applyFill="1" applyBorder="1" applyAlignment="1">
      <alignment horizontal="center" vertical="center" shrinkToFit="1"/>
    </xf>
    <xf numFmtId="0" fontId="13" fillId="0" borderId="19" xfId="0" applyFont="1" applyFill="1" applyBorder="1" applyAlignment="1">
      <alignment horizontal="center" vertical="center" shrinkToFit="1"/>
    </xf>
    <xf numFmtId="0" fontId="13" fillId="0" borderId="20" xfId="0" applyFont="1" applyFill="1" applyBorder="1" applyAlignment="1">
      <alignment horizontal="center" vertical="center" shrinkToFit="1"/>
    </xf>
    <xf numFmtId="0" fontId="12" fillId="2" borderId="21" xfId="0" applyFont="1" applyFill="1" applyBorder="1" applyAlignment="1">
      <alignment horizontal="center" vertical="center"/>
    </xf>
    <xf numFmtId="0" fontId="13" fillId="0" borderId="21" xfId="0" applyNumberFormat="1" applyFont="1" applyFill="1" applyBorder="1" applyAlignment="1">
      <alignment horizontal="center" vertical="center" shrinkToFit="1"/>
    </xf>
    <xf numFmtId="0" fontId="13" fillId="0" borderId="19" xfId="0" applyNumberFormat="1" applyFont="1" applyFill="1" applyBorder="1" applyAlignment="1">
      <alignment horizontal="center" vertical="center" shrinkToFit="1"/>
    </xf>
    <xf numFmtId="0" fontId="13" fillId="0" borderId="20" xfId="0" applyNumberFormat="1" applyFont="1" applyFill="1" applyBorder="1" applyAlignment="1">
      <alignment horizontal="center" vertical="center" shrinkToFit="1"/>
    </xf>
    <xf numFmtId="0" fontId="12" fillId="2" borderId="24" xfId="0" applyFont="1" applyFill="1" applyBorder="1" applyAlignment="1">
      <alignment horizontal="center" vertical="center"/>
    </xf>
    <xf numFmtId="179" fontId="13" fillId="0" borderId="24" xfId="0" applyNumberFormat="1" applyFont="1" applyFill="1" applyBorder="1" applyAlignment="1">
      <alignment horizontal="center" vertical="center"/>
    </xf>
    <xf numFmtId="179" fontId="13" fillId="0" borderId="24" xfId="0" applyNumberFormat="1" applyFont="1" applyBorder="1" applyAlignment="1">
      <alignment horizontal="center" vertical="center"/>
    </xf>
    <xf numFmtId="0" fontId="13" fillId="0" borderId="24" xfId="0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181" fontId="13" fillId="0" borderId="0" xfId="0" applyNumberFormat="1" applyFont="1" applyFill="1" applyAlignment="1">
      <alignment horizontal="center" vertical="center"/>
    </xf>
    <xf numFmtId="181" fontId="13" fillId="0" borderId="0" xfId="0" applyNumberFormat="1" applyFont="1" applyAlignment="1">
      <alignment horizontal="center" vertical="center"/>
    </xf>
    <xf numFmtId="0" fontId="12" fillId="2" borderId="22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shrinkToFit="1"/>
    </xf>
    <xf numFmtId="0" fontId="13" fillId="0" borderId="2" xfId="0" applyFont="1" applyFill="1" applyBorder="1" applyAlignment="1">
      <alignment horizontal="center" vertical="center" shrinkToFit="1"/>
    </xf>
    <xf numFmtId="0" fontId="13" fillId="0" borderId="3" xfId="0" applyFont="1" applyFill="1" applyBorder="1" applyAlignment="1">
      <alignment horizontal="center" vertical="center" shrinkToFit="1"/>
    </xf>
    <xf numFmtId="0" fontId="12" fillId="2" borderId="12" xfId="0" applyFont="1" applyFill="1" applyBorder="1" applyAlignment="1">
      <alignment horizontal="center" vertical="center"/>
    </xf>
    <xf numFmtId="179" fontId="13" fillId="0" borderId="12" xfId="0" applyNumberFormat="1" applyFont="1" applyFill="1" applyBorder="1" applyAlignment="1">
      <alignment horizontal="center" vertical="center"/>
    </xf>
    <xf numFmtId="179" fontId="13" fillId="0" borderId="12" xfId="0" applyNumberFormat="1" applyFont="1" applyBorder="1" applyAlignment="1">
      <alignment horizontal="center" vertical="center"/>
    </xf>
    <xf numFmtId="0" fontId="13" fillId="0" borderId="12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26" fillId="0" borderId="1" xfId="0" applyNumberFormat="1" applyFont="1" applyFill="1" applyBorder="1" applyAlignment="1" applyProtection="1">
      <alignment vertical="center" shrinkToFit="1"/>
      <protection locked="0"/>
    </xf>
    <xf numFmtId="0" fontId="26" fillId="0" borderId="2" xfId="0" applyNumberFormat="1" applyFont="1" applyFill="1" applyBorder="1" applyAlignment="1" applyProtection="1">
      <alignment vertical="center" shrinkToFit="1"/>
      <protection locked="0"/>
    </xf>
    <xf numFmtId="0" fontId="26" fillId="0" borderId="3" xfId="0" applyNumberFormat="1" applyFont="1" applyFill="1" applyBorder="1" applyAlignment="1" applyProtection="1">
      <alignment vertical="center" shrinkToFit="1"/>
      <protection locked="0"/>
    </xf>
    <xf numFmtId="0" fontId="27" fillId="0" borderId="1" xfId="0" applyFont="1" applyFill="1" applyBorder="1">
      <alignment vertical="center"/>
    </xf>
    <xf numFmtId="0" fontId="27" fillId="0" borderId="2" xfId="0" applyFont="1" applyBorder="1">
      <alignment vertical="center"/>
    </xf>
    <xf numFmtId="0" fontId="27" fillId="0" borderId="3" xfId="0" applyFont="1" applyBorder="1">
      <alignment vertical="center"/>
    </xf>
    <xf numFmtId="0" fontId="19" fillId="0" borderId="0" xfId="0" applyFont="1" applyFill="1" applyAlignment="1">
      <alignment horizontal="left" vertical="center"/>
    </xf>
    <xf numFmtId="31" fontId="13" fillId="0" borderId="0" xfId="0" applyNumberFormat="1" applyFont="1" applyFill="1" applyAlignment="1">
      <alignment horizontal="left"/>
    </xf>
    <xf numFmtId="31" fontId="13" fillId="0" borderId="0" xfId="0" applyNumberFormat="1" applyFont="1" applyAlignment="1">
      <alignment horizontal="left"/>
    </xf>
    <xf numFmtId="180" fontId="13" fillId="0" borderId="0" xfId="0" applyNumberFormat="1" applyFont="1" applyFill="1" applyAlignment="1">
      <alignment horizontal="center"/>
    </xf>
    <xf numFmtId="180" fontId="13" fillId="0" borderId="0" xfId="0" applyNumberFormat="1" applyFont="1" applyAlignment="1">
      <alignment horizontal="center"/>
    </xf>
    <xf numFmtId="0" fontId="18" fillId="36" borderId="0" xfId="0" applyNumberFormat="1" applyFont="1" applyFill="1" applyAlignment="1">
      <alignment horizontal="left" vertical="center" indent="3" shrinkToFit="1"/>
    </xf>
    <xf numFmtId="31" fontId="0" fillId="0" borderId="0" xfId="0" applyNumberFormat="1" applyFill="1" applyBorder="1" applyAlignment="1">
      <alignment horizontal="left"/>
    </xf>
    <xf numFmtId="31" fontId="0" fillId="0" borderId="0" xfId="0" applyNumberFormat="1" applyBorder="1" applyAlignment="1">
      <alignment horizontal="left"/>
    </xf>
    <xf numFmtId="180" fontId="13" fillId="0" borderId="0" xfId="0" applyNumberFormat="1" applyFont="1" applyFill="1" applyBorder="1" applyAlignment="1">
      <alignment horizontal="center"/>
    </xf>
    <xf numFmtId="180" fontId="13" fillId="0" borderId="0" xfId="0" applyNumberFormat="1" applyFont="1" applyBorder="1" applyAlignment="1">
      <alignment horizontal="center"/>
    </xf>
    <xf numFmtId="0" fontId="18" fillId="36" borderId="0" xfId="0" applyFont="1" applyFill="1" applyBorder="1" applyAlignment="1">
      <alignment horizontal="left" vertical="center" indent="3"/>
    </xf>
    <xf numFmtId="0" fontId="2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Alignment="1">
      <alignment horizontal="right" vertical="center"/>
    </xf>
    <xf numFmtId="49" fontId="14" fillId="0" borderId="0" xfId="57" applyNumberFormat="1" applyFont="1" applyAlignment="1">
      <alignment vertical="center"/>
    </xf>
  </cellXfs>
  <cellStyles count="58">
    <cellStyle name="00.0" xfId="48"/>
    <cellStyle name="20% - アクセント 1" xfId="1" builtinId="30" hidden="1" customBuiltin="1"/>
    <cellStyle name="20% - アクセント 2" xfId="2" builtinId="34" hidden="1" customBuiltin="1"/>
    <cellStyle name="20% - アクセント 3" xfId="3" builtinId="38" hidden="1" customBuiltin="1"/>
    <cellStyle name="20% - アクセント 4" xfId="4" builtinId="42" hidden="1" customBuiltin="1"/>
    <cellStyle name="20% - アクセント 5" xfId="5" builtinId="46" hidden="1" customBuiltin="1"/>
    <cellStyle name="20% - アクセント 6" xfId="6" builtinId="50" hidden="1" customBuiltin="1"/>
    <cellStyle name="40% - アクセント 1" xfId="7" builtinId="31" hidden="1" customBuiltin="1"/>
    <cellStyle name="40% - アクセント 2" xfId="8" builtinId="35" hidden="1" customBuiltin="1"/>
    <cellStyle name="40% - アクセント 3" xfId="9" builtinId="39" hidden="1" customBuiltin="1"/>
    <cellStyle name="40% - アクセント 4" xfId="10" builtinId="43" hidden="1" customBuiltin="1"/>
    <cellStyle name="40% - アクセント 5" xfId="11" builtinId="47" hidden="1" customBuiltin="1"/>
    <cellStyle name="40% - アクセント 6" xfId="12" builtinId="51" hidden="1" customBuiltin="1"/>
    <cellStyle name="60% - アクセント 1" xfId="13" builtinId="32" hidden="1" customBuiltin="1"/>
    <cellStyle name="60% - アクセント 2" xfId="14" builtinId="36" hidden="1" customBuiltin="1"/>
    <cellStyle name="60% - アクセント 3" xfId="15" builtinId="40" hidden="1" customBuiltin="1"/>
    <cellStyle name="60% - アクセント 4" xfId="16" builtinId="44" hidden="1" customBuiltin="1"/>
    <cellStyle name="60% - アクセント 5" xfId="17" builtinId="48" hidden="1" customBuiltin="1"/>
    <cellStyle name="60% - アクセント 6" xfId="18" builtinId="52" hidden="1" customBuiltin="1"/>
    <cellStyle name="Error" xfId="52"/>
    <cellStyle name="ExcelHelp_1" xfId="53"/>
    <cellStyle name="H_標準" xfId="54"/>
    <cellStyle name="アクセント 1" xfId="19" builtinId="29" hidden="1" customBuiltin="1"/>
    <cellStyle name="アクセント 2" xfId="20" builtinId="33" hidden="1" customBuiltin="1"/>
    <cellStyle name="アクセント 3" xfId="21" builtinId="37" hidden="1" customBuiltin="1"/>
    <cellStyle name="アクセント 4" xfId="22" builtinId="41" hidden="1" customBuiltin="1"/>
    <cellStyle name="アクセント 5" xfId="23" builtinId="45" hidden="1" customBuiltin="1"/>
    <cellStyle name="アクセント 6" xfId="24" builtinId="49" hidden="1" customBuiltin="1"/>
    <cellStyle name="タイトル" xfId="25" builtinId="15" hidden="1" customBuiltin="1"/>
    <cellStyle name="チェック セル" xfId="26" builtinId="23" hidden="1" customBuiltin="1"/>
    <cellStyle name="どちらでもない" xfId="27" builtinId="28" hidden="1" customBuiltin="1"/>
    <cellStyle name="ハイパーリンク" xfId="28" builtinId="8" hidden="1" customBuiltin="1"/>
    <cellStyle name="ハイパーリンク" xfId="57" builtinId="8"/>
    <cellStyle name="メモ" xfId="29" builtinId="10" hidden="1" customBuiltin="1"/>
    <cellStyle name="リンク セル" xfId="30" builtinId="24" hidden="1" customBuiltin="1"/>
    <cellStyle name="悪い" xfId="31" builtinId="27" hidden="1" customBuiltin="1"/>
    <cellStyle name="計算" xfId="32" builtinId="22" hidden="1" customBuiltin="1"/>
    <cellStyle name="警告文" xfId="33" builtinId="11" hidden="1" customBuiltin="1"/>
    <cellStyle name="見出し 1" xfId="34" builtinId="16" hidden="1" customBuiltin="1"/>
    <cellStyle name="見出し 2" xfId="35" builtinId="17" hidden="1" customBuiltin="1"/>
    <cellStyle name="見出し 3" xfId="36" builtinId="18" hidden="1" customBuiltin="1"/>
    <cellStyle name="見出し 4" xfId="37" builtinId="19" hidden="1" customBuiltin="1"/>
    <cellStyle name="集計" xfId="38" builtinId="25" hidden="1" customBuiltin="1"/>
    <cellStyle name="出力" xfId="39" builtinId="21" hidden="1" customBuiltin="1"/>
    <cellStyle name="数値" xfId="50"/>
    <cellStyle name="数値[千単位]" xfId="47"/>
    <cellStyle name="説明文" xfId="40" builtinId="53" hidden="1" customBuiltin="1"/>
    <cellStyle name="通貨[千単位]" xfId="51"/>
    <cellStyle name="日時" xfId="43"/>
    <cellStyle name="日付 [yyyy/m]" xfId="45"/>
    <cellStyle name="日付 [yyyy/mm/dd]" xfId="49"/>
    <cellStyle name="入力" xfId="41" builtinId="20" hidden="1" customBuiltin="1"/>
    <cellStyle name="標準" xfId="0" builtinId="0" customBuiltin="1"/>
    <cellStyle name="標準 2" xfId="56"/>
    <cellStyle name="表示済みのハイパーリンク" xfId="46" builtinId="9" hidden="1"/>
    <cellStyle name="不要" xfId="44"/>
    <cellStyle name="要確認" xfId="55"/>
    <cellStyle name="良い" xfId="42" builtinId="26" hidden="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0000FF"/>
      <color rgb="FF808080"/>
      <color rgb="FF7F7F7F"/>
      <color rgb="FFC050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49</xdr:col>
      <xdr:colOff>38100</xdr:colOff>
      <xdr:row>3</xdr:row>
      <xdr:rowOff>39220</xdr:rowOff>
    </xdr:from>
    <xdr:to>
      <xdr:col>64</xdr:col>
      <xdr:colOff>12122</xdr:colOff>
      <xdr:row>11</xdr:row>
      <xdr:rowOff>24499</xdr:rowOff>
    </xdr:to>
    <xdr:sp macro="" textlink="">
      <xdr:nvSpPr>
        <xdr:cNvPr id="5" name="メモ 4"/>
        <xdr:cNvSpPr/>
      </xdr:nvSpPr>
      <xdr:spPr bwMode="auto">
        <a:xfrm>
          <a:off x="10334625" y="591670"/>
          <a:ext cx="3117272" cy="1356879"/>
        </a:xfrm>
        <a:prstGeom prst="foldedCorner">
          <a:avLst/>
        </a:prstGeom>
        <a:ln>
          <a:headEnd type="none" w="med" len="med"/>
          <a:tailEnd type="none" w="med" len="med"/>
        </a:ln>
        <a:ex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08000" tIns="36000" rIns="0" bIns="0" rtlCol="0" anchor="t" upright="1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顧客と調整が必要な課題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 editAs="oneCell">
    <xdr:from>
      <xdr:col>49</xdr:col>
      <xdr:colOff>121679</xdr:colOff>
      <xdr:row>18</xdr:row>
      <xdr:rowOff>123175</xdr:rowOff>
    </xdr:from>
    <xdr:to>
      <xdr:col>64</xdr:col>
      <xdr:colOff>95702</xdr:colOff>
      <xdr:row>26</xdr:row>
      <xdr:rowOff>108455</xdr:rowOff>
    </xdr:to>
    <xdr:sp macro="" textlink="">
      <xdr:nvSpPr>
        <xdr:cNvPr id="6" name="メモ 5"/>
        <xdr:cNvSpPr/>
      </xdr:nvSpPr>
      <xdr:spPr bwMode="auto">
        <a:xfrm>
          <a:off x="10418204" y="3247375"/>
          <a:ext cx="3117273" cy="1356880"/>
        </a:xfrm>
        <a:prstGeom prst="foldedCorner">
          <a:avLst/>
        </a:prstGeom>
        <a:ln>
          <a:headEnd type="none" w="med" len="med"/>
          <a:tailEnd type="none" w="med" len="med"/>
        </a:ln>
        <a:extLst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wrap="square" lIns="108000" tIns="36000" rIns="0" bIns="0" rtlCol="0" anchor="t" upright="1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解決させる課題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53</xdr:col>
      <xdr:colOff>65556</xdr:colOff>
      <xdr:row>0</xdr:row>
      <xdr:rowOff>0</xdr:rowOff>
    </xdr:from>
    <xdr:to>
      <xdr:col>99</xdr:col>
      <xdr:colOff>1682</xdr:colOff>
      <xdr:row>39</xdr:row>
      <xdr:rowOff>129989</xdr:rowOff>
    </xdr:to>
    <xdr:sp macro="" textlink="">
      <xdr:nvSpPr>
        <xdr:cNvPr id="7" name="角丸四角形 6"/>
        <xdr:cNvSpPr/>
      </xdr:nvSpPr>
      <xdr:spPr bwMode="auto">
        <a:xfrm>
          <a:off x="11200281" y="0"/>
          <a:ext cx="9575426" cy="6854639"/>
        </a:xfrm>
        <a:prstGeom prst="roundRect">
          <a:avLst>
            <a:gd name="adj" fmla="val 6962"/>
          </a:avLst>
        </a:prstGeom>
        <a:solidFill>
          <a:srgbClr val="7F7F7F">
            <a:alpha val="34902"/>
          </a:srgbClr>
        </a:solidFill>
        <a:ln>
          <a:headEnd type="none" w="med" len="med"/>
          <a:tailEnd type="none" w="med" len="med"/>
        </a:ln>
        <a:ex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08000" tIns="36000" rIns="0" bIns="0" rtlCol="0" anchor="ctr" upright="1"/>
        <a:lstStyle/>
        <a:p>
          <a:pPr marL="0" indent="0" algn="ctr"/>
          <a:r>
            <a:rPr kumimoji="1" lang="ja-JP" altLang="en-US" sz="40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仕様変更</a:t>
          </a:r>
          <a:endParaRPr kumimoji="1" lang="en-US" altLang="ja-JP" sz="4000">
            <a:solidFill>
              <a:schemeClr val="lt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marL="0" indent="0" algn="ctr"/>
          <a:r>
            <a:rPr kumimoji="1" lang="ja-JP" altLang="en-US" sz="2000">
              <a:solidFill>
                <a:schemeClr val="lt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○○○</a:t>
          </a:r>
          <a:endParaRPr kumimoji="1" lang="en-US" altLang="ja-JP" sz="2000">
            <a:solidFill>
              <a:schemeClr val="lt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123825</xdr:colOff>
          <xdr:row>4</xdr:row>
          <xdr:rowOff>114300</xdr:rowOff>
        </xdr:from>
        <xdr:to>
          <xdr:col>52</xdr:col>
          <xdr:colOff>180975</xdr:colOff>
          <xdr:row>6</xdr:row>
          <xdr:rowOff>85725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104775</xdr:colOff>
          <xdr:row>47</xdr:row>
          <xdr:rowOff>9525</xdr:rowOff>
        </xdr:from>
        <xdr:to>
          <xdr:col>53</xdr:col>
          <xdr:colOff>161925</xdr:colOff>
          <xdr:row>48</xdr:row>
          <xdr:rowOff>152400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161925</xdr:colOff>
          <xdr:row>7</xdr:row>
          <xdr:rowOff>104775</xdr:rowOff>
        </xdr:from>
        <xdr:to>
          <xdr:col>53</xdr:col>
          <xdr:colOff>0</xdr:colOff>
          <xdr:row>9</xdr:row>
          <xdr:rowOff>76200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VBA/Ladex/Ladex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Notice"/>
      <sheetName val="Style"/>
      <sheetName val="Stamp"/>
      <sheetName val="Help"/>
      <sheetName val="HighLight"/>
      <sheetName val="Favorite"/>
      <sheetName val="testData"/>
    </sheetNames>
    <definedNames>
      <definedName name="目次生成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317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noFill/>
        <a:ln w="12700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S45"/>
  <sheetViews>
    <sheetView showGridLines="0" workbookViewId="0">
      <pane xSplit="3" ySplit="4" topLeftCell="D5" activePane="bottomRight" state="frozen"/>
      <selection activeCell="E28" sqref="E28"/>
      <selection pane="topRight" activeCell="E28" sqref="E28"/>
      <selection pane="bottomLeft" activeCell="E28" sqref="E28"/>
      <selection pane="bottomRight" activeCell="E8" sqref="E8"/>
    </sheetView>
  </sheetViews>
  <sheetFormatPr defaultRowHeight="15" customHeight="1"/>
  <cols>
    <col min="1" max="2" width="25.7109375" style="204" customWidth="1"/>
    <col min="3" max="3" width="5.7109375" style="204" customWidth="1"/>
    <col min="4" max="4" width="20.140625" style="199" bestFit="1" customWidth="1"/>
    <col min="5" max="5" width="41.85546875" style="199" bestFit="1" customWidth="1"/>
    <col min="6" max="6" width="15.5703125" style="212" bestFit="1" customWidth="1"/>
    <col min="7" max="7" width="14.140625" style="199" bestFit="1" customWidth="1"/>
    <col min="8" max="8" width="9.140625" style="203"/>
    <col min="9" max="9" width="5.7109375" style="203" customWidth="1"/>
    <col min="10" max="10" width="18.140625" style="203" bestFit="1" customWidth="1"/>
    <col min="11" max="11" width="14.140625" style="199" bestFit="1" customWidth="1"/>
    <col min="12" max="12" width="9.140625" style="199"/>
    <col min="13" max="18" width="5.7109375" style="199" customWidth="1"/>
    <col min="19" max="16384" width="9.140625" style="199"/>
  </cols>
  <sheetData>
    <row r="1" spans="1:19" ht="15" customHeight="1">
      <c r="A1" s="196">
        <v>1</v>
      </c>
      <c r="B1" s="196">
        <v>2</v>
      </c>
      <c r="C1" s="196">
        <v>3</v>
      </c>
      <c r="D1" s="197">
        <v>4</v>
      </c>
      <c r="E1" s="197">
        <v>5</v>
      </c>
      <c r="F1" s="197">
        <v>6</v>
      </c>
      <c r="G1" s="197">
        <v>7</v>
      </c>
      <c r="H1" s="198">
        <v>8</v>
      </c>
      <c r="I1" s="198">
        <v>9</v>
      </c>
      <c r="J1" s="198">
        <v>10</v>
      </c>
      <c r="K1" s="197">
        <v>11</v>
      </c>
      <c r="L1" s="197">
        <v>12</v>
      </c>
      <c r="M1" s="197">
        <v>13</v>
      </c>
      <c r="N1" s="197">
        <v>14</v>
      </c>
      <c r="O1" s="197">
        <v>15</v>
      </c>
      <c r="P1" s="197">
        <v>16</v>
      </c>
      <c r="Q1" s="197">
        <v>17</v>
      </c>
      <c r="R1" s="197">
        <v>18</v>
      </c>
      <c r="S1" s="197">
        <v>19</v>
      </c>
    </row>
    <row r="3" spans="1:19" ht="15" customHeight="1">
      <c r="A3" s="200" t="s">
        <v>194</v>
      </c>
      <c r="B3" s="201"/>
      <c r="C3" s="202"/>
      <c r="D3" s="44" t="s">
        <v>8</v>
      </c>
      <c r="E3" s="46"/>
      <c r="F3"/>
      <c r="G3"/>
      <c r="H3"/>
      <c r="I3"/>
      <c r="J3"/>
      <c r="K3"/>
      <c r="L3"/>
    </row>
    <row r="4" spans="1:19" ht="15" customHeight="1">
      <c r="A4" s="1" t="s">
        <v>5</v>
      </c>
      <c r="B4" s="1" t="s">
        <v>6</v>
      </c>
      <c r="D4" s="224" t="s">
        <v>5</v>
      </c>
      <c r="E4" s="224" t="s">
        <v>6</v>
      </c>
      <c r="F4"/>
      <c r="G4"/>
      <c r="H4"/>
      <c r="I4"/>
      <c r="J4"/>
      <c r="K4"/>
      <c r="L4"/>
    </row>
    <row r="5" spans="1:19" ht="15" customHeight="1">
      <c r="A5" s="205" t="s">
        <v>195</v>
      </c>
      <c r="B5" s="206" t="s">
        <v>196</v>
      </c>
      <c r="D5" s="225" t="s">
        <v>0</v>
      </c>
      <c r="E5" s="226" t="s">
        <v>193</v>
      </c>
      <c r="F5"/>
      <c r="G5"/>
      <c r="H5"/>
      <c r="I5"/>
      <c r="J5"/>
      <c r="K5"/>
      <c r="L5"/>
    </row>
    <row r="6" spans="1:19" ht="15" customHeight="1">
      <c r="A6" s="205"/>
      <c r="B6" s="206"/>
      <c r="D6" s="225" t="s">
        <v>1</v>
      </c>
      <c r="E6" s="227">
        <v>44287</v>
      </c>
      <c r="F6"/>
      <c r="G6"/>
      <c r="H6"/>
      <c r="I6"/>
      <c r="J6"/>
      <c r="K6"/>
      <c r="L6"/>
    </row>
    <row r="7" spans="1:19" ht="15" customHeight="1">
      <c r="A7" s="232" t="s">
        <v>231</v>
      </c>
      <c r="B7" s="233" t="s">
        <v>232</v>
      </c>
      <c r="D7" s="225" t="s">
        <v>3</v>
      </c>
      <c r="E7" s="228" t="s">
        <v>49</v>
      </c>
      <c r="F7"/>
      <c r="G7"/>
      <c r="H7"/>
      <c r="I7"/>
      <c r="J7"/>
      <c r="K7"/>
      <c r="L7"/>
    </row>
    <row r="8" spans="1:19" ht="15" customHeight="1">
      <c r="A8" s="205"/>
      <c r="B8" s="208"/>
      <c r="D8" s="225" t="s">
        <v>32</v>
      </c>
      <c r="E8" s="229" t="s">
        <v>192</v>
      </c>
      <c r="F8"/>
      <c r="G8"/>
      <c r="H8"/>
      <c r="I8"/>
      <c r="J8"/>
      <c r="K8"/>
      <c r="L8"/>
    </row>
    <row r="9" spans="1:19" ht="15" customHeight="1">
      <c r="A9" s="232" t="s">
        <v>233</v>
      </c>
      <c r="B9" s="234" t="s">
        <v>234</v>
      </c>
      <c r="D9" s="225" t="s">
        <v>7</v>
      </c>
      <c r="E9" s="229" t="s">
        <v>191</v>
      </c>
      <c r="F9"/>
      <c r="G9"/>
      <c r="H9"/>
      <c r="I9"/>
      <c r="J9"/>
      <c r="K9"/>
      <c r="L9"/>
    </row>
    <row r="10" spans="1:19" ht="15" customHeight="1">
      <c r="A10" s="232" t="s">
        <v>235</v>
      </c>
      <c r="B10" s="209">
        <v>2</v>
      </c>
      <c r="D10" s="225" t="s">
        <v>9</v>
      </c>
      <c r="E10" s="229" t="str">
        <f>IF(E9="",E8 &amp; " 設計書",E9 &amp;" [" &amp; E8 &amp; "]  設計書")</f>
        <v>○✕システム [○△□プロジェクト]  設計書</v>
      </c>
      <c r="F10"/>
      <c r="G10"/>
      <c r="H10"/>
      <c r="I10"/>
      <c r="J10"/>
      <c r="K10"/>
      <c r="L10"/>
    </row>
    <row r="11" spans="1:19" ht="15" customHeight="1">
      <c r="A11" s="232" t="s">
        <v>239</v>
      </c>
      <c r="B11" s="235" t="s">
        <v>243</v>
      </c>
      <c r="D11" s="230" t="s">
        <v>238</v>
      </c>
      <c r="E11" s="231"/>
      <c r="F11"/>
      <c r="G11"/>
      <c r="H11"/>
      <c r="I11"/>
      <c r="J11"/>
      <c r="K11"/>
      <c r="L11"/>
    </row>
    <row r="12" spans="1:19" ht="15" customHeight="1">
      <c r="A12" s="232" t="s">
        <v>237</v>
      </c>
      <c r="B12" s="235">
        <v>24</v>
      </c>
      <c r="D12"/>
      <c r="E12"/>
      <c r="F12"/>
      <c r="G12"/>
      <c r="H12"/>
      <c r="I12"/>
      <c r="J12"/>
      <c r="K12"/>
      <c r="L12"/>
    </row>
    <row r="13" spans="1:19" ht="15" customHeight="1">
      <c r="A13" s="207" t="s">
        <v>236</v>
      </c>
      <c r="B13" s="235" t="s">
        <v>240</v>
      </c>
      <c r="D13"/>
      <c r="E13"/>
      <c r="F13"/>
      <c r="G13"/>
      <c r="H13"/>
      <c r="I13"/>
      <c r="J13"/>
      <c r="K13"/>
      <c r="L13"/>
    </row>
    <row r="14" spans="1:19" ht="15" customHeight="1">
      <c r="A14" s="207"/>
      <c r="B14" s="235"/>
      <c r="D14"/>
      <c r="E14"/>
      <c r="F14"/>
      <c r="G14"/>
      <c r="H14"/>
      <c r="I14"/>
      <c r="J14"/>
      <c r="K14"/>
      <c r="L14"/>
    </row>
    <row r="15" spans="1:19" ht="15" customHeight="1">
      <c r="A15" s="232" t="s">
        <v>241</v>
      </c>
      <c r="B15" s="235" t="s">
        <v>242</v>
      </c>
      <c r="D15"/>
      <c r="E15"/>
      <c r="F15"/>
      <c r="G15"/>
      <c r="H15"/>
      <c r="I15"/>
      <c r="J15"/>
      <c r="K15"/>
      <c r="L15"/>
    </row>
    <row r="16" spans="1:19" ht="15" customHeight="1">
      <c r="A16" s="207"/>
      <c r="B16" s="235"/>
      <c r="D16"/>
      <c r="E16"/>
      <c r="F16"/>
      <c r="G16"/>
      <c r="H16"/>
      <c r="I16"/>
      <c r="J16"/>
      <c r="K16"/>
      <c r="L16"/>
    </row>
    <row r="17" spans="1:12" ht="15" customHeight="1">
      <c r="A17" s="210"/>
      <c r="B17" s="235"/>
      <c r="D17"/>
      <c r="E17"/>
      <c r="F17"/>
      <c r="G17"/>
      <c r="H17"/>
      <c r="I17"/>
      <c r="J17"/>
      <c r="K17"/>
      <c r="L17"/>
    </row>
    <row r="18" spans="1:12" ht="15" customHeight="1">
      <c r="A18" s="207"/>
      <c r="B18" s="235"/>
      <c r="D18"/>
      <c r="E18"/>
      <c r="F18"/>
      <c r="G18"/>
      <c r="H18"/>
      <c r="I18"/>
      <c r="J18"/>
      <c r="K18"/>
      <c r="L18"/>
    </row>
    <row r="19" spans="1:12" ht="15" customHeight="1">
      <c r="A19" s="207"/>
      <c r="B19" s="235"/>
      <c r="D19"/>
      <c r="E19"/>
      <c r="F19"/>
      <c r="G19"/>
      <c r="H19"/>
      <c r="I19"/>
      <c r="J19"/>
      <c r="K19"/>
      <c r="L19"/>
    </row>
    <row r="20" spans="1:12" ht="15" customHeight="1">
      <c r="A20" s="207"/>
      <c r="B20" s="235"/>
      <c r="D20"/>
      <c r="E20"/>
      <c r="F20"/>
      <c r="G20"/>
      <c r="H20"/>
      <c r="I20"/>
      <c r="J20"/>
      <c r="K20"/>
      <c r="L20"/>
    </row>
    <row r="21" spans="1:12" ht="15" customHeight="1">
      <c r="A21" s="207"/>
      <c r="B21" s="235"/>
      <c r="D21"/>
      <c r="E21"/>
      <c r="F21"/>
      <c r="G21"/>
      <c r="H21"/>
      <c r="I21"/>
      <c r="J21"/>
      <c r="K21"/>
      <c r="L21"/>
    </row>
    <row r="22" spans="1:12" ht="15" customHeight="1">
      <c r="A22" s="207"/>
      <c r="B22" s="235"/>
      <c r="D22"/>
      <c r="E22"/>
      <c r="F22"/>
      <c r="G22"/>
      <c r="H22"/>
      <c r="I22"/>
      <c r="J22"/>
      <c r="K22"/>
      <c r="L22"/>
    </row>
    <row r="23" spans="1:12" ht="15" customHeight="1">
      <c r="A23" s="207"/>
      <c r="B23" s="235"/>
      <c r="D23"/>
      <c r="E23"/>
      <c r="F23"/>
      <c r="G23"/>
      <c r="H23"/>
      <c r="I23"/>
      <c r="J23"/>
      <c r="K23"/>
      <c r="L23"/>
    </row>
    <row r="24" spans="1:12" ht="15" customHeight="1">
      <c r="A24" s="207"/>
      <c r="B24" s="235"/>
      <c r="D24"/>
      <c r="E24"/>
      <c r="F24"/>
      <c r="G24"/>
      <c r="H24"/>
      <c r="I24"/>
      <c r="J24"/>
      <c r="K24"/>
      <c r="L24"/>
    </row>
    <row r="25" spans="1:12" ht="15" customHeight="1">
      <c r="A25" s="207"/>
      <c r="B25" s="235"/>
      <c r="D25"/>
      <c r="E25"/>
      <c r="F25"/>
      <c r="G25"/>
      <c r="H25"/>
      <c r="I25"/>
      <c r="J25"/>
      <c r="K25"/>
      <c r="L25"/>
    </row>
    <row r="26" spans="1:12" ht="15" customHeight="1">
      <c r="A26" s="207"/>
      <c r="B26" s="235"/>
      <c r="D26"/>
      <c r="E26"/>
      <c r="F26"/>
      <c r="G26"/>
      <c r="H26"/>
      <c r="I26"/>
      <c r="J26"/>
      <c r="K26"/>
      <c r="L26"/>
    </row>
    <row r="27" spans="1:12" ht="15" customHeight="1">
      <c r="A27" s="207"/>
      <c r="B27" s="207"/>
      <c r="D27"/>
      <c r="E27"/>
      <c r="F27"/>
      <c r="G27"/>
      <c r="H27"/>
      <c r="I27"/>
      <c r="J27"/>
      <c r="K27"/>
      <c r="L27"/>
    </row>
    <row r="28" spans="1:12" ht="15" customHeight="1">
      <c r="A28" s="207"/>
      <c r="B28" s="207"/>
      <c r="D28"/>
      <c r="E28"/>
      <c r="F28"/>
      <c r="G28"/>
      <c r="H28"/>
      <c r="I28"/>
      <c r="J28"/>
      <c r="K28"/>
      <c r="L28"/>
    </row>
    <row r="29" spans="1:12" ht="15" customHeight="1">
      <c r="A29" s="207"/>
      <c r="B29" s="207"/>
      <c r="D29"/>
      <c r="E29"/>
      <c r="F29"/>
      <c r="G29"/>
      <c r="H29"/>
      <c r="I29"/>
      <c r="J29"/>
      <c r="K29"/>
      <c r="L29"/>
    </row>
    <row r="30" spans="1:12" ht="15" customHeight="1">
      <c r="A30" s="207"/>
      <c r="B30" s="207"/>
      <c r="D30"/>
      <c r="E30"/>
      <c r="F30"/>
      <c r="G30"/>
      <c r="H30"/>
      <c r="I30"/>
      <c r="J30"/>
      <c r="K30"/>
      <c r="L30"/>
    </row>
    <row r="31" spans="1:12" ht="15" customHeight="1">
      <c r="A31" s="207"/>
      <c r="B31" s="207"/>
      <c r="D31"/>
      <c r="E31"/>
      <c r="F31"/>
      <c r="G31"/>
      <c r="H31"/>
      <c r="I31"/>
      <c r="J31"/>
      <c r="K31"/>
      <c r="L31"/>
    </row>
    <row r="32" spans="1:12" ht="15" customHeight="1">
      <c r="A32" s="207"/>
      <c r="B32" s="207"/>
      <c r="D32"/>
      <c r="E32"/>
      <c r="F32"/>
      <c r="G32"/>
      <c r="H32"/>
      <c r="I32"/>
      <c r="J32"/>
      <c r="K32"/>
      <c r="L32"/>
    </row>
    <row r="33" spans="1:12" ht="15" customHeight="1">
      <c r="A33" s="207"/>
      <c r="B33" s="207"/>
      <c r="D33"/>
      <c r="E33"/>
      <c r="F33"/>
      <c r="G33"/>
      <c r="H33"/>
      <c r="I33"/>
      <c r="J33"/>
      <c r="K33"/>
      <c r="L33"/>
    </row>
    <row r="34" spans="1:12" ht="15" customHeight="1">
      <c r="A34" s="207"/>
      <c r="B34" s="207"/>
      <c r="D34"/>
      <c r="E34"/>
      <c r="F34"/>
      <c r="G34"/>
      <c r="H34"/>
      <c r="I34"/>
      <c r="J34"/>
      <c r="K34"/>
      <c r="L34"/>
    </row>
    <row r="35" spans="1:12" ht="15" customHeight="1">
      <c r="A35" s="207"/>
      <c r="B35" s="207"/>
      <c r="D35"/>
      <c r="E35"/>
      <c r="F35"/>
      <c r="G35"/>
      <c r="H35"/>
      <c r="I35"/>
      <c r="J35"/>
      <c r="K35"/>
      <c r="L35"/>
    </row>
    <row r="36" spans="1:12" ht="15" customHeight="1">
      <c r="A36" s="207"/>
      <c r="B36" s="207"/>
      <c r="D36"/>
      <c r="E36"/>
      <c r="F36"/>
      <c r="G36"/>
      <c r="H36"/>
      <c r="I36"/>
      <c r="J36"/>
      <c r="K36"/>
      <c r="L36"/>
    </row>
    <row r="37" spans="1:12" ht="15" customHeight="1">
      <c r="A37" s="207"/>
      <c r="B37" s="207"/>
      <c r="D37"/>
      <c r="E37"/>
      <c r="F37"/>
      <c r="G37"/>
      <c r="H37"/>
      <c r="I37"/>
      <c r="J37"/>
      <c r="K37"/>
      <c r="L37"/>
    </row>
    <row r="38" spans="1:12" ht="15" customHeight="1">
      <c r="A38" s="207"/>
      <c r="B38" s="207"/>
      <c r="D38"/>
      <c r="E38"/>
      <c r="F38"/>
      <c r="G38"/>
      <c r="H38"/>
      <c r="I38"/>
      <c r="J38"/>
      <c r="K38"/>
      <c r="L38"/>
    </row>
    <row r="39" spans="1:12" ht="15" customHeight="1">
      <c r="A39" s="207"/>
      <c r="B39" s="207"/>
      <c r="F39"/>
      <c r="G39"/>
      <c r="H39"/>
      <c r="I39"/>
      <c r="J39"/>
      <c r="K39"/>
      <c r="L39"/>
    </row>
    <row r="40" spans="1:12" ht="15" customHeight="1">
      <c r="A40" s="207"/>
      <c r="B40" s="207"/>
      <c r="F40" s="203"/>
    </row>
    <row r="41" spans="1:12" ht="15" customHeight="1">
      <c r="A41" s="207"/>
      <c r="B41" s="207"/>
      <c r="F41" s="203"/>
    </row>
    <row r="42" spans="1:12" ht="15" customHeight="1">
      <c r="A42" s="207"/>
      <c r="B42" s="207"/>
      <c r="F42" s="203"/>
    </row>
    <row r="43" spans="1:12" ht="15" customHeight="1">
      <c r="A43" s="207"/>
      <c r="B43" s="207"/>
      <c r="F43" s="203"/>
    </row>
    <row r="44" spans="1:12" ht="15" customHeight="1">
      <c r="A44" s="207"/>
      <c r="B44" s="207"/>
      <c r="F44" s="203"/>
    </row>
    <row r="45" spans="1:12" ht="15" customHeight="1">
      <c r="A45" s="211"/>
      <c r="B45" s="211"/>
      <c r="F45" s="203"/>
    </row>
  </sheetData>
  <phoneticPr fontId="46"/>
  <dataValidations count="1">
    <dataValidation type="list" allowBlank="1" showInputMessage="1" showErrorMessage="1" sqref="B5">
      <formula1>"all,file,form,speak,none,develop"</formula1>
    </dataValidation>
  </dataValidations>
  <pageMargins left="0.70866141732283472" right="0.70866141732283472" top="0.74803149606299213" bottom="0.74803149606299213" header="0.31496062992125984" footer="0.31496062992125984"/>
  <pageSetup paperSize="9" scale="48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C56"/>
  <sheetViews>
    <sheetView showGridLines="0" workbookViewId="0">
      <pane ySplit="1" topLeftCell="A22" activePane="bottomLeft" state="frozen"/>
      <selection activeCell="J4" sqref="J4:L4"/>
      <selection pane="bottomLeft" activeCell="J4" sqref="J4:L4"/>
    </sheetView>
  </sheetViews>
  <sheetFormatPr defaultRowHeight="15" customHeight="1"/>
  <cols>
    <col min="1" max="1" width="9.140625" style="222"/>
    <col min="2" max="2" width="80.7109375" style="223" customWidth="1"/>
    <col min="3" max="3" width="9.140625" style="214"/>
    <col min="4" max="16384" width="9.140625" style="223"/>
  </cols>
  <sheetData>
    <row r="1" spans="1:2" ht="15" customHeight="1">
      <c r="A1" s="213" t="s">
        <v>197</v>
      </c>
      <c r="B1" s="213" t="s">
        <v>198</v>
      </c>
    </row>
    <row r="2" spans="1:2" ht="15" customHeight="1">
      <c r="A2" s="215"/>
      <c r="B2" s="216" t="s">
        <v>199</v>
      </c>
    </row>
    <row r="3" spans="1:2" ht="15" customHeight="1">
      <c r="A3" s="217">
        <v>1</v>
      </c>
      <c r="B3" s="218" t="s">
        <v>200</v>
      </c>
    </row>
    <row r="4" spans="1:2" ht="15" customHeight="1">
      <c r="A4" s="217">
        <v>2</v>
      </c>
      <c r="B4" s="218" t="s">
        <v>201</v>
      </c>
    </row>
    <row r="5" spans="1:2" ht="15" customHeight="1">
      <c r="A5" s="217">
        <v>3</v>
      </c>
      <c r="B5" s="218" t="s">
        <v>202</v>
      </c>
    </row>
    <row r="6" spans="1:2" ht="15" customHeight="1">
      <c r="A6" s="217">
        <v>4</v>
      </c>
      <c r="B6" s="218" t="s">
        <v>203</v>
      </c>
    </row>
    <row r="7" spans="1:2" ht="15" customHeight="1">
      <c r="A7" s="217">
        <v>5</v>
      </c>
      <c r="B7" s="218"/>
    </row>
    <row r="8" spans="1:2" ht="15" customHeight="1">
      <c r="A8" s="217"/>
      <c r="B8" s="218"/>
    </row>
    <row r="9" spans="1:2" ht="15" customHeight="1">
      <c r="A9" s="217">
        <v>10</v>
      </c>
      <c r="B9" s="218" t="s">
        <v>204</v>
      </c>
    </row>
    <row r="10" spans="1:2" ht="15" customHeight="1">
      <c r="A10" s="217"/>
      <c r="B10" s="218"/>
    </row>
    <row r="11" spans="1:2" ht="15" customHeight="1">
      <c r="A11" s="217"/>
      <c r="B11" s="218"/>
    </row>
    <row r="12" spans="1:2" ht="15" customHeight="1">
      <c r="A12" s="217"/>
      <c r="B12" s="218"/>
    </row>
    <row r="13" spans="1:2" ht="15" customHeight="1">
      <c r="A13" s="217">
        <v>100</v>
      </c>
      <c r="B13" s="218" t="s">
        <v>205</v>
      </c>
    </row>
    <row r="14" spans="1:2" ht="15" customHeight="1">
      <c r="A14" s="217"/>
      <c r="B14" s="218"/>
    </row>
    <row r="15" spans="1:2" ht="15" customHeight="1">
      <c r="A15" s="217">
        <v>200</v>
      </c>
      <c r="B15" s="218" t="s">
        <v>206</v>
      </c>
    </row>
    <row r="16" spans="1:2" ht="15" customHeight="1">
      <c r="A16" s="217">
        <v>201</v>
      </c>
      <c r="B16" s="218" t="s">
        <v>207</v>
      </c>
    </row>
    <row r="17" spans="1:2" ht="15" customHeight="1">
      <c r="A17" s="217">
        <v>202</v>
      </c>
      <c r="B17" s="218" t="s">
        <v>208</v>
      </c>
    </row>
    <row r="18" spans="1:2" ht="15" customHeight="1">
      <c r="A18" s="217">
        <v>203</v>
      </c>
      <c r="B18" s="218" t="s">
        <v>209</v>
      </c>
    </row>
    <row r="19" spans="1:2" ht="15" customHeight="1">
      <c r="A19" s="217">
        <v>204</v>
      </c>
      <c r="B19" s="218" t="s">
        <v>210</v>
      </c>
    </row>
    <row r="20" spans="1:2" ht="15" customHeight="1">
      <c r="A20" s="217">
        <v>205</v>
      </c>
      <c r="B20" s="218" t="s">
        <v>211</v>
      </c>
    </row>
    <row r="21" spans="1:2" ht="15" customHeight="1">
      <c r="A21" s="217"/>
      <c r="B21" s="218"/>
    </row>
    <row r="22" spans="1:2" ht="15" customHeight="1">
      <c r="A22" s="217"/>
      <c r="B22" s="219"/>
    </row>
    <row r="23" spans="1:2" ht="15" customHeight="1">
      <c r="A23" s="217"/>
      <c r="B23" s="218"/>
    </row>
    <row r="24" spans="1:2" ht="15" customHeight="1">
      <c r="A24" s="215"/>
      <c r="B24" s="216" t="s">
        <v>212</v>
      </c>
    </row>
    <row r="25" spans="1:2" ht="15" customHeight="1">
      <c r="A25" s="217">
        <v>400</v>
      </c>
      <c r="B25" s="219" t="s">
        <v>213</v>
      </c>
    </row>
    <row r="26" spans="1:2" ht="15" customHeight="1">
      <c r="A26" s="217">
        <v>401</v>
      </c>
      <c r="B26" s="218" t="s">
        <v>214</v>
      </c>
    </row>
    <row r="27" spans="1:2" ht="15" customHeight="1">
      <c r="A27" s="217">
        <v>402</v>
      </c>
      <c r="B27" s="218" t="s">
        <v>215</v>
      </c>
    </row>
    <row r="28" spans="1:2" ht="15" customHeight="1">
      <c r="A28" s="217">
        <v>403</v>
      </c>
      <c r="B28" s="219" t="s">
        <v>216</v>
      </c>
    </row>
    <row r="29" spans="1:2" ht="15" customHeight="1">
      <c r="A29" s="217">
        <v>404</v>
      </c>
      <c r="B29" s="218" t="s">
        <v>217</v>
      </c>
    </row>
    <row r="30" spans="1:2" ht="15" customHeight="1">
      <c r="A30" s="217">
        <v>405</v>
      </c>
      <c r="B30" s="218" t="s">
        <v>218</v>
      </c>
    </row>
    <row r="31" spans="1:2" ht="15" customHeight="1">
      <c r="A31" s="217">
        <v>406</v>
      </c>
      <c r="B31" s="218" t="s">
        <v>219</v>
      </c>
    </row>
    <row r="32" spans="1:2" ht="15" customHeight="1">
      <c r="A32" s="217">
        <v>407</v>
      </c>
      <c r="B32" s="219" t="s">
        <v>220</v>
      </c>
    </row>
    <row r="33" spans="1:2" ht="15" customHeight="1">
      <c r="A33" s="217">
        <v>408</v>
      </c>
      <c r="B33" s="218" t="s">
        <v>221</v>
      </c>
    </row>
    <row r="34" spans="1:2" ht="15" customHeight="1">
      <c r="A34" s="217">
        <v>409</v>
      </c>
      <c r="B34" s="219" t="s">
        <v>222</v>
      </c>
    </row>
    <row r="35" spans="1:2" ht="15" customHeight="1">
      <c r="A35" s="217">
        <v>410</v>
      </c>
      <c r="B35" s="218" t="s">
        <v>223</v>
      </c>
    </row>
    <row r="36" spans="1:2" ht="15" customHeight="1">
      <c r="A36" s="217">
        <v>411</v>
      </c>
      <c r="B36" s="219" t="s">
        <v>224</v>
      </c>
    </row>
    <row r="37" spans="1:2" ht="15" customHeight="1">
      <c r="A37" s="217"/>
      <c r="B37" s="219"/>
    </row>
    <row r="38" spans="1:2" ht="15" customHeight="1">
      <c r="A38" s="217"/>
      <c r="B38" s="219"/>
    </row>
    <row r="39" spans="1:2" ht="15" customHeight="1">
      <c r="A39" s="217"/>
      <c r="B39" s="219"/>
    </row>
    <row r="40" spans="1:2" ht="15" customHeight="1">
      <c r="A40" s="217"/>
      <c r="B40" s="219"/>
    </row>
    <row r="41" spans="1:2" ht="15" customHeight="1">
      <c r="A41" s="217"/>
      <c r="B41" s="219"/>
    </row>
    <row r="42" spans="1:2" ht="15" customHeight="1">
      <c r="A42" s="217"/>
      <c r="B42" s="219"/>
    </row>
    <row r="43" spans="1:2" ht="15" customHeight="1">
      <c r="A43" s="215"/>
      <c r="B43" s="216" t="s">
        <v>225</v>
      </c>
    </row>
    <row r="44" spans="1:2" ht="15" customHeight="1">
      <c r="A44" s="217"/>
      <c r="B44" s="218"/>
    </row>
    <row r="45" spans="1:2" ht="15" customHeight="1">
      <c r="A45" s="217"/>
      <c r="B45" s="218"/>
    </row>
    <row r="46" spans="1:2" ht="15" customHeight="1">
      <c r="A46" s="217"/>
      <c r="B46" s="218"/>
    </row>
    <row r="47" spans="1:2" ht="15" customHeight="1">
      <c r="A47" s="217"/>
      <c r="B47" s="218"/>
    </row>
    <row r="48" spans="1:2" ht="15" customHeight="1">
      <c r="A48" s="217"/>
      <c r="B48" s="218"/>
    </row>
    <row r="49" spans="1:2" ht="15" customHeight="1">
      <c r="A49" s="217"/>
      <c r="B49" s="218"/>
    </row>
    <row r="50" spans="1:2" ht="15" customHeight="1">
      <c r="A50" s="217"/>
      <c r="B50" s="218"/>
    </row>
    <row r="51" spans="1:2" ht="15" customHeight="1">
      <c r="A51" s="215"/>
      <c r="B51" s="216"/>
    </row>
    <row r="52" spans="1:2" ht="15" customHeight="1">
      <c r="A52" s="217">
        <v>9</v>
      </c>
      <c r="B52" s="218" t="s">
        <v>226</v>
      </c>
    </row>
    <row r="53" spans="1:2" ht="15" customHeight="1">
      <c r="A53" s="217">
        <v>13</v>
      </c>
      <c r="B53" s="218" t="s">
        <v>227</v>
      </c>
    </row>
    <row r="54" spans="1:2" ht="15" customHeight="1">
      <c r="A54" s="217">
        <v>53</v>
      </c>
      <c r="B54" s="218" t="s">
        <v>228</v>
      </c>
    </row>
    <row r="55" spans="1:2" ht="15" customHeight="1">
      <c r="A55" s="217">
        <v>91</v>
      </c>
      <c r="B55" s="218" t="s">
        <v>229</v>
      </c>
    </row>
    <row r="56" spans="1:2" ht="15" customHeight="1">
      <c r="A56" s="220">
        <v>1004</v>
      </c>
      <c r="B56" s="221" t="s">
        <v>230</v>
      </c>
    </row>
  </sheetData>
  <phoneticPr fontId="4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J30"/>
  <sheetViews>
    <sheetView showGridLines="0" workbookViewId="0">
      <selection activeCell="D1" sqref="D1:E9"/>
    </sheetView>
  </sheetViews>
  <sheetFormatPr defaultColWidth="9.28515625" defaultRowHeight="20.100000000000001" customHeight="1"/>
  <cols>
    <col min="1" max="1" width="27.5703125" style="46" customWidth="1"/>
    <col min="2" max="2" width="8.7109375" style="45" customWidth="1"/>
    <col min="3" max="3" width="9.28515625" style="46"/>
    <col min="4" max="4" width="17" style="46" customWidth="1"/>
    <col min="5" max="5" width="42.140625" style="46" bestFit="1" customWidth="1"/>
    <col min="6" max="6" width="9.28515625" style="46"/>
    <col min="7" max="7" width="23.7109375" style="55" customWidth="1"/>
    <col min="8" max="8" width="24" style="55" customWidth="1"/>
    <col min="9" max="9" width="8.28515625" style="53"/>
    <col min="10" max="10" width="24" style="55" customWidth="1"/>
    <col min="11" max="16384" width="9.28515625" style="46"/>
  </cols>
  <sheetData>
    <row r="1" spans="1:10" ht="20.100000000000001" customHeight="1">
      <c r="A1" s="44" t="s">
        <v>39</v>
      </c>
      <c r="D1" s="44" t="s">
        <v>8</v>
      </c>
      <c r="G1" s="51" t="s">
        <v>60</v>
      </c>
      <c r="H1" s="52" t="s">
        <v>61</v>
      </c>
      <c r="J1" s="52" t="s">
        <v>56</v>
      </c>
    </row>
    <row r="2" spans="1:10" ht="20.100000000000001" customHeight="1">
      <c r="A2" s="48" t="s">
        <v>5</v>
      </c>
      <c r="B2" s="48" t="s">
        <v>6</v>
      </c>
      <c r="D2" s="48" t="s">
        <v>5</v>
      </c>
      <c r="E2" s="48" t="s">
        <v>6</v>
      </c>
      <c r="G2" s="54" t="s">
        <v>62</v>
      </c>
      <c r="H2" s="54" t="s">
        <v>63</v>
      </c>
      <c r="J2" s="54" t="s">
        <v>101</v>
      </c>
    </row>
    <row r="3" spans="1:10" ht="20.100000000000001" customHeight="1">
      <c r="A3" s="49" t="s">
        <v>41</v>
      </c>
      <c r="B3" s="47">
        <v>4</v>
      </c>
      <c r="D3" s="49" t="s">
        <v>0</v>
      </c>
      <c r="E3" s="107" t="s">
        <v>193</v>
      </c>
      <c r="G3" s="54" t="s">
        <v>64</v>
      </c>
      <c r="H3" s="54" t="s">
        <v>65</v>
      </c>
      <c r="J3" s="54" t="s">
        <v>102</v>
      </c>
    </row>
    <row r="4" spans="1:10" ht="20.100000000000001" customHeight="1">
      <c r="A4" s="49" t="s">
        <v>42</v>
      </c>
      <c r="B4" s="47">
        <v>26</v>
      </c>
      <c r="D4" s="49" t="s">
        <v>1</v>
      </c>
      <c r="E4" s="108">
        <v>44287</v>
      </c>
      <c r="G4" s="54" t="s">
        <v>121</v>
      </c>
      <c r="H4" s="54" t="s">
        <v>66</v>
      </c>
      <c r="J4" s="54" t="s">
        <v>103</v>
      </c>
    </row>
    <row r="5" spans="1:10" ht="20.100000000000001" customHeight="1">
      <c r="A5" s="49" t="s">
        <v>43</v>
      </c>
      <c r="B5" s="47">
        <v>43</v>
      </c>
      <c r="D5" s="49" t="s">
        <v>3</v>
      </c>
      <c r="E5" s="109" t="s">
        <v>49</v>
      </c>
      <c r="G5" s="54" t="s">
        <v>123</v>
      </c>
      <c r="H5" s="54" t="s">
        <v>66</v>
      </c>
      <c r="J5" s="54" t="s">
        <v>108</v>
      </c>
    </row>
    <row r="6" spans="1:10" ht="20.100000000000001" customHeight="1">
      <c r="A6" s="50" t="s">
        <v>48</v>
      </c>
      <c r="B6" s="47">
        <v>5</v>
      </c>
      <c r="D6" s="49" t="s">
        <v>32</v>
      </c>
      <c r="E6" s="110" t="s">
        <v>192</v>
      </c>
      <c r="G6" s="54" t="s">
        <v>151</v>
      </c>
      <c r="H6" s="54" t="s">
        <v>67</v>
      </c>
      <c r="J6" s="54" t="s">
        <v>107</v>
      </c>
    </row>
    <row r="7" spans="1:10" ht="20.100000000000001" customHeight="1">
      <c r="A7" s="50" t="s">
        <v>44</v>
      </c>
      <c r="B7" s="47" t="s">
        <v>50</v>
      </c>
      <c r="D7" s="49" t="s">
        <v>7</v>
      </c>
      <c r="E7" s="110" t="s">
        <v>191</v>
      </c>
      <c r="G7" s="54" t="s">
        <v>150</v>
      </c>
      <c r="H7" s="54" t="s">
        <v>68</v>
      </c>
      <c r="J7" s="54" t="s">
        <v>106</v>
      </c>
    </row>
    <row r="8" spans="1:10" ht="20.100000000000001" customHeight="1">
      <c r="A8" s="50" t="s">
        <v>45</v>
      </c>
      <c r="B8" s="47" t="s">
        <v>51</v>
      </c>
      <c r="D8" s="49" t="s">
        <v>9</v>
      </c>
      <c r="E8" s="110" t="str">
        <f>IF(システム名="",プロジェクト名 &amp; " 設計書",プロジェクト名 &amp;" [" &amp; システム名 &amp; "]  設計書")</f>
        <v>○△□プロジェクト [○✕システム]  設計書</v>
      </c>
      <c r="G8" s="54" t="s">
        <v>152</v>
      </c>
      <c r="H8" s="54" t="s">
        <v>68</v>
      </c>
      <c r="J8" s="54" t="s">
        <v>105</v>
      </c>
    </row>
    <row r="9" spans="1:10" ht="20.100000000000001" customHeight="1">
      <c r="A9" s="50" t="s">
        <v>46</v>
      </c>
      <c r="B9" s="47" t="s">
        <v>52</v>
      </c>
      <c r="D9" s="56" t="s">
        <v>119</v>
      </c>
      <c r="E9" s="110"/>
      <c r="G9" s="54" t="s">
        <v>124</v>
      </c>
      <c r="H9" s="54" t="s">
        <v>69</v>
      </c>
      <c r="J9" s="54" t="s">
        <v>109</v>
      </c>
    </row>
    <row r="10" spans="1:10" ht="20.100000000000001" customHeight="1">
      <c r="A10" s="50" t="s">
        <v>47</v>
      </c>
      <c r="B10" s="47" t="s">
        <v>53</v>
      </c>
      <c r="G10" s="54" t="s">
        <v>85</v>
      </c>
      <c r="H10" s="54" t="s">
        <v>86</v>
      </c>
    </row>
    <row r="11" spans="1:10" ht="20.100000000000001" customHeight="1">
      <c r="G11" s="54" t="s">
        <v>70</v>
      </c>
      <c r="H11" s="54" t="s">
        <v>69</v>
      </c>
    </row>
    <row r="12" spans="1:10" ht="20.100000000000001" customHeight="1">
      <c r="G12" s="54" t="s">
        <v>71</v>
      </c>
      <c r="H12" s="54" t="s">
        <v>69</v>
      </c>
    </row>
    <row r="13" spans="1:10" ht="20.100000000000001" customHeight="1">
      <c r="G13" s="54" t="s">
        <v>72</v>
      </c>
      <c r="H13" s="54" t="s">
        <v>69</v>
      </c>
    </row>
    <row r="14" spans="1:10" ht="20.100000000000001" customHeight="1">
      <c r="G14" s="54" t="s">
        <v>73</v>
      </c>
      <c r="H14" s="54" t="s">
        <v>68</v>
      </c>
    </row>
    <row r="15" spans="1:10" ht="20.100000000000001" customHeight="1">
      <c r="G15" s="54" t="s">
        <v>74</v>
      </c>
      <c r="H15" s="54" t="s">
        <v>75</v>
      </c>
    </row>
    <row r="16" spans="1:10" ht="20.100000000000001" customHeight="1">
      <c r="G16" s="54" t="s">
        <v>76</v>
      </c>
      <c r="H16" s="54" t="s">
        <v>77</v>
      </c>
    </row>
    <row r="17" spans="7:10" s="46" customFormat="1" ht="20.100000000000001" customHeight="1">
      <c r="G17" s="54" t="s">
        <v>78</v>
      </c>
      <c r="H17" s="54" t="s">
        <v>79</v>
      </c>
      <c r="I17" s="53"/>
      <c r="J17" s="55"/>
    </row>
    <row r="18" spans="7:10" s="46" customFormat="1" ht="20.100000000000001" customHeight="1">
      <c r="G18" s="54" t="s">
        <v>80</v>
      </c>
      <c r="H18" s="54" t="s">
        <v>81</v>
      </c>
      <c r="I18" s="53"/>
      <c r="J18" s="55"/>
    </row>
    <row r="19" spans="7:10" s="46" customFormat="1" ht="20.100000000000001" customHeight="1">
      <c r="G19" s="54" t="s">
        <v>82</v>
      </c>
      <c r="H19" s="54" t="s">
        <v>68</v>
      </c>
      <c r="I19" s="53"/>
      <c r="J19" s="55"/>
    </row>
    <row r="20" spans="7:10" s="46" customFormat="1" ht="20.100000000000001" customHeight="1">
      <c r="G20" s="54" t="s">
        <v>83</v>
      </c>
      <c r="H20" s="54" t="s">
        <v>84</v>
      </c>
      <c r="I20" s="53"/>
      <c r="J20" s="55"/>
    </row>
    <row r="21" spans="7:10" s="46" customFormat="1" ht="20.100000000000001" customHeight="1">
      <c r="G21" s="54" t="s">
        <v>87</v>
      </c>
      <c r="H21" s="54" t="s">
        <v>88</v>
      </c>
      <c r="I21" s="53"/>
      <c r="J21" s="55"/>
    </row>
    <row r="22" spans="7:10" s="46" customFormat="1" ht="20.100000000000001" customHeight="1">
      <c r="G22" s="54" t="s">
        <v>89</v>
      </c>
      <c r="H22" s="54" t="s">
        <v>90</v>
      </c>
      <c r="I22" s="53"/>
      <c r="J22" s="55"/>
    </row>
    <row r="23" spans="7:10" s="46" customFormat="1" ht="20.100000000000001" customHeight="1">
      <c r="G23" s="54" t="s">
        <v>91</v>
      </c>
      <c r="H23" s="54" t="s">
        <v>92</v>
      </c>
      <c r="I23" s="53"/>
      <c r="J23" s="55"/>
    </row>
    <row r="24" spans="7:10" s="46" customFormat="1" ht="20.100000000000001" customHeight="1">
      <c r="G24" s="54" t="s">
        <v>93</v>
      </c>
      <c r="H24" s="54" t="s">
        <v>94</v>
      </c>
      <c r="I24" s="53"/>
      <c r="J24" s="55"/>
    </row>
    <row r="25" spans="7:10" s="46" customFormat="1" ht="20.100000000000001" customHeight="1">
      <c r="G25" s="54" t="s">
        <v>95</v>
      </c>
      <c r="H25" s="54" t="s">
        <v>96</v>
      </c>
      <c r="I25" s="53"/>
      <c r="J25" s="55"/>
    </row>
    <row r="26" spans="7:10" s="46" customFormat="1" ht="20.100000000000001" customHeight="1">
      <c r="G26" s="54" t="s">
        <v>97</v>
      </c>
      <c r="H26" s="54" t="s">
        <v>98</v>
      </c>
      <c r="I26" s="53"/>
      <c r="J26" s="55"/>
    </row>
    <row r="27" spans="7:10" s="46" customFormat="1" ht="20.100000000000001" customHeight="1">
      <c r="G27" s="54" t="s">
        <v>99</v>
      </c>
      <c r="H27" s="54" t="s">
        <v>100</v>
      </c>
      <c r="I27" s="53"/>
      <c r="J27" s="55"/>
    </row>
    <row r="28" spans="7:10" s="46" customFormat="1" ht="20.100000000000001" customHeight="1">
      <c r="G28" s="55"/>
      <c r="H28" s="55"/>
      <c r="I28" s="53"/>
      <c r="J28" s="55"/>
    </row>
    <row r="29" spans="7:10" s="46" customFormat="1" ht="20.100000000000001" customHeight="1">
      <c r="G29" s="55"/>
      <c r="H29" s="55"/>
      <c r="I29" s="53"/>
      <c r="J29" s="55"/>
    </row>
    <row r="30" spans="7:10" s="46" customFormat="1" ht="20.100000000000001" customHeight="1">
      <c r="G30" s="55"/>
      <c r="H30" s="55"/>
      <c r="I30" s="53"/>
      <c r="J30" s="55"/>
    </row>
  </sheetData>
  <sheetProtection selectLockedCells="1"/>
  <phoneticPr fontId="4"/>
  <pageMargins left="0.75" right="0.75" top="1" bottom="1" header="0.51200000000000001" footer="0.51200000000000001"/>
  <pageSetup paperSize="9" scale="8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1"/>
  <dimension ref="A1:AY344"/>
  <sheetViews>
    <sheetView showGridLines="0" workbookViewId="0">
      <selection activeCell="AF15" sqref="AF15"/>
    </sheetView>
  </sheetViews>
  <sheetFormatPr defaultColWidth="3.140625" defaultRowHeight="13.5" customHeight="1"/>
  <cols>
    <col min="1" max="2" width="3.140625" style="129" customWidth="1"/>
    <col min="3" max="3" width="3.140625" style="127" customWidth="1"/>
    <col min="4" max="4" width="3.140625" style="66" customWidth="1"/>
    <col min="5" max="6" width="3.140625" style="129" customWidth="1"/>
    <col min="7" max="7" width="3" style="129" customWidth="1"/>
    <col min="8" max="25" width="3.140625" style="129" customWidth="1"/>
    <col min="26" max="26" width="3.140625" style="195" customWidth="1"/>
    <col min="27" max="46" width="3.140625" style="129" customWidth="1"/>
    <col min="47" max="47" width="3.7109375" style="129" customWidth="1"/>
    <col min="48" max="16384" width="3.140625" style="129"/>
  </cols>
  <sheetData>
    <row r="1" spans="1:51" ht="15">
      <c r="A1" s="240" t="s">
        <v>40</v>
      </c>
      <c r="B1" s="241"/>
      <c r="C1" s="242"/>
      <c r="D1" s="243" t="str">
        <f>システム名</f>
        <v>○✕システム</v>
      </c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5"/>
      <c r="P1" s="246" t="s">
        <v>0</v>
      </c>
      <c r="Q1" s="241"/>
      <c r="R1" s="242"/>
      <c r="S1" s="247" t="str">
        <f>IF(顧客名&lt;&gt;"",顧客名,"")</f>
        <v>○✕○✕株式会社</v>
      </c>
      <c r="T1" s="248"/>
      <c r="U1" s="248"/>
      <c r="V1" s="248"/>
      <c r="W1" s="248"/>
      <c r="X1" s="248"/>
      <c r="Y1" s="248"/>
      <c r="Z1" s="248"/>
      <c r="AA1" s="248"/>
      <c r="AB1" s="248"/>
      <c r="AC1" s="248"/>
      <c r="AD1" s="248"/>
      <c r="AE1" s="248"/>
      <c r="AF1" s="249"/>
      <c r="AG1" s="250" t="s">
        <v>35</v>
      </c>
      <c r="AH1" s="250"/>
      <c r="AI1" s="250"/>
      <c r="AJ1" s="251">
        <f>作成日</f>
        <v>44287</v>
      </c>
      <c r="AK1" s="252"/>
      <c r="AL1" s="252"/>
      <c r="AM1" s="252"/>
      <c r="AN1" s="252"/>
      <c r="AO1" s="250" t="s">
        <v>36</v>
      </c>
      <c r="AP1" s="250"/>
      <c r="AQ1" s="250"/>
      <c r="AR1" s="253" t="str">
        <f>作成者</f>
        <v>小泉　文平</v>
      </c>
      <c r="AS1" s="254"/>
      <c r="AT1" s="254"/>
      <c r="AU1" s="254"/>
      <c r="AV1" s="255"/>
      <c r="AX1" s="256"/>
      <c r="AY1" s="257"/>
    </row>
    <row r="2" spans="1:51" ht="15">
      <c r="A2" s="258" t="s">
        <v>30</v>
      </c>
      <c r="B2" s="259"/>
      <c r="C2" s="260"/>
      <c r="D2" s="261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3"/>
      <c r="P2" s="264" t="s">
        <v>2</v>
      </c>
      <c r="Q2" s="259"/>
      <c r="R2" s="260"/>
      <c r="S2" s="265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7"/>
      <c r="AG2" s="268" t="s">
        <v>34</v>
      </c>
      <c r="AH2" s="268"/>
      <c r="AI2" s="268"/>
      <c r="AJ2" s="269"/>
      <c r="AK2" s="270"/>
      <c r="AL2" s="270"/>
      <c r="AM2" s="270"/>
      <c r="AN2" s="270"/>
      <c r="AO2" s="268" t="s">
        <v>33</v>
      </c>
      <c r="AP2" s="268"/>
      <c r="AQ2" s="268"/>
      <c r="AR2" s="271"/>
      <c r="AS2" s="272"/>
      <c r="AT2" s="272"/>
      <c r="AU2" s="272"/>
      <c r="AV2" s="273"/>
      <c r="AX2" s="257"/>
      <c r="AY2" s="257"/>
    </row>
    <row r="3" spans="1:51" ht="13.5" customHeight="1">
      <c r="A3" s="5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60"/>
    </row>
    <row r="4" spans="1:51" ht="13.5" customHeight="1">
      <c r="A4" s="3"/>
      <c r="B4" s="14" t="s">
        <v>149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1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7"/>
    </row>
    <row r="5" spans="1:51" ht="13.5" customHeight="1">
      <c r="A5" s="111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112"/>
    </row>
    <row r="6" spans="1:51" ht="13.5" customHeight="1">
      <c r="A6" s="111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112"/>
    </row>
    <row r="7" spans="1:51" ht="13.5" customHeight="1">
      <c r="A7" s="111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112"/>
    </row>
    <row r="8" spans="1:51" ht="13.5" customHeight="1">
      <c r="A8" s="111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112"/>
    </row>
    <row r="9" spans="1:51" ht="13.5" customHeight="1">
      <c r="A9" s="111"/>
      <c r="B9" s="14" t="s">
        <v>189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112"/>
    </row>
    <row r="10" spans="1:51" ht="13.5" customHeight="1">
      <c r="A10" s="111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112"/>
    </row>
    <row r="11" spans="1:51" ht="13.5" customHeight="1">
      <c r="A11" s="111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112"/>
    </row>
    <row r="12" spans="1:51" ht="13.5" customHeight="1">
      <c r="A12" s="111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112"/>
    </row>
    <row r="13" spans="1:51" ht="13.5" customHeight="1">
      <c r="A13" s="111"/>
      <c r="B13" s="14" t="s">
        <v>190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112"/>
    </row>
    <row r="14" spans="1:51" ht="13.5" customHeight="1">
      <c r="A14" s="111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112"/>
    </row>
    <row r="15" spans="1:51" ht="13.5" customHeight="1">
      <c r="A15" s="111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112"/>
    </row>
    <row r="16" spans="1:51" ht="13.5" customHeight="1">
      <c r="A16" s="111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112"/>
    </row>
    <row r="17" spans="1:48" ht="13.5" customHeight="1">
      <c r="A17" s="1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112"/>
    </row>
    <row r="18" spans="1:48" ht="13.5" customHeight="1">
      <c r="A18" s="111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112"/>
    </row>
    <row r="19" spans="1:48" ht="13.5" customHeight="1">
      <c r="A19" s="11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112"/>
    </row>
    <row r="20" spans="1:48" ht="13.5" customHeight="1">
      <c r="A20" s="111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112"/>
    </row>
    <row r="21" spans="1:48" ht="13.5" customHeight="1">
      <c r="A21" s="111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112"/>
    </row>
    <row r="22" spans="1:48" ht="13.5" customHeight="1">
      <c r="A22" s="111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112"/>
    </row>
    <row r="23" spans="1:48" ht="13.5" customHeight="1">
      <c r="A23" s="111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112"/>
    </row>
    <row r="24" spans="1:48" ht="13.5" customHeight="1">
      <c r="A24" s="111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112"/>
    </row>
    <row r="25" spans="1:48" ht="13.5" customHeight="1">
      <c r="A25" s="111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112"/>
    </row>
    <row r="26" spans="1:48" ht="13.5" customHeight="1">
      <c r="A26" s="111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112"/>
    </row>
    <row r="27" spans="1:48" ht="13.5" customHeight="1">
      <c r="A27" s="111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112"/>
    </row>
    <row r="28" spans="1:48" ht="13.5" customHeight="1">
      <c r="A28" s="111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112"/>
    </row>
    <row r="29" spans="1:48" ht="13.5" customHeight="1">
      <c r="A29" s="111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112"/>
    </row>
    <row r="30" spans="1:48" ht="13.5" customHeight="1">
      <c r="A30" s="111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112"/>
    </row>
    <row r="31" spans="1:48" ht="13.5" customHeight="1">
      <c r="A31" s="111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112"/>
    </row>
    <row r="32" spans="1:48" ht="13.5" customHeight="1">
      <c r="A32" s="111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112"/>
    </row>
    <row r="33" spans="1:51" ht="13.5" customHeight="1">
      <c r="A33" s="111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112"/>
    </row>
    <row r="34" spans="1:51" ht="13.5" customHeight="1">
      <c r="A34" s="111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112"/>
    </row>
    <row r="35" spans="1:51" ht="13.5" customHeight="1">
      <c r="A35" s="111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112"/>
    </row>
    <row r="36" spans="1:51" ht="13.5" customHeight="1">
      <c r="A36" s="111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112"/>
    </row>
    <row r="37" spans="1:51" ht="13.5" customHeight="1">
      <c r="A37" s="111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112"/>
    </row>
    <row r="38" spans="1:51" ht="13.5" customHeight="1">
      <c r="A38" s="111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112"/>
    </row>
    <row r="39" spans="1:51" ht="13.5" customHeight="1">
      <c r="A39" s="111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112"/>
    </row>
    <row r="40" spans="1:51" ht="13.5" customHeight="1">
      <c r="A40" s="111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112"/>
    </row>
    <row r="41" spans="1:51" ht="13.5" customHeight="1">
      <c r="A41" s="111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112"/>
    </row>
    <row r="42" spans="1:51" ht="13.5" customHeight="1">
      <c r="A42" s="111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112"/>
    </row>
    <row r="43" spans="1:51" ht="13.5" customHeight="1" thickBot="1">
      <c r="A43" s="113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4"/>
      <c r="AX43" s="238" t="str">
        <f>HYPERLINK("#$A$1","目次へ")</f>
        <v>目次へ</v>
      </c>
      <c r="AY43" s="239"/>
    </row>
    <row r="44" spans="1:51" s="195" customFormat="1" ht="15">
      <c r="A44" s="240" t="s">
        <v>40</v>
      </c>
      <c r="B44" s="241"/>
      <c r="C44" s="242"/>
      <c r="D44" s="243" t="str">
        <f>システム名</f>
        <v>○✕システム</v>
      </c>
      <c r="E44" s="244"/>
      <c r="F44" s="244"/>
      <c r="G44" s="244"/>
      <c r="H44" s="244"/>
      <c r="I44" s="244"/>
      <c r="J44" s="244"/>
      <c r="K44" s="244"/>
      <c r="L44" s="244"/>
      <c r="M44" s="244"/>
      <c r="N44" s="244"/>
      <c r="O44" s="245"/>
      <c r="P44" s="246" t="s">
        <v>0</v>
      </c>
      <c r="Q44" s="241"/>
      <c r="R44" s="242"/>
      <c r="S44" s="247" t="str">
        <f>IF(顧客名&lt;&gt;"",顧客名,"")</f>
        <v>○✕○✕株式会社</v>
      </c>
      <c r="T44" s="248"/>
      <c r="U44" s="248"/>
      <c r="V44" s="248"/>
      <c r="W44" s="248"/>
      <c r="X44" s="248"/>
      <c r="Y44" s="248"/>
      <c r="Z44" s="248"/>
      <c r="AA44" s="248"/>
      <c r="AB44" s="248"/>
      <c r="AC44" s="248"/>
      <c r="AD44" s="248"/>
      <c r="AE44" s="248"/>
      <c r="AF44" s="249"/>
      <c r="AG44" s="250" t="s">
        <v>35</v>
      </c>
      <c r="AH44" s="250"/>
      <c r="AI44" s="250"/>
      <c r="AJ44" s="251">
        <f>作成日</f>
        <v>44287</v>
      </c>
      <c r="AK44" s="252"/>
      <c r="AL44" s="252"/>
      <c r="AM44" s="252"/>
      <c r="AN44" s="252"/>
      <c r="AO44" s="250" t="s">
        <v>36</v>
      </c>
      <c r="AP44" s="250"/>
      <c r="AQ44" s="250"/>
      <c r="AR44" s="253" t="str">
        <f>作成者</f>
        <v>小泉　文平</v>
      </c>
      <c r="AS44" s="254"/>
      <c r="AT44" s="254"/>
      <c r="AU44" s="254"/>
      <c r="AV44" s="255"/>
      <c r="AX44" s="256"/>
      <c r="AY44" s="257"/>
    </row>
    <row r="45" spans="1:51" s="195" customFormat="1" ht="15">
      <c r="A45" s="258" t="s">
        <v>30</v>
      </c>
      <c r="B45" s="259"/>
      <c r="C45" s="260"/>
      <c r="D45" s="261" t="s">
        <v>244</v>
      </c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3"/>
      <c r="P45" s="264" t="s">
        <v>2</v>
      </c>
      <c r="Q45" s="259"/>
      <c r="R45" s="260"/>
      <c r="S45" s="265"/>
      <c r="T45" s="266"/>
      <c r="U45" s="266"/>
      <c r="V45" s="266"/>
      <c r="W45" s="266"/>
      <c r="X45" s="266"/>
      <c r="Y45" s="266"/>
      <c r="Z45" s="266"/>
      <c r="AA45" s="266"/>
      <c r="AB45" s="266"/>
      <c r="AC45" s="266"/>
      <c r="AD45" s="266"/>
      <c r="AE45" s="266"/>
      <c r="AF45" s="267"/>
      <c r="AG45" s="268" t="s">
        <v>34</v>
      </c>
      <c r="AH45" s="268"/>
      <c r="AI45" s="268"/>
      <c r="AJ45" s="269"/>
      <c r="AK45" s="270"/>
      <c r="AL45" s="270"/>
      <c r="AM45" s="270"/>
      <c r="AN45" s="270"/>
      <c r="AO45" s="268" t="s">
        <v>33</v>
      </c>
      <c r="AP45" s="268"/>
      <c r="AQ45" s="268"/>
      <c r="AR45" s="271"/>
      <c r="AS45" s="272"/>
      <c r="AT45" s="272"/>
      <c r="AU45" s="272"/>
      <c r="AV45" s="273"/>
      <c r="AX45" s="257"/>
      <c r="AY45" s="257"/>
    </row>
    <row r="46" spans="1:51" s="195" customFormat="1" ht="13.5" customHeight="1">
      <c r="A46" s="5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60"/>
    </row>
    <row r="47" spans="1:51" s="195" customFormat="1" ht="13.5" customHeight="1">
      <c r="A47" s="3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1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7"/>
    </row>
    <row r="48" spans="1:51" s="195" customFormat="1" ht="13.5" customHeight="1">
      <c r="A48" s="111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112"/>
    </row>
    <row r="49" spans="1:48" s="195" customFormat="1" ht="13.5" customHeight="1">
      <c r="A49" s="111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112"/>
    </row>
    <row r="50" spans="1:48" s="195" customFormat="1" ht="13.5" customHeight="1">
      <c r="A50" s="111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112"/>
    </row>
    <row r="51" spans="1:48" s="195" customFormat="1" ht="13.5" customHeight="1">
      <c r="A51" s="111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112"/>
    </row>
    <row r="52" spans="1:48" s="195" customFormat="1" ht="13.5" customHeight="1">
      <c r="A52" s="111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112"/>
    </row>
    <row r="53" spans="1:48" s="195" customFormat="1" ht="13.5" customHeight="1">
      <c r="A53" s="111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112"/>
    </row>
    <row r="54" spans="1:48" s="195" customFormat="1" ht="13.5" customHeight="1">
      <c r="A54" s="111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112"/>
    </row>
    <row r="55" spans="1:48" s="195" customFormat="1" ht="13.5" customHeight="1">
      <c r="A55" s="111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112"/>
    </row>
    <row r="56" spans="1:48" s="195" customFormat="1" ht="13.5" customHeight="1">
      <c r="A56" s="111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112"/>
    </row>
    <row r="57" spans="1:48" s="195" customFormat="1" ht="13.5" customHeight="1">
      <c r="A57" s="111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112"/>
    </row>
    <row r="58" spans="1:48" s="195" customFormat="1" ht="13.5" customHeight="1">
      <c r="A58" s="111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112"/>
    </row>
    <row r="59" spans="1:48" s="195" customFormat="1" ht="13.5" customHeight="1">
      <c r="A59" s="111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112"/>
    </row>
    <row r="60" spans="1:48" s="195" customFormat="1" ht="13.5" customHeight="1">
      <c r="A60" s="111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112"/>
    </row>
    <row r="61" spans="1:48" s="195" customFormat="1" ht="13.5" customHeight="1">
      <c r="A61" s="111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112"/>
    </row>
    <row r="62" spans="1:48" s="195" customFormat="1" ht="13.5" customHeight="1">
      <c r="A62" s="111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112"/>
    </row>
    <row r="63" spans="1:48" s="195" customFormat="1" ht="13.5" customHeight="1">
      <c r="A63" s="111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112"/>
    </row>
    <row r="64" spans="1:48" s="195" customFormat="1" ht="13.5" customHeight="1">
      <c r="A64" s="111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112"/>
    </row>
    <row r="65" spans="1:48" s="195" customFormat="1" ht="13.5" customHeight="1">
      <c r="A65" s="111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112"/>
    </row>
    <row r="66" spans="1:48" s="195" customFormat="1" ht="13.5" customHeight="1">
      <c r="A66" s="111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112"/>
    </row>
    <row r="67" spans="1:48" s="195" customFormat="1" ht="13.5" customHeight="1">
      <c r="A67" s="111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112"/>
    </row>
    <row r="68" spans="1:48" s="195" customFormat="1" ht="13.5" customHeight="1">
      <c r="A68" s="111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112"/>
    </row>
    <row r="69" spans="1:48" s="195" customFormat="1" ht="13.5" customHeight="1">
      <c r="A69" s="111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112"/>
    </row>
    <row r="70" spans="1:48" s="195" customFormat="1" ht="13.5" customHeight="1">
      <c r="A70" s="111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112"/>
    </row>
    <row r="71" spans="1:48" s="195" customFormat="1" ht="13.5" customHeight="1">
      <c r="A71" s="111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112"/>
    </row>
    <row r="72" spans="1:48" s="195" customFormat="1" ht="13.5" customHeight="1">
      <c r="A72" s="111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112"/>
    </row>
    <row r="73" spans="1:48" s="195" customFormat="1" ht="13.5" customHeight="1">
      <c r="A73" s="111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112"/>
    </row>
    <row r="74" spans="1:48" s="195" customFormat="1" ht="13.5" customHeight="1">
      <c r="A74" s="111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112"/>
    </row>
    <row r="75" spans="1:48" s="195" customFormat="1" ht="13.5" customHeight="1">
      <c r="A75" s="111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112"/>
    </row>
    <row r="76" spans="1:48" s="195" customFormat="1" ht="13.5" customHeight="1">
      <c r="A76" s="111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112"/>
    </row>
    <row r="77" spans="1:48" s="195" customFormat="1" ht="13.5" customHeight="1">
      <c r="A77" s="111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112"/>
    </row>
    <row r="78" spans="1:48" s="195" customFormat="1" ht="13.5" customHeight="1">
      <c r="A78" s="111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112"/>
    </row>
    <row r="79" spans="1:48" s="195" customFormat="1" ht="13.5" customHeight="1">
      <c r="A79" s="111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112"/>
    </row>
    <row r="80" spans="1:48" s="195" customFormat="1" ht="13.5" customHeight="1">
      <c r="A80" s="111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112"/>
    </row>
    <row r="81" spans="1:51" s="195" customFormat="1" ht="13.5" customHeight="1">
      <c r="A81" s="111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112"/>
    </row>
    <row r="82" spans="1:51" s="195" customFormat="1" ht="13.5" customHeight="1">
      <c r="A82" s="111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112"/>
    </row>
    <row r="83" spans="1:51" s="195" customFormat="1" ht="13.5" customHeight="1">
      <c r="A83" s="111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112"/>
    </row>
    <row r="84" spans="1:51" s="195" customFormat="1" ht="13.5" customHeight="1">
      <c r="A84" s="111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112"/>
    </row>
    <row r="85" spans="1:51" s="195" customFormat="1" ht="13.5" customHeight="1">
      <c r="A85" s="111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112"/>
    </row>
    <row r="86" spans="1:51" s="195" customFormat="1" ht="13.5" customHeight="1" thickBot="1">
      <c r="A86" s="113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4"/>
      <c r="AX86" s="238" t="str">
        <f>HYPERLINK("#$A$1","目次へ")</f>
        <v>目次へ</v>
      </c>
      <c r="AY86" s="239"/>
    </row>
    <row r="87" spans="1:51" ht="15">
      <c r="A87" s="240" t="s">
        <v>40</v>
      </c>
      <c r="B87" s="241"/>
      <c r="C87" s="242"/>
      <c r="D87" s="243" t="str">
        <f>システム名</f>
        <v>○✕システム</v>
      </c>
      <c r="E87" s="244"/>
      <c r="F87" s="244"/>
      <c r="G87" s="244"/>
      <c r="H87" s="244"/>
      <c r="I87" s="244"/>
      <c r="J87" s="244"/>
      <c r="K87" s="244"/>
      <c r="L87" s="244"/>
      <c r="M87" s="244"/>
      <c r="N87" s="244"/>
      <c r="O87" s="245"/>
      <c r="P87" s="246" t="s">
        <v>0</v>
      </c>
      <c r="Q87" s="241"/>
      <c r="R87" s="242"/>
      <c r="S87" s="247" t="str">
        <f>IF(顧客名&lt;&gt;"",顧客名,"")</f>
        <v>○✕○✕株式会社</v>
      </c>
      <c r="T87" s="248"/>
      <c r="U87" s="248"/>
      <c r="V87" s="248"/>
      <c r="W87" s="248"/>
      <c r="X87" s="248"/>
      <c r="Y87" s="248"/>
      <c r="Z87" s="248"/>
      <c r="AA87" s="248"/>
      <c r="AB87" s="248"/>
      <c r="AC87" s="248"/>
      <c r="AD87" s="248"/>
      <c r="AE87" s="248"/>
      <c r="AF87" s="249"/>
      <c r="AG87" s="250" t="s">
        <v>35</v>
      </c>
      <c r="AH87" s="250"/>
      <c r="AI87" s="250"/>
      <c r="AJ87" s="251">
        <f>作成日</f>
        <v>44287</v>
      </c>
      <c r="AK87" s="252"/>
      <c r="AL87" s="252"/>
      <c r="AM87" s="252"/>
      <c r="AN87" s="252"/>
      <c r="AO87" s="250" t="s">
        <v>36</v>
      </c>
      <c r="AP87" s="250"/>
      <c r="AQ87" s="250"/>
      <c r="AR87" s="253" t="str">
        <f>作成者</f>
        <v>小泉　文平</v>
      </c>
      <c r="AS87" s="254"/>
      <c r="AT87" s="254"/>
      <c r="AU87" s="254"/>
      <c r="AV87" s="255"/>
      <c r="AX87" s="274"/>
      <c r="AY87" s="275"/>
    </row>
    <row r="88" spans="1:51" ht="15">
      <c r="A88" s="258" t="s">
        <v>30</v>
      </c>
      <c r="B88" s="259"/>
      <c r="C88" s="260"/>
      <c r="D88" s="261"/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3"/>
      <c r="P88" s="264" t="s">
        <v>2</v>
      </c>
      <c r="Q88" s="259"/>
      <c r="R88" s="260"/>
      <c r="S88" s="265"/>
      <c r="T88" s="266"/>
      <c r="U88" s="266"/>
      <c r="V88" s="266"/>
      <c r="W88" s="266"/>
      <c r="X88" s="266"/>
      <c r="Y88" s="266"/>
      <c r="Z88" s="266"/>
      <c r="AA88" s="266"/>
      <c r="AB88" s="266"/>
      <c r="AC88" s="266"/>
      <c r="AD88" s="266"/>
      <c r="AE88" s="266"/>
      <c r="AF88" s="267"/>
      <c r="AG88" s="268" t="s">
        <v>34</v>
      </c>
      <c r="AH88" s="268"/>
      <c r="AI88" s="268"/>
      <c r="AJ88" s="269"/>
      <c r="AK88" s="270"/>
      <c r="AL88" s="270"/>
      <c r="AM88" s="270"/>
      <c r="AN88" s="270"/>
      <c r="AO88" s="268" t="s">
        <v>33</v>
      </c>
      <c r="AP88" s="268"/>
      <c r="AQ88" s="268"/>
      <c r="AR88" s="271"/>
      <c r="AS88" s="272"/>
      <c r="AT88" s="272"/>
      <c r="AU88" s="272"/>
      <c r="AV88" s="273"/>
      <c r="AX88" s="275"/>
      <c r="AY88" s="275"/>
    </row>
    <row r="89" spans="1:51" ht="13.5" customHeight="1">
      <c r="A89" s="3"/>
      <c r="B89" s="4"/>
      <c r="C89" s="5"/>
      <c r="D89" s="6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7"/>
    </row>
    <row r="90" spans="1:51" ht="13.5" customHeight="1">
      <c r="A90" s="3"/>
      <c r="B90" s="15" t="s">
        <v>12</v>
      </c>
      <c r="C90" s="6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5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7"/>
    </row>
    <row r="91" spans="1:51" ht="13.5" customHeight="1">
      <c r="A91" s="3"/>
      <c r="B91" s="16" t="s">
        <v>25</v>
      </c>
      <c r="C91" s="17"/>
      <c r="D91" s="17"/>
      <c r="E91" s="17"/>
      <c r="F91" s="17"/>
      <c r="G91" s="18"/>
      <c r="H91" s="118" t="s">
        <v>37</v>
      </c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  <c r="AA91" s="119"/>
      <c r="AB91" s="119"/>
      <c r="AC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20"/>
      <c r="AN91" s="4"/>
      <c r="AO91" s="4"/>
      <c r="AP91" s="4"/>
      <c r="AQ91" s="4"/>
      <c r="AR91" s="4"/>
      <c r="AS91" s="4"/>
      <c r="AT91" s="4"/>
      <c r="AU91" s="4"/>
      <c r="AV91" s="7"/>
    </row>
    <row r="92" spans="1:51" ht="13.5" customHeight="1">
      <c r="A92" s="3"/>
      <c r="B92" s="16" t="s">
        <v>26</v>
      </c>
      <c r="C92" s="17"/>
      <c r="D92" s="17"/>
      <c r="E92" s="17"/>
      <c r="F92" s="17"/>
      <c r="G92" s="18"/>
      <c r="H92" s="118" t="s">
        <v>38</v>
      </c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  <c r="X92" s="119"/>
      <c r="Y92" s="119"/>
      <c r="Z92" s="119"/>
      <c r="AA92" s="119"/>
      <c r="AB92" s="119"/>
      <c r="AC92" s="119"/>
      <c r="AD92" s="119"/>
      <c r="AE92" s="119"/>
      <c r="AF92" s="119"/>
      <c r="AG92" s="119"/>
      <c r="AH92" s="119"/>
      <c r="AI92" s="119"/>
      <c r="AJ92" s="119"/>
      <c r="AK92" s="119"/>
      <c r="AL92" s="119"/>
      <c r="AM92" s="120"/>
      <c r="AN92" s="4"/>
      <c r="AO92" s="4"/>
      <c r="AP92" s="4"/>
      <c r="AQ92" s="4"/>
      <c r="AR92" s="4"/>
      <c r="AS92" s="4"/>
      <c r="AT92" s="4"/>
      <c r="AU92" s="4"/>
      <c r="AV92" s="7"/>
    </row>
    <row r="93" spans="1:51" ht="13.5" customHeight="1">
      <c r="A93" s="3"/>
      <c r="B93" s="19" t="s">
        <v>27</v>
      </c>
      <c r="C93" s="20"/>
      <c r="D93" s="20"/>
      <c r="E93" s="20"/>
      <c r="F93" s="20"/>
      <c r="G93" s="21"/>
      <c r="H93" s="121" t="s">
        <v>111</v>
      </c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122"/>
      <c r="AN93" s="4"/>
      <c r="AO93" s="4"/>
      <c r="AP93" s="4"/>
      <c r="AQ93" s="4"/>
      <c r="AR93" s="4"/>
      <c r="AS93" s="4"/>
      <c r="AT93" s="4"/>
      <c r="AU93" s="4"/>
      <c r="AV93" s="7"/>
    </row>
    <row r="94" spans="1:51" ht="13.5" customHeight="1">
      <c r="A94" s="3"/>
      <c r="B94" s="22"/>
      <c r="C94" s="23"/>
      <c r="D94" s="23"/>
      <c r="E94" s="23"/>
      <c r="F94" s="23"/>
      <c r="G94" s="24"/>
      <c r="H94" s="121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122"/>
      <c r="AN94" s="4"/>
      <c r="AO94" s="4"/>
      <c r="AP94" s="4"/>
      <c r="AQ94" s="4"/>
      <c r="AR94" s="4"/>
      <c r="AS94" s="4"/>
      <c r="AT94" s="4"/>
      <c r="AU94" s="4"/>
      <c r="AV94" s="7"/>
    </row>
    <row r="95" spans="1:51" ht="13.5" customHeight="1">
      <c r="A95" s="3"/>
      <c r="B95" s="22"/>
      <c r="C95" s="23"/>
      <c r="D95" s="23"/>
      <c r="E95" s="23"/>
      <c r="F95" s="23"/>
      <c r="G95" s="24"/>
      <c r="H95" s="121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122"/>
      <c r="AN95" s="4"/>
      <c r="AO95" s="4"/>
      <c r="AP95" s="4"/>
      <c r="AQ95" s="4"/>
      <c r="AR95" s="4"/>
      <c r="AS95" s="4"/>
      <c r="AT95" s="4"/>
      <c r="AU95" s="4"/>
      <c r="AV95" s="7"/>
    </row>
    <row r="96" spans="1:51" ht="13.5" customHeight="1">
      <c r="A96" s="3"/>
      <c r="B96" s="25"/>
      <c r="C96" s="26"/>
      <c r="D96" s="26"/>
      <c r="E96" s="26"/>
      <c r="F96" s="26"/>
      <c r="G96" s="27"/>
      <c r="H96" s="121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122"/>
      <c r="AN96" s="4"/>
      <c r="AO96" s="4"/>
      <c r="AP96" s="4"/>
      <c r="AQ96" s="4"/>
      <c r="AR96" s="4"/>
      <c r="AS96" s="4"/>
      <c r="AT96" s="4"/>
      <c r="AU96" s="4"/>
      <c r="AV96" s="7"/>
    </row>
    <row r="97" spans="1:48" ht="13.5" customHeight="1">
      <c r="A97" s="3"/>
      <c r="B97" s="16" t="s">
        <v>28</v>
      </c>
      <c r="C97" s="17"/>
      <c r="D97" s="17"/>
      <c r="E97" s="17"/>
      <c r="F97" s="17"/>
      <c r="G97" s="18"/>
      <c r="H97" s="118" t="s">
        <v>110</v>
      </c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20"/>
      <c r="AN97" s="4"/>
      <c r="AO97" s="4"/>
      <c r="AP97" s="4"/>
      <c r="AQ97" s="4"/>
      <c r="AR97" s="4"/>
      <c r="AS97" s="4"/>
      <c r="AT97" s="4"/>
      <c r="AU97" s="4"/>
      <c r="AV97" s="7"/>
    </row>
    <row r="98" spans="1:48" ht="13.5" customHeight="1">
      <c r="A98" s="3"/>
      <c r="B98" s="1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7"/>
    </row>
    <row r="99" spans="1:48" ht="13.5" customHeight="1">
      <c r="A99" s="3"/>
      <c r="B99" s="28" t="s">
        <v>29</v>
      </c>
      <c r="C99" s="5"/>
      <c r="D99" s="6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7"/>
    </row>
    <row r="100" spans="1:48" ht="13.5" customHeight="1">
      <c r="A100" s="3"/>
      <c r="B100" s="4"/>
      <c r="C100" s="15" t="s">
        <v>13</v>
      </c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4"/>
      <c r="AS100" s="4"/>
      <c r="AT100" s="4"/>
      <c r="AU100" s="4"/>
      <c r="AV100" s="7"/>
    </row>
    <row r="101" spans="1:48" ht="13.5" customHeight="1">
      <c r="A101" s="3"/>
      <c r="B101" s="4"/>
      <c r="C101" s="175" t="s">
        <v>188</v>
      </c>
      <c r="D101" s="175" t="s">
        <v>5</v>
      </c>
      <c r="E101" s="176"/>
      <c r="F101" s="176"/>
      <c r="G101" s="176"/>
      <c r="H101" s="176"/>
      <c r="I101" s="176"/>
      <c r="J101" s="176"/>
      <c r="K101" s="176"/>
      <c r="L101" s="177"/>
      <c r="M101" s="176" t="s">
        <v>14</v>
      </c>
      <c r="N101" s="176"/>
      <c r="O101" s="176"/>
      <c r="P101" s="176"/>
      <c r="Q101" s="177"/>
      <c r="R101" s="175" t="s">
        <v>10</v>
      </c>
      <c r="S101" s="176"/>
      <c r="T101" s="176"/>
      <c r="U101" s="176"/>
      <c r="V101" s="176"/>
      <c r="W101" s="177"/>
      <c r="X101" s="175" t="s">
        <v>15</v>
      </c>
      <c r="Y101" s="177"/>
      <c r="Z101" s="176"/>
      <c r="AA101" s="175" t="s">
        <v>16</v>
      </c>
      <c r="AB101" s="176"/>
      <c r="AC101" s="176"/>
      <c r="AD101" s="176"/>
      <c r="AE101" s="176"/>
      <c r="AF101" s="176"/>
      <c r="AG101" s="176"/>
      <c r="AH101" s="176"/>
      <c r="AI101" s="176"/>
      <c r="AJ101" s="176"/>
      <c r="AK101" s="176"/>
      <c r="AL101" s="176"/>
      <c r="AM101" s="176"/>
      <c r="AN101" s="176"/>
      <c r="AO101" s="176"/>
      <c r="AP101" s="176"/>
      <c r="AQ101" s="177"/>
      <c r="AR101" s="4"/>
      <c r="AS101" s="4"/>
      <c r="AT101" s="4"/>
      <c r="AU101" s="4"/>
      <c r="AV101" s="7"/>
    </row>
    <row r="102" spans="1:48" ht="13.5" customHeight="1">
      <c r="A102" s="3"/>
      <c r="B102" s="4"/>
      <c r="C102" s="126">
        <v>1</v>
      </c>
      <c r="D102" s="115"/>
      <c r="E102" s="31"/>
      <c r="F102" s="31"/>
      <c r="G102" s="31"/>
      <c r="H102" s="31"/>
      <c r="I102" s="31"/>
      <c r="J102" s="31"/>
      <c r="K102" s="31"/>
      <c r="L102" s="31"/>
      <c r="M102" s="116"/>
      <c r="N102" s="31"/>
      <c r="O102" s="31"/>
      <c r="P102" s="31"/>
      <c r="Q102" s="117"/>
      <c r="R102" s="116"/>
      <c r="S102" s="31"/>
      <c r="T102" s="31"/>
      <c r="U102" s="31"/>
      <c r="V102" s="31"/>
      <c r="W102" s="31"/>
      <c r="X102" s="116"/>
      <c r="Y102" s="117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117"/>
      <c r="AR102" s="4"/>
      <c r="AS102" s="4"/>
      <c r="AT102" s="4"/>
      <c r="AU102" s="4"/>
      <c r="AV102" s="7"/>
    </row>
    <row r="103" spans="1:48" ht="13.5" customHeight="1">
      <c r="A103" s="3"/>
      <c r="B103" s="5"/>
      <c r="C103" s="126">
        <v>2</v>
      </c>
      <c r="D103" s="115"/>
      <c r="E103" s="31"/>
      <c r="F103" s="31"/>
      <c r="G103" s="31"/>
      <c r="H103" s="31"/>
      <c r="I103" s="31"/>
      <c r="J103" s="31"/>
      <c r="K103" s="31"/>
      <c r="L103" s="31"/>
      <c r="M103" s="116"/>
      <c r="N103" s="31"/>
      <c r="O103" s="31"/>
      <c r="P103" s="31"/>
      <c r="Q103" s="117"/>
      <c r="R103" s="116"/>
      <c r="S103" s="31"/>
      <c r="T103" s="31"/>
      <c r="U103" s="31"/>
      <c r="V103" s="31"/>
      <c r="W103" s="31"/>
      <c r="X103" s="116"/>
      <c r="Y103" s="117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117"/>
      <c r="AR103" s="4"/>
      <c r="AS103" s="4"/>
      <c r="AT103" s="4"/>
      <c r="AU103" s="4"/>
      <c r="AV103" s="7"/>
    </row>
    <row r="104" spans="1:48" ht="13.5" customHeight="1">
      <c r="A104" s="3"/>
      <c r="B104" s="5"/>
      <c r="C104" s="126">
        <v>3</v>
      </c>
      <c r="D104" s="115"/>
      <c r="E104" s="31"/>
      <c r="F104" s="31"/>
      <c r="G104" s="31"/>
      <c r="H104" s="31"/>
      <c r="I104" s="31"/>
      <c r="J104" s="31"/>
      <c r="K104" s="31"/>
      <c r="L104" s="31"/>
      <c r="M104" s="116"/>
      <c r="N104" s="31"/>
      <c r="O104" s="31"/>
      <c r="P104" s="31"/>
      <c r="Q104" s="117"/>
      <c r="R104" s="116"/>
      <c r="S104" s="31"/>
      <c r="T104" s="31"/>
      <c r="U104" s="31"/>
      <c r="V104" s="31"/>
      <c r="W104" s="31"/>
      <c r="X104" s="116"/>
      <c r="Y104" s="117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117"/>
      <c r="AR104" s="4"/>
      <c r="AS104" s="4"/>
      <c r="AT104" s="4"/>
      <c r="AU104" s="4"/>
      <c r="AV104" s="7"/>
    </row>
    <row r="105" spans="1:48" ht="13.5" customHeight="1">
      <c r="A105" s="3"/>
      <c r="B105" s="5"/>
      <c r="C105" s="126">
        <v>4</v>
      </c>
      <c r="D105" s="115"/>
      <c r="E105" s="31"/>
      <c r="F105" s="31"/>
      <c r="G105" s="31"/>
      <c r="H105" s="31"/>
      <c r="I105" s="31"/>
      <c r="J105" s="31"/>
      <c r="K105" s="31"/>
      <c r="L105" s="31"/>
      <c r="M105" s="116"/>
      <c r="N105" s="31"/>
      <c r="O105" s="31"/>
      <c r="P105" s="31"/>
      <c r="Q105" s="117"/>
      <c r="R105" s="116"/>
      <c r="S105" s="31"/>
      <c r="T105" s="31"/>
      <c r="U105" s="31"/>
      <c r="V105" s="31"/>
      <c r="W105" s="31"/>
      <c r="X105" s="116"/>
      <c r="Y105" s="117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117"/>
      <c r="AR105" s="4"/>
      <c r="AS105" s="4"/>
      <c r="AT105" s="4"/>
      <c r="AU105" s="4"/>
      <c r="AV105" s="7"/>
    </row>
    <row r="106" spans="1:48" ht="13.5" customHeight="1">
      <c r="A106" s="3"/>
      <c r="B106" s="5"/>
      <c r="C106" s="5"/>
      <c r="D106" s="6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7"/>
    </row>
    <row r="107" spans="1:48" ht="13.5" customHeight="1">
      <c r="A107" s="3"/>
      <c r="B107" s="5"/>
      <c r="C107" s="15" t="s">
        <v>13</v>
      </c>
      <c r="D107" s="5"/>
      <c r="E107" s="6"/>
      <c r="F107" s="4"/>
      <c r="G107" s="4"/>
      <c r="H107" s="4"/>
      <c r="I107" s="32"/>
      <c r="J107" s="33"/>
      <c r="K107" s="34"/>
      <c r="L107" s="34"/>
      <c r="M107" s="34"/>
      <c r="N107" s="34"/>
      <c r="O107" s="34"/>
      <c r="P107" s="34"/>
      <c r="Q107" s="34"/>
      <c r="R107" s="34"/>
      <c r="S107" s="4"/>
      <c r="T107" s="4"/>
      <c r="U107" s="4"/>
      <c r="V107" s="4"/>
      <c r="W107" s="34"/>
      <c r="X107" s="34"/>
      <c r="Y107" s="34"/>
      <c r="Z107" s="34"/>
      <c r="AA107" s="3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7"/>
    </row>
    <row r="108" spans="1:48" ht="13.5" customHeight="1">
      <c r="A108" s="3"/>
      <c r="B108" s="5"/>
      <c r="C108" s="175" t="s">
        <v>188</v>
      </c>
      <c r="D108" s="175" t="s">
        <v>5</v>
      </c>
      <c r="E108" s="176"/>
      <c r="F108" s="176"/>
      <c r="G108" s="176"/>
      <c r="H108" s="176"/>
      <c r="I108" s="177"/>
      <c r="J108" s="175" t="s">
        <v>17</v>
      </c>
      <c r="K108" s="176"/>
      <c r="L108" s="176"/>
      <c r="M108" s="176"/>
      <c r="N108" s="176"/>
      <c r="O108" s="176"/>
      <c r="P108" s="176"/>
      <c r="Q108" s="177"/>
      <c r="R108" s="175" t="s">
        <v>18</v>
      </c>
      <c r="S108" s="176"/>
      <c r="T108" s="176"/>
      <c r="U108" s="176"/>
      <c r="V108" s="176"/>
      <c r="W108" s="176"/>
      <c r="X108" s="176"/>
      <c r="Y108" s="176"/>
      <c r="Z108" s="176"/>
      <c r="AA108" s="177"/>
      <c r="AB108" s="175" t="s">
        <v>19</v>
      </c>
      <c r="AC108" s="176"/>
      <c r="AD108" s="176"/>
      <c r="AE108" s="176"/>
      <c r="AF108" s="176"/>
      <c r="AG108" s="176"/>
      <c r="AH108" s="176"/>
      <c r="AI108" s="176"/>
      <c r="AJ108" s="176"/>
      <c r="AK108" s="176"/>
      <c r="AL108" s="176"/>
      <c r="AM108" s="176"/>
      <c r="AN108" s="176"/>
      <c r="AO108" s="176"/>
      <c r="AP108" s="176"/>
      <c r="AQ108" s="177"/>
      <c r="AR108" s="4"/>
      <c r="AS108" s="4"/>
      <c r="AT108" s="4"/>
      <c r="AU108" s="4"/>
      <c r="AV108" s="7"/>
    </row>
    <row r="109" spans="1:48" ht="13.5" customHeight="1">
      <c r="A109" s="3"/>
      <c r="B109" s="4"/>
      <c r="C109" s="126">
        <v>1</v>
      </c>
      <c r="D109" s="115"/>
      <c r="E109" s="31"/>
      <c r="F109" s="31"/>
      <c r="G109" s="31"/>
      <c r="H109" s="31"/>
      <c r="I109" s="117"/>
      <c r="J109" s="116"/>
      <c r="K109" s="31"/>
      <c r="L109" s="31"/>
      <c r="M109" s="31"/>
      <c r="N109" s="31"/>
      <c r="O109" s="31"/>
      <c r="P109" s="31"/>
      <c r="Q109" s="117"/>
      <c r="R109" s="116"/>
      <c r="S109" s="31"/>
      <c r="T109" s="31"/>
      <c r="U109" s="31"/>
      <c r="V109" s="31"/>
      <c r="W109" s="31"/>
      <c r="X109" s="31"/>
      <c r="Y109" s="31"/>
      <c r="Z109" s="31"/>
      <c r="AA109" s="31"/>
      <c r="AB109" s="116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117"/>
      <c r="AR109" s="4"/>
      <c r="AS109" s="4"/>
      <c r="AT109" s="4"/>
      <c r="AU109" s="4"/>
      <c r="AV109" s="7"/>
    </row>
    <row r="110" spans="1:48" ht="13.5" customHeight="1">
      <c r="A110" s="3"/>
      <c r="B110" s="4"/>
      <c r="C110" s="126">
        <v>2</v>
      </c>
      <c r="D110" s="115"/>
      <c r="E110" s="31"/>
      <c r="F110" s="31"/>
      <c r="G110" s="31"/>
      <c r="H110" s="31"/>
      <c r="I110" s="117"/>
      <c r="J110" s="116"/>
      <c r="K110" s="31"/>
      <c r="L110" s="31"/>
      <c r="M110" s="31"/>
      <c r="N110" s="31"/>
      <c r="O110" s="31"/>
      <c r="P110" s="31"/>
      <c r="Q110" s="117"/>
      <c r="R110" s="116"/>
      <c r="S110" s="31"/>
      <c r="T110" s="31"/>
      <c r="U110" s="31"/>
      <c r="V110" s="31"/>
      <c r="W110" s="31"/>
      <c r="X110" s="31"/>
      <c r="Y110" s="31"/>
      <c r="Z110" s="31"/>
      <c r="AA110" s="31"/>
      <c r="AB110" s="116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117"/>
      <c r="AR110" s="4"/>
      <c r="AS110" s="4"/>
      <c r="AT110" s="4"/>
      <c r="AU110" s="4"/>
      <c r="AV110" s="7"/>
    </row>
    <row r="111" spans="1:48" ht="13.5" customHeight="1">
      <c r="A111" s="3"/>
      <c r="B111" s="4"/>
      <c r="C111" s="126">
        <v>3</v>
      </c>
      <c r="D111" s="115"/>
      <c r="E111" s="31"/>
      <c r="F111" s="31"/>
      <c r="G111" s="31"/>
      <c r="H111" s="31"/>
      <c r="I111" s="117"/>
      <c r="J111" s="116"/>
      <c r="K111" s="31"/>
      <c r="L111" s="31"/>
      <c r="M111" s="31"/>
      <c r="N111" s="31"/>
      <c r="O111" s="31"/>
      <c r="P111" s="31"/>
      <c r="Q111" s="117"/>
      <c r="R111" s="116"/>
      <c r="S111" s="31"/>
      <c r="T111" s="31"/>
      <c r="U111" s="31"/>
      <c r="V111" s="31"/>
      <c r="W111" s="31"/>
      <c r="X111" s="31"/>
      <c r="Y111" s="31"/>
      <c r="Z111" s="31"/>
      <c r="AA111" s="31"/>
      <c r="AB111" s="116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117"/>
      <c r="AR111" s="4"/>
      <c r="AS111" s="4"/>
      <c r="AT111" s="4"/>
      <c r="AU111" s="4"/>
      <c r="AV111" s="7"/>
    </row>
    <row r="112" spans="1:48" ht="13.5" customHeight="1">
      <c r="A112" s="3"/>
      <c r="B112" s="4"/>
      <c r="C112" s="5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7"/>
    </row>
    <row r="113" spans="1:51" ht="13.5" customHeight="1">
      <c r="A113" s="3"/>
      <c r="B113" s="4"/>
      <c r="C113" s="15" t="s">
        <v>20</v>
      </c>
      <c r="D113" s="5"/>
      <c r="E113" s="6"/>
      <c r="F113" s="4"/>
      <c r="G113" s="4"/>
      <c r="H113" s="4"/>
      <c r="I113" s="32"/>
      <c r="J113" s="33"/>
      <c r="K113" s="34"/>
      <c r="L113" s="34"/>
      <c r="M113" s="34"/>
      <c r="N113" s="34"/>
      <c r="O113" s="34"/>
      <c r="P113" s="34"/>
      <c r="Q113" s="34"/>
      <c r="R113" s="34"/>
      <c r="S113" s="4"/>
      <c r="T113" s="4"/>
      <c r="U113" s="4"/>
      <c r="V113" s="4"/>
      <c r="W113" s="34"/>
      <c r="X113" s="34"/>
      <c r="Y113" s="34"/>
      <c r="Z113" s="34"/>
      <c r="AA113" s="3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7"/>
    </row>
    <row r="114" spans="1:51" ht="13.5" customHeight="1">
      <c r="A114" s="3"/>
      <c r="B114" s="4"/>
      <c r="C114" s="175" t="s">
        <v>188</v>
      </c>
      <c r="D114" s="175" t="s">
        <v>5</v>
      </c>
      <c r="E114" s="176"/>
      <c r="F114" s="176"/>
      <c r="G114" s="176"/>
      <c r="H114" s="176"/>
      <c r="I114" s="177"/>
      <c r="J114" s="175" t="s">
        <v>21</v>
      </c>
      <c r="K114" s="176"/>
      <c r="L114" s="176"/>
      <c r="M114" s="176"/>
      <c r="N114" s="176"/>
      <c r="O114" s="176"/>
      <c r="P114" s="176"/>
      <c r="Q114" s="177"/>
      <c r="R114" s="175" t="s">
        <v>22</v>
      </c>
      <c r="S114" s="176"/>
      <c r="T114" s="176"/>
      <c r="U114" s="176"/>
      <c r="V114" s="176"/>
      <c r="W114" s="176"/>
      <c r="X114" s="176"/>
      <c r="Y114" s="176"/>
      <c r="Z114" s="176"/>
      <c r="AA114" s="177"/>
      <c r="AB114" s="175" t="s">
        <v>23</v>
      </c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7"/>
      <c r="AR114" s="4"/>
      <c r="AS114" s="4"/>
      <c r="AT114" s="4"/>
      <c r="AU114" s="4"/>
      <c r="AV114" s="7"/>
    </row>
    <row r="115" spans="1:51" ht="13.5" customHeight="1">
      <c r="A115" s="3"/>
      <c r="B115" s="4"/>
      <c r="C115" s="126">
        <v>1</v>
      </c>
      <c r="D115" s="115"/>
      <c r="E115" s="31"/>
      <c r="F115" s="31"/>
      <c r="G115" s="31"/>
      <c r="H115" s="31"/>
      <c r="I115" s="117"/>
      <c r="J115" s="116"/>
      <c r="K115" s="31"/>
      <c r="L115" s="31"/>
      <c r="M115" s="31"/>
      <c r="N115" s="31"/>
      <c r="O115" s="31"/>
      <c r="P115" s="31"/>
      <c r="Q115" s="117"/>
      <c r="R115" s="116"/>
      <c r="S115" s="31"/>
      <c r="T115" s="31"/>
      <c r="U115" s="31"/>
      <c r="V115" s="31"/>
      <c r="W115" s="31"/>
      <c r="X115" s="31"/>
      <c r="Y115" s="31"/>
      <c r="Z115" s="31"/>
      <c r="AA115" s="31"/>
      <c r="AB115" s="116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117"/>
      <c r="AR115" s="4"/>
      <c r="AS115" s="4"/>
      <c r="AT115" s="4"/>
      <c r="AU115" s="4"/>
      <c r="AV115" s="7"/>
    </row>
    <row r="116" spans="1:51" ht="13.5" customHeight="1">
      <c r="A116" s="3"/>
      <c r="B116" s="4"/>
      <c r="C116" s="126">
        <v>2</v>
      </c>
      <c r="D116" s="115"/>
      <c r="E116" s="31"/>
      <c r="F116" s="31"/>
      <c r="G116" s="31"/>
      <c r="H116" s="31"/>
      <c r="I116" s="117"/>
      <c r="J116" s="116"/>
      <c r="K116" s="31"/>
      <c r="L116" s="31"/>
      <c r="M116" s="31"/>
      <c r="N116" s="31"/>
      <c r="O116" s="31"/>
      <c r="P116" s="31"/>
      <c r="Q116" s="117"/>
      <c r="R116" s="116"/>
      <c r="S116" s="31"/>
      <c r="T116" s="31"/>
      <c r="U116" s="31"/>
      <c r="V116" s="31"/>
      <c r="W116" s="31"/>
      <c r="X116" s="31"/>
      <c r="Y116" s="31"/>
      <c r="Z116" s="31"/>
      <c r="AA116" s="31"/>
      <c r="AB116" s="116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117"/>
      <c r="AR116" s="4"/>
      <c r="AS116" s="4"/>
      <c r="AT116" s="4"/>
      <c r="AU116" s="4"/>
      <c r="AV116" s="7"/>
    </row>
    <row r="117" spans="1:51" ht="13.5" customHeight="1">
      <c r="A117" s="3"/>
      <c r="B117" s="4"/>
      <c r="C117" s="126">
        <v>3</v>
      </c>
      <c r="D117" s="115"/>
      <c r="E117" s="31"/>
      <c r="F117" s="31"/>
      <c r="G117" s="31"/>
      <c r="H117" s="31"/>
      <c r="I117" s="117"/>
      <c r="J117" s="116"/>
      <c r="K117" s="31"/>
      <c r="L117" s="31"/>
      <c r="M117" s="31"/>
      <c r="N117" s="31"/>
      <c r="O117" s="31"/>
      <c r="P117" s="31"/>
      <c r="Q117" s="117"/>
      <c r="R117" s="116"/>
      <c r="S117" s="31"/>
      <c r="T117" s="31"/>
      <c r="U117" s="31"/>
      <c r="V117" s="31"/>
      <c r="W117" s="31"/>
      <c r="X117" s="31"/>
      <c r="Y117" s="31"/>
      <c r="Z117" s="31"/>
      <c r="AA117" s="31"/>
      <c r="AB117" s="116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117"/>
      <c r="AR117" s="4"/>
      <c r="AS117" s="4"/>
      <c r="AT117" s="4"/>
      <c r="AU117" s="4"/>
      <c r="AV117" s="7"/>
    </row>
    <row r="118" spans="1:51" ht="13.5" customHeight="1">
      <c r="A118" s="3"/>
      <c r="B118" s="4"/>
      <c r="C118" s="5"/>
      <c r="D118" s="6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7"/>
    </row>
    <row r="119" spans="1:51" ht="13.5" customHeight="1">
      <c r="A119" s="3"/>
      <c r="B119" s="4"/>
      <c r="C119" s="15" t="s">
        <v>24</v>
      </c>
      <c r="D119" s="4"/>
      <c r="E119" s="6"/>
      <c r="F119" s="4"/>
      <c r="G119" s="4"/>
      <c r="H119" s="4"/>
      <c r="I119" s="32"/>
      <c r="J119" s="33"/>
      <c r="K119" s="34"/>
      <c r="L119" s="34"/>
      <c r="M119" s="34"/>
      <c r="N119" s="34"/>
      <c r="O119" s="34"/>
      <c r="P119" s="34"/>
      <c r="Q119" s="34"/>
      <c r="R119" s="34"/>
      <c r="S119" s="4"/>
      <c r="T119" s="4"/>
      <c r="U119" s="4"/>
      <c r="V119" s="4"/>
      <c r="W119" s="34"/>
      <c r="X119" s="34"/>
      <c r="Y119" s="34"/>
      <c r="Z119" s="34"/>
      <c r="AA119" s="3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7"/>
    </row>
    <row r="120" spans="1:51" ht="13.5" customHeight="1">
      <c r="A120" s="3"/>
      <c r="B120" s="4"/>
      <c r="C120" s="175" t="s">
        <v>188</v>
      </c>
      <c r="D120" s="175" t="s">
        <v>5</v>
      </c>
      <c r="E120" s="176"/>
      <c r="F120" s="176"/>
      <c r="G120" s="176"/>
      <c r="H120" s="176"/>
      <c r="I120" s="177"/>
      <c r="J120" s="176" t="s">
        <v>14</v>
      </c>
      <c r="K120" s="176"/>
      <c r="L120" s="176"/>
      <c r="M120" s="176"/>
      <c r="N120" s="176"/>
      <c r="O120" s="175" t="s">
        <v>17</v>
      </c>
      <c r="P120" s="176"/>
      <c r="Q120" s="176"/>
      <c r="R120" s="176"/>
      <c r="S120" s="176"/>
      <c r="T120" s="176"/>
      <c r="U120" s="176"/>
      <c r="V120" s="177"/>
      <c r="W120" s="175" t="s">
        <v>18</v>
      </c>
      <c r="X120" s="176"/>
      <c r="Y120" s="176"/>
      <c r="Z120" s="176"/>
      <c r="AA120" s="176"/>
      <c r="AB120" s="176"/>
      <c r="AC120" s="176"/>
      <c r="AD120" s="176"/>
      <c r="AE120" s="175" t="s">
        <v>19</v>
      </c>
      <c r="AF120" s="176"/>
      <c r="AG120" s="176"/>
      <c r="AH120" s="176"/>
      <c r="AI120" s="176"/>
      <c r="AJ120" s="176"/>
      <c r="AK120" s="176"/>
      <c r="AL120" s="176"/>
      <c r="AM120" s="176"/>
      <c r="AN120" s="176"/>
      <c r="AO120" s="176"/>
      <c r="AP120" s="176"/>
      <c r="AQ120" s="177"/>
      <c r="AR120" s="4"/>
      <c r="AS120" s="4"/>
      <c r="AT120" s="4"/>
      <c r="AU120" s="4"/>
      <c r="AV120" s="7"/>
    </row>
    <row r="121" spans="1:51" ht="13.5" customHeight="1">
      <c r="A121" s="3"/>
      <c r="B121" s="4"/>
      <c r="C121" s="126">
        <v>1</v>
      </c>
      <c r="D121" s="116"/>
      <c r="E121" s="31"/>
      <c r="F121" s="31"/>
      <c r="G121" s="31"/>
      <c r="H121" s="31"/>
      <c r="I121" s="117"/>
      <c r="J121" s="31"/>
      <c r="K121" s="31"/>
      <c r="L121" s="31"/>
      <c r="M121" s="31"/>
      <c r="N121" s="31"/>
      <c r="O121" s="116"/>
      <c r="P121" s="31"/>
      <c r="Q121" s="31"/>
      <c r="R121" s="31"/>
      <c r="S121" s="31"/>
      <c r="T121" s="31"/>
      <c r="U121" s="31"/>
      <c r="V121" s="31"/>
      <c r="W121" s="116"/>
      <c r="X121" s="31"/>
      <c r="Y121" s="31"/>
      <c r="Z121" s="31"/>
      <c r="AA121" s="31"/>
      <c r="AB121" s="31"/>
      <c r="AC121" s="31"/>
      <c r="AD121" s="31"/>
      <c r="AE121" s="116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117"/>
      <c r="AR121" s="4"/>
      <c r="AS121" s="4"/>
      <c r="AT121" s="4"/>
      <c r="AU121" s="4"/>
      <c r="AV121" s="7"/>
    </row>
    <row r="122" spans="1:51" ht="13.5" customHeight="1">
      <c r="A122" s="3"/>
      <c r="B122" s="4"/>
      <c r="C122" s="126">
        <v>2</v>
      </c>
      <c r="D122" s="116"/>
      <c r="E122" s="31"/>
      <c r="F122" s="31"/>
      <c r="G122" s="31"/>
      <c r="H122" s="31"/>
      <c r="I122" s="117"/>
      <c r="J122" s="31"/>
      <c r="K122" s="31"/>
      <c r="L122" s="31"/>
      <c r="M122" s="31"/>
      <c r="N122" s="31"/>
      <c r="O122" s="116"/>
      <c r="P122" s="31"/>
      <c r="Q122" s="31"/>
      <c r="R122" s="31"/>
      <c r="S122" s="31"/>
      <c r="T122" s="31"/>
      <c r="U122" s="31"/>
      <c r="V122" s="31"/>
      <c r="W122" s="116"/>
      <c r="X122" s="31"/>
      <c r="Y122" s="31"/>
      <c r="Z122" s="31"/>
      <c r="AA122" s="31"/>
      <c r="AB122" s="31"/>
      <c r="AC122" s="31"/>
      <c r="AD122" s="31"/>
      <c r="AE122" s="116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117"/>
      <c r="AR122" s="4"/>
      <c r="AS122" s="4"/>
      <c r="AT122" s="4"/>
      <c r="AU122" s="4"/>
      <c r="AV122" s="7"/>
    </row>
    <row r="123" spans="1:51" ht="13.5" customHeight="1">
      <c r="A123" s="3"/>
      <c r="B123" s="4"/>
      <c r="C123" s="126">
        <v>3</v>
      </c>
      <c r="D123" s="116"/>
      <c r="E123" s="31"/>
      <c r="F123" s="31"/>
      <c r="G123" s="31"/>
      <c r="H123" s="31"/>
      <c r="I123" s="117"/>
      <c r="J123" s="31"/>
      <c r="K123" s="31"/>
      <c r="L123" s="31"/>
      <c r="M123" s="31"/>
      <c r="N123" s="31"/>
      <c r="O123" s="116"/>
      <c r="P123" s="31"/>
      <c r="Q123" s="31"/>
      <c r="R123" s="31"/>
      <c r="S123" s="31"/>
      <c r="T123" s="31"/>
      <c r="U123" s="31"/>
      <c r="V123" s="31"/>
      <c r="W123" s="116"/>
      <c r="X123" s="31"/>
      <c r="Y123" s="31"/>
      <c r="Z123" s="31"/>
      <c r="AA123" s="31"/>
      <c r="AB123" s="31"/>
      <c r="AC123" s="31"/>
      <c r="AD123" s="31"/>
      <c r="AE123" s="116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117"/>
      <c r="AR123" s="4"/>
      <c r="AS123" s="4"/>
      <c r="AT123" s="4"/>
      <c r="AU123" s="4"/>
      <c r="AV123" s="7"/>
    </row>
    <row r="124" spans="1:51" ht="13.5" customHeight="1">
      <c r="A124" s="3"/>
      <c r="B124" s="4"/>
      <c r="C124" s="126">
        <v>4</v>
      </c>
      <c r="D124" s="116"/>
      <c r="E124" s="31"/>
      <c r="F124" s="31"/>
      <c r="G124" s="31"/>
      <c r="H124" s="31"/>
      <c r="I124" s="117"/>
      <c r="J124" s="31"/>
      <c r="K124" s="31"/>
      <c r="L124" s="31"/>
      <c r="M124" s="31"/>
      <c r="N124" s="31"/>
      <c r="O124" s="116"/>
      <c r="P124" s="31"/>
      <c r="Q124" s="31"/>
      <c r="R124" s="31"/>
      <c r="S124" s="31"/>
      <c r="T124" s="31"/>
      <c r="U124" s="31"/>
      <c r="V124" s="31"/>
      <c r="W124" s="116"/>
      <c r="X124" s="31"/>
      <c r="Y124" s="31"/>
      <c r="Z124" s="31"/>
      <c r="AA124" s="31"/>
      <c r="AB124" s="31"/>
      <c r="AC124" s="31"/>
      <c r="AD124" s="31"/>
      <c r="AE124" s="116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117"/>
      <c r="AR124" s="4"/>
      <c r="AS124" s="4"/>
      <c r="AT124" s="4"/>
      <c r="AU124" s="4"/>
      <c r="AV124" s="7"/>
    </row>
    <row r="125" spans="1:51" ht="13.5" customHeight="1">
      <c r="A125" s="3"/>
      <c r="B125" s="4"/>
      <c r="C125" s="126">
        <v>5</v>
      </c>
      <c r="D125" s="116"/>
      <c r="E125" s="31"/>
      <c r="F125" s="31"/>
      <c r="G125" s="31"/>
      <c r="H125" s="31"/>
      <c r="I125" s="117"/>
      <c r="J125" s="31"/>
      <c r="K125" s="31"/>
      <c r="L125" s="31"/>
      <c r="M125" s="31"/>
      <c r="N125" s="31"/>
      <c r="O125" s="116"/>
      <c r="P125" s="31"/>
      <c r="Q125" s="31"/>
      <c r="R125" s="31"/>
      <c r="S125" s="31"/>
      <c r="T125" s="31"/>
      <c r="U125" s="31"/>
      <c r="V125" s="31"/>
      <c r="W125" s="116"/>
      <c r="X125" s="31"/>
      <c r="Y125" s="31"/>
      <c r="Z125" s="31"/>
      <c r="AA125" s="31"/>
      <c r="AB125" s="31"/>
      <c r="AC125" s="31"/>
      <c r="AD125" s="31"/>
      <c r="AE125" s="116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117"/>
      <c r="AR125" s="4"/>
      <c r="AS125" s="4"/>
      <c r="AT125" s="4"/>
      <c r="AU125" s="4"/>
      <c r="AV125" s="7"/>
    </row>
    <row r="126" spans="1:51" ht="13.5" customHeight="1">
      <c r="A126" s="3"/>
      <c r="B126" s="4"/>
      <c r="C126" s="5"/>
      <c r="D126" s="6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7"/>
    </row>
    <row r="127" spans="1:51" ht="13.5" customHeight="1">
      <c r="A127" s="3"/>
      <c r="B127" s="4"/>
      <c r="C127" s="5"/>
      <c r="D127" s="6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7"/>
    </row>
    <row r="128" spans="1:51" ht="13.5" customHeight="1">
      <c r="A128" s="3"/>
      <c r="B128" s="4"/>
      <c r="C128" s="5"/>
      <c r="D128" s="6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7"/>
      <c r="AX128" s="62"/>
      <c r="AY128" s="62"/>
    </row>
    <row r="129" spans="1:51" ht="13.5" customHeight="1" thickBot="1">
      <c r="A129" s="8"/>
      <c r="B129" s="9"/>
      <c r="C129" s="10"/>
      <c r="D129" s="11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12"/>
      <c r="AX129" s="238" t="str">
        <f>HYPERLINK("#$A$1","目次へ")</f>
        <v>目次へ</v>
      </c>
      <c r="AY129" s="239"/>
    </row>
    <row r="130" spans="1:51" ht="15">
      <c r="A130" s="240" t="s">
        <v>40</v>
      </c>
      <c r="B130" s="241"/>
      <c r="C130" s="242"/>
      <c r="D130" s="243" t="str">
        <f>システム名</f>
        <v>○✕システム</v>
      </c>
      <c r="E130" s="244"/>
      <c r="F130" s="244"/>
      <c r="G130" s="244"/>
      <c r="H130" s="244"/>
      <c r="I130" s="244"/>
      <c r="J130" s="244"/>
      <c r="K130" s="244"/>
      <c r="L130" s="244"/>
      <c r="M130" s="244"/>
      <c r="N130" s="244"/>
      <c r="O130" s="245"/>
      <c r="P130" s="246" t="s">
        <v>0</v>
      </c>
      <c r="Q130" s="241"/>
      <c r="R130" s="242"/>
      <c r="S130" s="247" t="str">
        <f>IF(顧客名&lt;&gt;"",顧客名,"")</f>
        <v>○✕○✕株式会社</v>
      </c>
      <c r="T130" s="248"/>
      <c r="U130" s="248"/>
      <c r="V130" s="248"/>
      <c r="W130" s="248"/>
      <c r="X130" s="248"/>
      <c r="Y130" s="248"/>
      <c r="Z130" s="248"/>
      <c r="AA130" s="248"/>
      <c r="AB130" s="248"/>
      <c r="AC130" s="248"/>
      <c r="AD130" s="248"/>
      <c r="AE130" s="248"/>
      <c r="AF130" s="249"/>
      <c r="AG130" s="250" t="s">
        <v>35</v>
      </c>
      <c r="AH130" s="250"/>
      <c r="AI130" s="250"/>
      <c r="AJ130" s="251">
        <f>作成日</f>
        <v>44287</v>
      </c>
      <c r="AK130" s="252"/>
      <c r="AL130" s="252"/>
      <c r="AM130" s="252"/>
      <c r="AN130" s="252"/>
      <c r="AO130" s="250" t="s">
        <v>36</v>
      </c>
      <c r="AP130" s="250"/>
      <c r="AQ130" s="250"/>
      <c r="AR130" s="253" t="str">
        <f>作成者</f>
        <v>小泉　文平</v>
      </c>
      <c r="AS130" s="254"/>
      <c r="AT130" s="254"/>
      <c r="AU130" s="254"/>
      <c r="AV130" s="255"/>
      <c r="AX130" s="274"/>
      <c r="AY130" s="275"/>
    </row>
    <row r="131" spans="1:51" ht="15">
      <c r="A131" s="258" t="s">
        <v>30</v>
      </c>
      <c r="B131" s="259"/>
      <c r="C131" s="260"/>
      <c r="D131" s="261" t="s">
        <v>59</v>
      </c>
      <c r="E131" s="262"/>
      <c r="F131" s="262"/>
      <c r="G131" s="262"/>
      <c r="H131" s="262"/>
      <c r="I131" s="262"/>
      <c r="J131" s="262"/>
      <c r="K131" s="262"/>
      <c r="L131" s="262"/>
      <c r="M131" s="262"/>
      <c r="N131" s="262"/>
      <c r="O131" s="263"/>
      <c r="P131" s="264" t="s">
        <v>2</v>
      </c>
      <c r="Q131" s="259"/>
      <c r="R131" s="260"/>
      <c r="S131" s="265" t="s">
        <v>54</v>
      </c>
      <c r="T131" s="266"/>
      <c r="U131" s="266"/>
      <c r="V131" s="266"/>
      <c r="W131" s="266"/>
      <c r="X131" s="266"/>
      <c r="Y131" s="266"/>
      <c r="Z131" s="266"/>
      <c r="AA131" s="266"/>
      <c r="AB131" s="266"/>
      <c r="AC131" s="266"/>
      <c r="AD131" s="266"/>
      <c r="AE131" s="266"/>
      <c r="AF131" s="267"/>
      <c r="AG131" s="268" t="s">
        <v>34</v>
      </c>
      <c r="AH131" s="268"/>
      <c r="AI131" s="268"/>
      <c r="AJ131" s="269"/>
      <c r="AK131" s="270"/>
      <c r="AL131" s="270"/>
      <c r="AM131" s="270"/>
      <c r="AN131" s="270"/>
      <c r="AO131" s="268" t="s">
        <v>33</v>
      </c>
      <c r="AP131" s="268"/>
      <c r="AQ131" s="268"/>
      <c r="AR131" s="271"/>
      <c r="AS131" s="272"/>
      <c r="AT131" s="272"/>
      <c r="AU131" s="272"/>
      <c r="AV131" s="273"/>
      <c r="AX131" s="275"/>
      <c r="AY131" s="275"/>
    </row>
    <row r="132" spans="1:51" ht="13.5" customHeight="1">
      <c r="A132" s="63"/>
      <c r="B132" s="13"/>
      <c r="C132" s="13"/>
      <c r="D132" s="64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65"/>
      <c r="AX132" s="62"/>
      <c r="AY132" s="62"/>
    </row>
    <row r="133" spans="1:51" ht="13.5" customHeight="1">
      <c r="A133" s="63"/>
      <c r="B133" s="14" t="s">
        <v>117</v>
      </c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65"/>
      <c r="AX133" s="62"/>
      <c r="AY133" s="62"/>
    </row>
    <row r="134" spans="1:51" ht="13.5" customHeight="1">
      <c r="A134" s="63"/>
      <c r="AV134" s="65"/>
      <c r="AX134" s="62"/>
      <c r="AY134" s="62"/>
    </row>
    <row r="135" spans="1:51" ht="13.5" customHeight="1">
      <c r="A135" s="63"/>
      <c r="B135" s="127"/>
      <c r="D135" s="127"/>
      <c r="E135" s="127"/>
      <c r="F135" s="127"/>
      <c r="G135" s="127"/>
      <c r="H135" s="127"/>
      <c r="I135" s="127"/>
      <c r="J135" s="127"/>
      <c r="K135" s="127"/>
      <c r="L135" s="127"/>
      <c r="M135" s="127"/>
      <c r="N135" s="127"/>
      <c r="O135" s="127"/>
      <c r="P135" s="127"/>
      <c r="Q135" s="127"/>
      <c r="R135" s="127"/>
      <c r="S135" s="127"/>
      <c r="T135" s="127"/>
      <c r="U135" s="127"/>
      <c r="V135" s="127"/>
      <c r="W135" s="127"/>
      <c r="X135" s="127"/>
      <c r="Y135" s="127"/>
      <c r="Z135" s="190"/>
      <c r="AA135" s="127"/>
      <c r="AB135" s="127"/>
      <c r="AC135" s="127"/>
      <c r="AD135" s="127"/>
      <c r="AE135" s="127"/>
      <c r="AF135" s="127"/>
      <c r="AG135" s="127"/>
      <c r="AH135" s="127"/>
      <c r="AI135" s="127"/>
      <c r="AJ135" s="127"/>
      <c r="AK135" s="127"/>
      <c r="AL135" s="127"/>
      <c r="AM135" s="127"/>
      <c r="AN135" s="127"/>
      <c r="AO135" s="127"/>
      <c r="AP135" s="127"/>
      <c r="AQ135" s="127"/>
      <c r="AR135" s="127"/>
      <c r="AS135" s="127"/>
      <c r="AT135" s="127"/>
      <c r="AU135" s="127"/>
      <c r="AV135" s="65"/>
    </row>
    <row r="136" spans="1:51" ht="13.5" customHeight="1">
      <c r="A136" s="63"/>
      <c r="C136" s="129"/>
      <c r="D136" s="129"/>
      <c r="AV136" s="65"/>
    </row>
    <row r="137" spans="1:51" ht="13.5" customHeight="1">
      <c r="A137" s="63"/>
      <c r="B137" s="15" t="s">
        <v>118</v>
      </c>
      <c r="C137" s="4"/>
      <c r="D137" s="6"/>
      <c r="E137" s="4"/>
      <c r="F137" s="4"/>
      <c r="G137" s="4"/>
      <c r="H137" s="32"/>
      <c r="I137" s="33"/>
      <c r="J137" s="34"/>
      <c r="K137" s="34"/>
      <c r="L137" s="34"/>
      <c r="M137" s="34"/>
      <c r="N137" s="34"/>
      <c r="O137" s="34"/>
      <c r="P137" s="34"/>
      <c r="Q137" s="34"/>
      <c r="R137" s="4"/>
      <c r="S137" s="4"/>
      <c r="T137" s="4"/>
      <c r="U137" s="4"/>
      <c r="V137" s="34"/>
      <c r="W137" s="34"/>
      <c r="X137" s="34"/>
      <c r="Y137" s="34"/>
      <c r="Z137" s="3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13"/>
      <c r="AR137" s="13"/>
      <c r="AS137" s="13"/>
      <c r="AT137" s="13"/>
      <c r="AV137" s="65"/>
    </row>
    <row r="138" spans="1:51" ht="13.5" customHeight="1">
      <c r="A138" s="63"/>
      <c r="B138" s="175" t="s">
        <v>140</v>
      </c>
      <c r="C138" s="175" t="s">
        <v>55</v>
      </c>
      <c r="D138" s="176"/>
      <c r="E138" s="176"/>
      <c r="F138" s="176"/>
      <c r="G138" s="176"/>
      <c r="H138" s="176"/>
      <c r="I138" s="176"/>
      <c r="J138" s="264" t="s">
        <v>58</v>
      </c>
      <c r="K138" s="259"/>
      <c r="L138" s="259"/>
      <c r="M138" s="259"/>
      <c r="N138" s="260"/>
      <c r="O138" s="264" t="s">
        <v>56</v>
      </c>
      <c r="P138" s="259"/>
      <c r="Q138" s="259"/>
      <c r="R138" s="260"/>
      <c r="S138" s="264" t="s">
        <v>126</v>
      </c>
      <c r="T138" s="259"/>
      <c r="U138" s="259"/>
      <c r="V138" s="260"/>
      <c r="W138" s="264" t="s">
        <v>57</v>
      </c>
      <c r="X138" s="259"/>
      <c r="Y138" s="260"/>
      <c r="Z138" s="191"/>
      <c r="AA138" s="264" t="s">
        <v>15</v>
      </c>
      <c r="AB138" s="260"/>
      <c r="AC138" s="264" t="s">
        <v>10</v>
      </c>
      <c r="AD138" s="259"/>
      <c r="AE138" s="259"/>
      <c r="AF138" s="260"/>
      <c r="AG138" s="264" t="s">
        <v>127</v>
      </c>
      <c r="AH138" s="259"/>
      <c r="AI138" s="259"/>
      <c r="AJ138" s="259"/>
      <c r="AK138" s="259"/>
      <c r="AL138" s="259"/>
      <c r="AM138" s="259"/>
      <c r="AN138" s="259"/>
      <c r="AO138" s="259"/>
      <c r="AP138" s="259"/>
      <c r="AQ138" s="259"/>
      <c r="AR138" s="259"/>
      <c r="AS138" s="259"/>
      <c r="AT138" s="260"/>
      <c r="AV138" s="65"/>
    </row>
    <row r="139" spans="1:51" ht="13.5" customHeight="1">
      <c r="A139" s="63"/>
      <c r="B139" s="126">
        <v>1</v>
      </c>
      <c r="C139" s="276" t="s">
        <v>112</v>
      </c>
      <c r="D139" s="277"/>
      <c r="E139" s="277"/>
      <c r="F139" s="277"/>
      <c r="G139" s="277"/>
      <c r="H139" s="277"/>
      <c r="I139" s="278"/>
      <c r="J139" s="276" t="s">
        <v>157</v>
      </c>
      <c r="K139" s="279"/>
      <c r="L139" s="279"/>
      <c r="M139" s="279"/>
      <c r="N139" s="280"/>
      <c r="O139" s="276"/>
      <c r="P139" s="277"/>
      <c r="Q139" s="277"/>
      <c r="R139" s="278"/>
      <c r="S139" s="283" t="s">
        <v>128</v>
      </c>
      <c r="T139" s="284"/>
      <c r="U139" s="284"/>
      <c r="V139" s="285"/>
      <c r="W139" s="261"/>
      <c r="X139" s="282"/>
      <c r="Y139" s="281"/>
      <c r="Z139" s="194"/>
      <c r="AA139" s="261" t="s">
        <v>141</v>
      </c>
      <c r="AB139" s="281"/>
      <c r="AC139" s="276"/>
      <c r="AD139" s="277"/>
      <c r="AE139" s="277"/>
      <c r="AF139" s="278"/>
      <c r="AG139" s="276"/>
      <c r="AH139" s="277"/>
      <c r="AI139" s="277"/>
      <c r="AJ139" s="277"/>
      <c r="AK139" s="277"/>
      <c r="AL139" s="277"/>
      <c r="AM139" s="277"/>
      <c r="AN139" s="277"/>
      <c r="AO139" s="277"/>
      <c r="AP139" s="277"/>
      <c r="AQ139" s="277"/>
      <c r="AR139" s="277"/>
      <c r="AS139" s="277"/>
      <c r="AT139" s="278"/>
      <c r="AV139" s="65"/>
    </row>
    <row r="140" spans="1:51" ht="13.5" customHeight="1">
      <c r="A140" s="63"/>
      <c r="B140" s="126">
        <v>2</v>
      </c>
      <c r="C140" s="276" t="s">
        <v>113</v>
      </c>
      <c r="D140" s="277"/>
      <c r="E140" s="277"/>
      <c r="F140" s="277"/>
      <c r="G140" s="277"/>
      <c r="H140" s="277"/>
      <c r="I140" s="278"/>
      <c r="J140" s="276" t="s">
        <v>122</v>
      </c>
      <c r="K140" s="279"/>
      <c r="L140" s="279"/>
      <c r="M140" s="279"/>
      <c r="N140" s="280"/>
      <c r="O140" s="276" t="s">
        <v>101</v>
      </c>
      <c r="P140" s="277"/>
      <c r="Q140" s="277"/>
      <c r="R140" s="278"/>
      <c r="S140" s="286" t="s">
        <v>129</v>
      </c>
      <c r="T140" s="287"/>
      <c r="U140" s="287"/>
      <c r="V140" s="288"/>
      <c r="W140" s="261" t="s">
        <v>158</v>
      </c>
      <c r="X140" s="282"/>
      <c r="Y140" s="281"/>
      <c r="Z140" s="194"/>
      <c r="AA140" s="261" t="s">
        <v>141</v>
      </c>
      <c r="AB140" s="281"/>
      <c r="AC140" s="276"/>
      <c r="AD140" s="277"/>
      <c r="AE140" s="277"/>
      <c r="AF140" s="278"/>
      <c r="AG140" s="276"/>
      <c r="AH140" s="277"/>
      <c r="AI140" s="277"/>
      <c r="AJ140" s="277"/>
      <c r="AK140" s="277"/>
      <c r="AL140" s="277"/>
      <c r="AM140" s="277"/>
      <c r="AN140" s="277"/>
      <c r="AO140" s="277"/>
      <c r="AP140" s="277"/>
      <c r="AQ140" s="277"/>
      <c r="AR140" s="277"/>
      <c r="AS140" s="277"/>
      <c r="AT140" s="278"/>
      <c r="AU140" s="13"/>
      <c r="AV140" s="65"/>
    </row>
    <row r="141" spans="1:51" ht="13.5" customHeight="1">
      <c r="A141" s="63"/>
      <c r="B141" s="126">
        <v>3</v>
      </c>
      <c r="C141" s="276" t="s">
        <v>143</v>
      </c>
      <c r="D141" s="279"/>
      <c r="E141" s="279"/>
      <c r="F141" s="279"/>
      <c r="G141" s="279"/>
      <c r="H141" s="279"/>
      <c r="I141" s="280"/>
      <c r="J141" s="276" t="s">
        <v>120</v>
      </c>
      <c r="K141" s="279"/>
      <c r="L141" s="279"/>
      <c r="M141" s="279"/>
      <c r="N141" s="280"/>
      <c r="O141" s="276" t="s">
        <v>107</v>
      </c>
      <c r="P141" s="277"/>
      <c r="Q141" s="277"/>
      <c r="R141" s="278"/>
      <c r="S141" s="283" t="s">
        <v>130</v>
      </c>
      <c r="T141" s="284"/>
      <c r="U141" s="284"/>
      <c r="V141" s="285"/>
      <c r="W141" s="261">
        <v>200</v>
      </c>
      <c r="X141" s="282"/>
      <c r="Y141" s="281"/>
      <c r="Z141" s="194"/>
      <c r="AA141" s="261" t="s">
        <v>141</v>
      </c>
      <c r="AB141" s="281"/>
      <c r="AC141" s="276"/>
      <c r="AD141" s="277"/>
      <c r="AE141" s="277"/>
      <c r="AF141" s="278"/>
      <c r="AG141" s="276"/>
      <c r="AH141" s="277"/>
      <c r="AI141" s="277"/>
      <c r="AJ141" s="277"/>
      <c r="AK141" s="277"/>
      <c r="AL141" s="277"/>
      <c r="AM141" s="277"/>
      <c r="AN141" s="277"/>
      <c r="AO141" s="277"/>
      <c r="AP141" s="277"/>
      <c r="AQ141" s="277"/>
      <c r="AR141" s="277"/>
      <c r="AS141" s="277"/>
      <c r="AT141" s="278"/>
      <c r="AU141" s="13"/>
      <c r="AV141" s="65"/>
    </row>
    <row r="142" spans="1:51" ht="13.5" customHeight="1">
      <c r="A142" s="63"/>
      <c r="B142" s="126">
        <v>4</v>
      </c>
      <c r="C142" s="276" t="s">
        <v>144</v>
      </c>
      <c r="D142" s="279"/>
      <c r="E142" s="279"/>
      <c r="F142" s="279"/>
      <c r="G142" s="279"/>
      <c r="H142" s="279"/>
      <c r="I142" s="280"/>
      <c r="J142" s="276" t="s">
        <v>155</v>
      </c>
      <c r="K142" s="279"/>
      <c r="L142" s="279"/>
      <c r="M142" s="279"/>
      <c r="N142" s="280"/>
      <c r="O142" s="276"/>
      <c r="P142" s="277"/>
      <c r="Q142" s="277"/>
      <c r="R142" s="278"/>
      <c r="S142" s="283" t="s">
        <v>131</v>
      </c>
      <c r="T142" s="284"/>
      <c r="U142" s="284"/>
      <c r="V142" s="285"/>
      <c r="W142" s="261">
        <v>20</v>
      </c>
      <c r="X142" s="282"/>
      <c r="Y142" s="281"/>
      <c r="Z142" s="194"/>
      <c r="AA142" s="261" t="s">
        <v>141</v>
      </c>
      <c r="AB142" s="281"/>
      <c r="AC142" s="276"/>
      <c r="AD142" s="277"/>
      <c r="AE142" s="277"/>
      <c r="AF142" s="278"/>
      <c r="AG142" s="276"/>
      <c r="AH142" s="277"/>
      <c r="AI142" s="277"/>
      <c r="AJ142" s="277"/>
      <c r="AK142" s="277"/>
      <c r="AL142" s="277"/>
      <c r="AM142" s="277"/>
      <c r="AN142" s="277"/>
      <c r="AO142" s="277"/>
      <c r="AP142" s="277"/>
      <c r="AQ142" s="277"/>
      <c r="AR142" s="277"/>
      <c r="AS142" s="277"/>
      <c r="AT142" s="278"/>
      <c r="AU142" s="13"/>
      <c r="AV142" s="65"/>
    </row>
    <row r="143" spans="1:51" ht="13.5" customHeight="1">
      <c r="A143" s="63"/>
      <c r="B143" s="126">
        <v>5</v>
      </c>
      <c r="C143" s="276" t="s">
        <v>145</v>
      </c>
      <c r="D143" s="279"/>
      <c r="E143" s="279"/>
      <c r="F143" s="279"/>
      <c r="G143" s="279"/>
      <c r="H143" s="279"/>
      <c r="I143" s="280"/>
      <c r="J143" s="276" t="s">
        <v>120</v>
      </c>
      <c r="K143" s="279"/>
      <c r="L143" s="279"/>
      <c r="M143" s="279"/>
      <c r="N143" s="280"/>
      <c r="O143" s="276" t="s">
        <v>101</v>
      </c>
      <c r="P143" s="277"/>
      <c r="Q143" s="277"/>
      <c r="R143" s="278"/>
      <c r="S143" s="283" t="s">
        <v>132</v>
      </c>
      <c r="T143" s="284"/>
      <c r="U143" s="284"/>
      <c r="V143" s="285"/>
      <c r="W143" s="261" t="s">
        <v>159</v>
      </c>
      <c r="X143" s="282"/>
      <c r="Y143" s="281"/>
      <c r="Z143" s="194"/>
      <c r="AA143" s="261" t="s">
        <v>141</v>
      </c>
      <c r="AB143" s="281"/>
      <c r="AC143" s="276"/>
      <c r="AD143" s="277"/>
      <c r="AE143" s="277"/>
      <c r="AF143" s="278"/>
      <c r="AG143" s="276"/>
      <c r="AH143" s="277"/>
      <c r="AI143" s="277"/>
      <c r="AJ143" s="277"/>
      <c r="AK143" s="277"/>
      <c r="AL143" s="277"/>
      <c r="AM143" s="277"/>
      <c r="AN143" s="277"/>
      <c r="AO143" s="277"/>
      <c r="AP143" s="277"/>
      <c r="AQ143" s="277"/>
      <c r="AR143" s="277"/>
      <c r="AS143" s="277"/>
      <c r="AT143" s="278"/>
      <c r="AU143" s="13"/>
      <c r="AV143" s="65"/>
    </row>
    <row r="144" spans="1:51" ht="13.5" customHeight="1">
      <c r="A144" s="63"/>
      <c r="B144" s="126">
        <v>6</v>
      </c>
      <c r="C144" s="276" t="s">
        <v>146</v>
      </c>
      <c r="D144" s="279"/>
      <c r="E144" s="279"/>
      <c r="F144" s="279"/>
      <c r="G144" s="279"/>
      <c r="H144" s="279"/>
      <c r="I144" s="280"/>
      <c r="J144" s="276" t="s">
        <v>120</v>
      </c>
      <c r="K144" s="279"/>
      <c r="L144" s="279"/>
      <c r="M144" s="279"/>
      <c r="N144" s="280"/>
      <c r="O144" s="276" t="s">
        <v>101</v>
      </c>
      <c r="P144" s="277"/>
      <c r="Q144" s="277"/>
      <c r="R144" s="278"/>
      <c r="S144" s="283" t="s">
        <v>133</v>
      </c>
      <c r="T144" s="284"/>
      <c r="U144" s="284"/>
      <c r="V144" s="285"/>
      <c r="W144" s="261">
        <v>4</v>
      </c>
      <c r="X144" s="282"/>
      <c r="Y144" s="281"/>
      <c r="Z144" s="194"/>
      <c r="AA144" s="261" t="s">
        <v>141</v>
      </c>
      <c r="AB144" s="281"/>
      <c r="AC144" s="276"/>
      <c r="AD144" s="277"/>
      <c r="AE144" s="277"/>
      <c r="AF144" s="278"/>
      <c r="AG144" s="276"/>
      <c r="AH144" s="277"/>
      <c r="AI144" s="277"/>
      <c r="AJ144" s="277"/>
      <c r="AK144" s="277"/>
      <c r="AL144" s="277"/>
      <c r="AM144" s="277"/>
      <c r="AN144" s="277"/>
      <c r="AO144" s="277"/>
      <c r="AP144" s="277"/>
      <c r="AQ144" s="277"/>
      <c r="AR144" s="277"/>
      <c r="AS144" s="277"/>
      <c r="AT144" s="278"/>
      <c r="AU144" s="13"/>
      <c r="AV144" s="65"/>
    </row>
    <row r="145" spans="1:48" ht="13.5" customHeight="1">
      <c r="A145" s="63"/>
      <c r="B145" s="126">
        <v>7</v>
      </c>
      <c r="C145" s="276" t="s">
        <v>147</v>
      </c>
      <c r="D145" s="279"/>
      <c r="E145" s="279"/>
      <c r="F145" s="279"/>
      <c r="G145" s="279"/>
      <c r="H145" s="279"/>
      <c r="I145" s="280"/>
      <c r="J145" s="276" t="s">
        <v>120</v>
      </c>
      <c r="K145" s="279"/>
      <c r="L145" s="279"/>
      <c r="M145" s="279"/>
      <c r="N145" s="280"/>
      <c r="O145" s="276" t="s">
        <v>101</v>
      </c>
      <c r="P145" s="277"/>
      <c r="Q145" s="277"/>
      <c r="R145" s="278"/>
      <c r="S145" s="283" t="s">
        <v>134</v>
      </c>
      <c r="T145" s="284"/>
      <c r="U145" s="284"/>
      <c r="V145" s="285"/>
      <c r="W145" s="261">
        <v>5</v>
      </c>
      <c r="X145" s="282"/>
      <c r="Y145" s="281"/>
      <c r="Z145" s="194"/>
      <c r="AA145" s="261" t="s">
        <v>141</v>
      </c>
      <c r="AB145" s="281"/>
      <c r="AC145" s="276"/>
      <c r="AD145" s="277"/>
      <c r="AE145" s="277"/>
      <c r="AF145" s="278"/>
      <c r="AG145" s="276"/>
      <c r="AH145" s="277"/>
      <c r="AI145" s="277"/>
      <c r="AJ145" s="277"/>
      <c r="AK145" s="277"/>
      <c r="AL145" s="277"/>
      <c r="AM145" s="277"/>
      <c r="AN145" s="277"/>
      <c r="AO145" s="277"/>
      <c r="AP145" s="277"/>
      <c r="AQ145" s="277"/>
      <c r="AR145" s="277"/>
      <c r="AS145" s="277"/>
      <c r="AT145" s="278"/>
      <c r="AU145" s="13"/>
      <c r="AV145" s="65"/>
    </row>
    <row r="146" spans="1:48" ht="13.5" customHeight="1">
      <c r="A146" s="63"/>
      <c r="B146" s="126">
        <v>8</v>
      </c>
      <c r="C146" s="276" t="s">
        <v>114</v>
      </c>
      <c r="D146" s="279"/>
      <c r="E146" s="279"/>
      <c r="F146" s="279"/>
      <c r="G146" s="279"/>
      <c r="H146" s="279"/>
      <c r="I146" s="280"/>
      <c r="J146" s="276" t="s">
        <v>120</v>
      </c>
      <c r="K146" s="279"/>
      <c r="L146" s="279"/>
      <c r="M146" s="279"/>
      <c r="N146" s="280"/>
      <c r="O146" s="276" t="s">
        <v>104</v>
      </c>
      <c r="P146" s="277"/>
      <c r="Q146" s="277"/>
      <c r="R146" s="278"/>
      <c r="S146" s="283" t="s">
        <v>135</v>
      </c>
      <c r="T146" s="284"/>
      <c r="U146" s="284"/>
      <c r="V146" s="285"/>
      <c r="W146" s="261"/>
      <c r="X146" s="282"/>
      <c r="Y146" s="281"/>
      <c r="Z146" s="194"/>
      <c r="AA146" s="261" t="s">
        <v>141</v>
      </c>
      <c r="AB146" s="281"/>
      <c r="AC146" s="276"/>
      <c r="AD146" s="277"/>
      <c r="AE146" s="277"/>
      <c r="AF146" s="278"/>
      <c r="AG146" s="276"/>
      <c r="AH146" s="277"/>
      <c r="AI146" s="277"/>
      <c r="AJ146" s="277"/>
      <c r="AK146" s="277"/>
      <c r="AL146" s="277"/>
      <c r="AM146" s="277"/>
      <c r="AN146" s="277"/>
      <c r="AO146" s="277"/>
      <c r="AP146" s="277"/>
      <c r="AQ146" s="277"/>
      <c r="AR146" s="277"/>
      <c r="AS146" s="277"/>
      <c r="AT146" s="278"/>
      <c r="AU146" s="13"/>
      <c r="AV146" s="65"/>
    </row>
    <row r="147" spans="1:48" ht="13.5" customHeight="1">
      <c r="A147" s="63"/>
      <c r="B147" s="126">
        <v>9</v>
      </c>
      <c r="C147" s="276" t="s">
        <v>125</v>
      </c>
      <c r="D147" s="279"/>
      <c r="E147" s="279"/>
      <c r="F147" s="279"/>
      <c r="G147" s="279"/>
      <c r="H147" s="279"/>
      <c r="I147" s="280"/>
      <c r="J147" s="276" t="s">
        <v>120</v>
      </c>
      <c r="K147" s="279"/>
      <c r="L147" s="279"/>
      <c r="M147" s="279"/>
      <c r="N147" s="280"/>
      <c r="O147" s="276" t="s">
        <v>148</v>
      </c>
      <c r="P147" s="277"/>
      <c r="Q147" s="277"/>
      <c r="R147" s="278"/>
      <c r="S147" s="283" t="s">
        <v>136</v>
      </c>
      <c r="T147" s="284"/>
      <c r="U147" s="284"/>
      <c r="V147" s="285"/>
      <c r="W147" s="261"/>
      <c r="X147" s="282"/>
      <c r="Y147" s="281"/>
      <c r="Z147" s="194"/>
      <c r="AA147" s="261" t="s">
        <v>141</v>
      </c>
      <c r="AB147" s="281"/>
      <c r="AC147" s="276"/>
      <c r="AD147" s="277"/>
      <c r="AE147" s="277"/>
      <c r="AF147" s="278"/>
      <c r="AG147" s="276"/>
      <c r="AH147" s="277"/>
      <c r="AI147" s="277"/>
      <c r="AJ147" s="277"/>
      <c r="AK147" s="277"/>
      <c r="AL147" s="277"/>
      <c r="AM147" s="277"/>
      <c r="AN147" s="277"/>
      <c r="AO147" s="277"/>
      <c r="AP147" s="277"/>
      <c r="AQ147" s="277"/>
      <c r="AR147" s="277"/>
      <c r="AS147" s="277"/>
      <c r="AT147" s="278"/>
      <c r="AU147" s="13"/>
      <c r="AV147" s="65"/>
    </row>
    <row r="148" spans="1:48" ht="13.5" customHeight="1">
      <c r="A148" s="63"/>
      <c r="B148" s="126">
        <v>10</v>
      </c>
      <c r="C148" s="276" t="s">
        <v>115</v>
      </c>
      <c r="D148" s="279"/>
      <c r="E148" s="279"/>
      <c r="F148" s="279"/>
      <c r="G148" s="279"/>
      <c r="H148" s="279"/>
      <c r="I148" s="280"/>
      <c r="J148" s="276" t="s">
        <v>155</v>
      </c>
      <c r="K148" s="279"/>
      <c r="L148" s="279"/>
      <c r="M148" s="279"/>
      <c r="N148" s="280"/>
      <c r="O148" s="276"/>
      <c r="P148" s="277"/>
      <c r="Q148" s="277"/>
      <c r="R148" s="278"/>
      <c r="S148" s="276" t="s">
        <v>138</v>
      </c>
      <c r="T148" s="277"/>
      <c r="U148" s="277"/>
      <c r="V148" s="278"/>
      <c r="W148" s="261"/>
      <c r="X148" s="282"/>
      <c r="Y148" s="281"/>
      <c r="Z148" s="194"/>
      <c r="AA148" s="261" t="s">
        <v>141</v>
      </c>
      <c r="AB148" s="281"/>
      <c r="AC148" s="276"/>
      <c r="AD148" s="277"/>
      <c r="AE148" s="277"/>
      <c r="AF148" s="278"/>
      <c r="AG148" s="276"/>
      <c r="AH148" s="277"/>
      <c r="AI148" s="277"/>
      <c r="AJ148" s="277"/>
      <c r="AK148" s="277"/>
      <c r="AL148" s="277"/>
      <c r="AM148" s="277"/>
      <c r="AN148" s="277"/>
      <c r="AO148" s="277"/>
      <c r="AP148" s="277"/>
      <c r="AQ148" s="277"/>
      <c r="AR148" s="277"/>
      <c r="AS148" s="277"/>
      <c r="AT148" s="278"/>
      <c r="AU148" s="13"/>
      <c r="AV148" s="65"/>
    </row>
    <row r="149" spans="1:48" ht="13.5" customHeight="1">
      <c r="A149" s="63"/>
      <c r="B149" s="126">
        <v>11</v>
      </c>
      <c r="C149" s="276" t="s">
        <v>116</v>
      </c>
      <c r="D149" s="279"/>
      <c r="E149" s="279"/>
      <c r="F149" s="279"/>
      <c r="G149" s="279"/>
      <c r="H149" s="279"/>
      <c r="I149" s="280"/>
      <c r="J149" s="276" t="s">
        <v>156</v>
      </c>
      <c r="K149" s="279"/>
      <c r="L149" s="279"/>
      <c r="M149" s="279"/>
      <c r="N149" s="280"/>
      <c r="O149" s="276"/>
      <c r="P149" s="277"/>
      <c r="Q149" s="277"/>
      <c r="R149" s="278"/>
      <c r="S149" s="276" t="s">
        <v>139</v>
      </c>
      <c r="T149" s="277"/>
      <c r="U149" s="277"/>
      <c r="V149" s="278"/>
      <c r="W149" s="261"/>
      <c r="X149" s="282"/>
      <c r="Y149" s="281"/>
      <c r="Z149" s="194"/>
      <c r="AA149" s="261" t="s">
        <v>141</v>
      </c>
      <c r="AB149" s="281"/>
      <c r="AC149" s="276"/>
      <c r="AD149" s="277"/>
      <c r="AE149" s="277"/>
      <c r="AF149" s="278"/>
      <c r="AG149" s="276"/>
      <c r="AH149" s="277"/>
      <c r="AI149" s="277"/>
      <c r="AJ149" s="277"/>
      <c r="AK149" s="277"/>
      <c r="AL149" s="277"/>
      <c r="AM149" s="277"/>
      <c r="AN149" s="277"/>
      <c r="AO149" s="277"/>
      <c r="AP149" s="277"/>
      <c r="AQ149" s="277"/>
      <c r="AR149" s="277"/>
      <c r="AS149" s="277"/>
      <c r="AT149" s="278"/>
      <c r="AU149" s="13"/>
      <c r="AV149" s="65"/>
    </row>
    <row r="150" spans="1:48" ht="13.5" customHeight="1">
      <c r="A150" s="63"/>
      <c r="B150" s="126">
        <v>12</v>
      </c>
      <c r="C150" s="276" t="s">
        <v>142</v>
      </c>
      <c r="D150" s="279"/>
      <c r="E150" s="279"/>
      <c r="F150" s="279"/>
      <c r="G150" s="279"/>
      <c r="H150" s="279"/>
      <c r="I150" s="280"/>
      <c r="J150" s="276" t="s">
        <v>85</v>
      </c>
      <c r="K150" s="279"/>
      <c r="L150" s="279"/>
      <c r="M150" s="279"/>
      <c r="N150" s="280"/>
      <c r="O150" s="276"/>
      <c r="P150" s="277"/>
      <c r="Q150" s="277"/>
      <c r="R150" s="278"/>
      <c r="S150" s="276"/>
      <c r="T150" s="277"/>
      <c r="U150" s="277"/>
      <c r="V150" s="278"/>
      <c r="W150" s="261"/>
      <c r="X150" s="282"/>
      <c r="Y150" s="281"/>
      <c r="Z150" s="194"/>
      <c r="AA150" s="261" t="s">
        <v>141</v>
      </c>
      <c r="AB150" s="281"/>
      <c r="AC150" s="276"/>
      <c r="AD150" s="277"/>
      <c r="AE150" s="277"/>
      <c r="AF150" s="278"/>
      <c r="AG150" s="276" t="s">
        <v>137</v>
      </c>
      <c r="AH150" s="277"/>
      <c r="AI150" s="277"/>
      <c r="AJ150" s="277"/>
      <c r="AK150" s="277"/>
      <c r="AL150" s="277"/>
      <c r="AM150" s="277"/>
      <c r="AN150" s="277"/>
      <c r="AO150" s="277"/>
      <c r="AP150" s="277"/>
      <c r="AQ150" s="277"/>
      <c r="AR150" s="277"/>
      <c r="AS150" s="277"/>
      <c r="AT150" s="278"/>
      <c r="AU150" s="13"/>
      <c r="AV150" s="65"/>
    </row>
    <row r="151" spans="1:48" ht="13.5" customHeight="1">
      <c r="A151" s="63"/>
      <c r="B151" s="126">
        <v>13</v>
      </c>
      <c r="C151" s="276"/>
      <c r="D151" s="279"/>
      <c r="E151" s="279"/>
      <c r="F151" s="279"/>
      <c r="G151" s="279"/>
      <c r="H151" s="279"/>
      <c r="I151" s="280"/>
      <c r="J151" s="276"/>
      <c r="K151" s="279"/>
      <c r="L151" s="279"/>
      <c r="M151" s="279"/>
      <c r="N151" s="280"/>
      <c r="O151" s="276"/>
      <c r="P151" s="277"/>
      <c r="Q151" s="277"/>
      <c r="R151" s="278"/>
      <c r="S151" s="276"/>
      <c r="T151" s="277"/>
      <c r="U151" s="277"/>
      <c r="V151" s="278"/>
      <c r="W151" s="276"/>
      <c r="X151" s="277"/>
      <c r="Y151" s="278"/>
      <c r="Z151" s="192"/>
      <c r="AA151" s="276"/>
      <c r="AB151" s="278"/>
      <c r="AC151" s="276"/>
      <c r="AD151" s="277"/>
      <c r="AE151" s="277"/>
      <c r="AF151" s="278"/>
      <c r="AG151" s="276"/>
      <c r="AH151" s="277"/>
      <c r="AI151" s="277"/>
      <c r="AJ151" s="277"/>
      <c r="AK151" s="277"/>
      <c r="AL151" s="277"/>
      <c r="AM151" s="277"/>
      <c r="AN151" s="277"/>
      <c r="AO151" s="277"/>
      <c r="AP151" s="277"/>
      <c r="AQ151" s="277"/>
      <c r="AR151" s="277"/>
      <c r="AS151" s="277"/>
      <c r="AT151" s="278"/>
      <c r="AU151" s="13"/>
      <c r="AV151" s="65"/>
    </row>
    <row r="152" spans="1:48" ht="13.5" customHeight="1">
      <c r="A152" s="63"/>
      <c r="B152" s="126">
        <v>14</v>
      </c>
      <c r="C152" s="276"/>
      <c r="D152" s="279"/>
      <c r="E152" s="279"/>
      <c r="F152" s="279"/>
      <c r="G152" s="279"/>
      <c r="H152" s="279"/>
      <c r="I152" s="280"/>
      <c r="J152" s="276"/>
      <c r="K152" s="279"/>
      <c r="L152" s="279"/>
      <c r="M152" s="279"/>
      <c r="N152" s="280"/>
      <c r="O152" s="276"/>
      <c r="P152" s="277"/>
      <c r="Q152" s="277"/>
      <c r="R152" s="278"/>
      <c r="S152" s="123"/>
      <c r="T152" s="124"/>
      <c r="U152" s="124"/>
      <c r="V152" s="125"/>
      <c r="W152" s="276"/>
      <c r="X152" s="277"/>
      <c r="Y152" s="278"/>
      <c r="Z152" s="192"/>
      <c r="AA152" s="276"/>
      <c r="AB152" s="278"/>
      <c r="AC152" s="276"/>
      <c r="AD152" s="277"/>
      <c r="AE152" s="277"/>
      <c r="AF152" s="278"/>
      <c r="AG152" s="276"/>
      <c r="AH152" s="277"/>
      <c r="AI152" s="277"/>
      <c r="AJ152" s="277"/>
      <c r="AK152" s="277"/>
      <c r="AL152" s="277"/>
      <c r="AM152" s="277"/>
      <c r="AN152" s="277"/>
      <c r="AO152" s="277"/>
      <c r="AP152" s="277"/>
      <c r="AQ152" s="277"/>
      <c r="AR152" s="277"/>
      <c r="AS152" s="277"/>
      <c r="AT152" s="278"/>
      <c r="AU152" s="13"/>
      <c r="AV152" s="65"/>
    </row>
    <row r="153" spans="1:48" ht="13.5" customHeight="1">
      <c r="A153" s="63"/>
      <c r="B153" s="126">
        <v>15</v>
      </c>
      <c r="C153" s="276"/>
      <c r="D153" s="279"/>
      <c r="E153" s="279"/>
      <c r="F153" s="279"/>
      <c r="G153" s="279"/>
      <c r="H153" s="279"/>
      <c r="I153" s="280"/>
      <c r="J153" s="276"/>
      <c r="K153" s="279"/>
      <c r="L153" s="279"/>
      <c r="M153" s="279"/>
      <c r="N153" s="280"/>
      <c r="O153" s="276"/>
      <c r="P153" s="277"/>
      <c r="Q153" s="277"/>
      <c r="R153" s="278"/>
      <c r="S153" s="123"/>
      <c r="T153" s="124"/>
      <c r="U153" s="124"/>
      <c r="V153" s="125"/>
      <c r="W153" s="276"/>
      <c r="X153" s="277"/>
      <c r="Y153" s="278"/>
      <c r="Z153" s="192"/>
      <c r="AA153" s="276"/>
      <c r="AB153" s="278"/>
      <c r="AC153" s="276"/>
      <c r="AD153" s="277"/>
      <c r="AE153" s="277"/>
      <c r="AF153" s="278"/>
      <c r="AG153" s="276"/>
      <c r="AH153" s="277"/>
      <c r="AI153" s="277"/>
      <c r="AJ153" s="277"/>
      <c r="AK153" s="277"/>
      <c r="AL153" s="277"/>
      <c r="AM153" s="277"/>
      <c r="AN153" s="277"/>
      <c r="AO153" s="277"/>
      <c r="AP153" s="277"/>
      <c r="AQ153" s="277"/>
      <c r="AR153" s="277"/>
      <c r="AS153" s="277"/>
      <c r="AT153" s="278"/>
      <c r="AU153" s="13"/>
      <c r="AV153" s="65"/>
    </row>
    <row r="154" spans="1:48" ht="13.5" customHeight="1">
      <c r="A154" s="63"/>
      <c r="B154" s="126">
        <v>16</v>
      </c>
      <c r="C154" s="276"/>
      <c r="D154" s="279"/>
      <c r="E154" s="279"/>
      <c r="F154" s="279"/>
      <c r="G154" s="279"/>
      <c r="H154" s="279"/>
      <c r="I154" s="280"/>
      <c r="J154" s="276"/>
      <c r="K154" s="279"/>
      <c r="L154" s="279"/>
      <c r="M154" s="279"/>
      <c r="N154" s="280"/>
      <c r="O154" s="276"/>
      <c r="P154" s="277"/>
      <c r="Q154" s="277"/>
      <c r="R154" s="278"/>
      <c r="S154" s="123"/>
      <c r="T154" s="124"/>
      <c r="U154" s="124"/>
      <c r="V154" s="125"/>
      <c r="W154" s="276"/>
      <c r="X154" s="277"/>
      <c r="Y154" s="278"/>
      <c r="Z154" s="192"/>
      <c r="AA154" s="276"/>
      <c r="AB154" s="278"/>
      <c r="AC154" s="276"/>
      <c r="AD154" s="277"/>
      <c r="AE154" s="277"/>
      <c r="AF154" s="278"/>
      <c r="AG154" s="276"/>
      <c r="AH154" s="277"/>
      <c r="AI154" s="277"/>
      <c r="AJ154" s="277"/>
      <c r="AK154" s="277"/>
      <c r="AL154" s="277"/>
      <c r="AM154" s="277"/>
      <c r="AN154" s="277"/>
      <c r="AO154" s="277"/>
      <c r="AP154" s="277"/>
      <c r="AQ154" s="277"/>
      <c r="AR154" s="277"/>
      <c r="AS154" s="277"/>
      <c r="AT154" s="278"/>
      <c r="AU154" s="13"/>
      <c r="AV154" s="65"/>
    </row>
    <row r="155" spans="1:48" ht="13.5" customHeight="1">
      <c r="A155" s="63"/>
      <c r="B155" s="126">
        <v>17</v>
      </c>
      <c r="C155" s="276"/>
      <c r="D155" s="279"/>
      <c r="E155" s="279"/>
      <c r="F155" s="279"/>
      <c r="G155" s="279"/>
      <c r="H155" s="279"/>
      <c r="I155" s="280"/>
      <c r="J155" s="276"/>
      <c r="K155" s="279"/>
      <c r="L155" s="279"/>
      <c r="M155" s="279"/>
      <c r="N155" s="280"/>
      <c r="O155" s="276"/>
      <c r="P155" s="277"/>
      <c r="Q155" s="277"/>
      <c r="R155" s="278"/>
      <c r="S155" s="276"/>
      <c r="T155" s="277"/>
      <c r="U155" s="277"/>
      <c r="V155" s="278"/>
      <c r="W155" s="276"/>
      <c r="X155" s="277"/>
      <c r="Y155" s="278"/>
      <c r="Z155" s="192"/>
      <c r="AA155" s="276"/>
      <c r="AB155" s="278"/>
      <c r="AC155" s="276"/>
      <c r="AD155" s="277"/>
      <c r="AE155" s="277"/>
      <c r="AF155" s="278"/>
      <c r="AG155" s="276"/>
      <c r="AH155" s="277"/>
      <c r="AI155" s="277"/>
      <c r="AJ155" s="277"/>
      <c r="AK155" s="277"/>
      <c r="AL155" s="277"/>
      <c r="AM155" s="277"/>
      <c r="AN155" s="277"/>
      <c r="AO155" s="277"/>
      <c r="AP155" s="277"/>
      <c r="AQ155" s="277"/>
      <c r="AR155" s="277"/>
      <c r="AS155" s="277"/>
      <c r="AT155" s="278"/>
      <c r="AU155" s="13"/>
      <c r="AV155" s="65"/>
    </row>
    <row r="156" spans="1:48" ht="13.5" customHeight="1">
      <c r="A156" s="63"/>
      <c r="B156" s="126">
        <v>18</v>
      </c>
      <c r="C156" s="276"/>
      <c r="D156" s="279"/>
      <c r="E156" s="279"/>
      <c r="F156" s="279"/>
      <c r="G156" s="279"/>
      <c r="H156" s="279"/>
      <c r="I156" s="280"/>
      <c r="J156" s="276"/>
      <c r="K156" s="279"/>
      <c r="L156" s="279"/>
      <c r="M156" s="279"/>
      <c r="N156" s="280"/>
      <c r="O156" s="276"/>
      <c r="P156" s="277"/>
      <c r="Q156" s="277"/>
      <c r="R156" s="278"/>
      <c r="S156" s="276"/>
      <c r="T156" s="277"/>
      <c r="U156" s="277"/>
      <c r="V156" s="278"/>
      <c r="W156" s="276"/>
      <c r="X156" s="277"/>
      <c r="Y156" s="278"/>
      <c r="Z156" s="192"/>
      <c r="AA156" s="276"/>
      <c r="AB156" s="278"/>
      <c r="AC156" s="276"/>
      <c r="AD156" s="277"/>
      <c r="AE156" s="277"/>
      <c r="AF156" s="278"/>
      <c r="AG156" s="276"/>
      <c r="AH156" s="277"/>
      <c r="AI156" s="277"/>
      <c r="AJ156" s="277"/>
      <c r="AK156" s="277"/>
      <c r="AL156" s="277"/>
      <c r="AM156" s="277"/>
      <c r="AN156" s="277"/>
      <c r="AO156" s="277"/>
      <c r="AP156" s="277"/>
      <c r="AQ156" s="277"/>
      <c r="AR156" s="277"/>
      <c r="AS156" s="277"/>
      <c r="AT156" s="278"/>
      <c r="AU156" s="13"/>
      <c r="AV156" s="65"/>
    </row>
    <row r="157" spans="1:48" ht="13.5" customHeight="1">
      <c r="A157" s="63"/>
      <c r="B157" s="126">
        <v>19</v>
      </c>
      <c r="C157" s="276"/>
      <c r="D157" s="279"/>
      <c r="E157" s="279"/>
      <c r="F157" s="279"/>
      <c r="G157" s="279"/>
      <c r="H157" s="279"/>
      <c r="I157" s="280"/>
      <c r="J157" s="276"/>
      <c r="K157" s="279"/>
      <c r="L157" s="279"/>
      <c r="M157" s="279"/>
      <c r="N157" s="280"/>
      <c r="O157" s="276"/>
      <c r="P157" s="277"/>
      <c r="Q157" s="277"/>
      <c r="R157" s="278"/>
      <c r="S157" s="276"/>
      <c r="T157" s="277"/>
      <c r="U157" s="277"/>
      <c r="V157" s="278"/>
      <c r="W157" s="276"/>
      <c r="X157" s="277"/>
      <c r="Y157" s="278"/>
      <c r="Z157" s="192"/>
      <c r="AA157" s="276"/>
      <c r="AB157" s="278"/>
      <c r="AC157" s="276"/>
      <c r="AD157" s="277"/>
      <c r="AE157" s="277"/>
      <c r="AF157" s="278"/>
      <c r="AG157" s="276"/>
      <c r="AH157" s="277"/>
      <c r="AI157" s="277"/>
      <c r="AJ157" s="277"/>
      <c r="AK157" s="277"/>
      <c r="AL157" s="277"/>
      <c r="AM157" s="277"/>
      <c r="AN157" s="277"/>
      <c r="AO157" s="277"/>
      <c r="AP157" s="277"/>
      <c r="AQ157" s="277"/>
      <c r="AR157" s="277"/>
      <c r="AS157" s="277"/>
      <c r="AT157" s="278"/>
      <c r="AU157" s="13"/>
      <c r="AV157" s="65"/>
    </row>
    <row r="158" spans="1:48" ht="13.5" customHeight="1">
      <c r="A158" s="63"/>
      <c r="B158" s="126">
        <v>20</v>
      </c>
      <c r="C158" s="276"/>
      <c r="D158" s="279"/>
      <c r="E158" s="279"/>
      <c r="F158" s="279"/>
      <c r="G158" s="279"/>
      <c r="H158" s="279"/>
      <c r="I158" s="280"/>
      <c r="J158" s="276"/>
      <c r="K158" s="279"/>
      <c r="L158" s="279"/>
      <c r="M158" s="279"/>
      <c r="N158" s="280"/>
      <c r="O158" s="276"/>
      <c r="P158" s="277"/>
      <c r="Q158" s="277"/>
      <c r="R158" s="278"/>
      <c r="S158" s="276"/>
      <c r="T158" s="277"/>
      <c r="U158" s="277"/>
      <c r="V158" s="278"/>
      <c r="W158" s="276"/>
      <c r="X158" s="277"/>
      <c r="Y158" s="278"/>
      <c r="Z158" s="192"/>
      <c r="AA158" s="276"/>
      <c r="AB158" s="278"/>
      <c r="AC158" s="276"/>
      <c r="AD158" s="277"/>
      <c r="AE158" s="277"/>
      <c r="AF158" s="278"/>
      <c r="AG158" s="276"/>
      <c r="AH158" s="277"/>
      <c r="AI158" s="277"/>
      <c r="AJ158" s="277"/>
      <c r="AK158" s="277"/>
      <c r="AL158" s="277"/>
      <c r="AM158" s="277"/>
      <c r="AN158" s="277"/>
      <c r="AO158" s="277"/>
      <c r="AP158" s="277"/>
      <c r="AQ158" s="277"/>
      <c r="AR158" s="277"/>
      <c r="AS158" s="277"/>
      <c r="AT158" s="278"/>
      <c r="AU158" s="13"/>
      <c r="AV158" s="65"/>
    </row>
    <row r="159" spans="1:48" ht="13.5" customHeight="1">
      <c r="A159" s="63"/>
      <c r="B159" s="126">
        <v>21</v>
      </c>
      <c r="C159" s="276"/>
      <c r="D159" s="279"/>
      <c r="E159" s="279"/>
      <c r="F159" s="279"/>
      <c r="G159" s="279"/>
      <c r="H159" s="279"/>
      <c r="I159" s="280"/>
      <c r="J159" s="276"/>
      <c r="K159" s="279"/>
      <c r="L159" s="279"/>
      <c r="M159" s="279"/>
      <c r="N159" s="280"/>
      <c r="O159" s="276"/>
      <c r="P159" s="277"/>
      <c r="Q159" s="277"/>
      <c r="R159" s="278"/>
      <c r="S159" s="276"/>
      <c r="T159" s="277"/>
      <c r="U159" s="277"/>
      <c r="V159" s="278"/>
      <c r="W159" s="276"/>
      <c r="X159" s="277"/>
      <c r="Y159" s="278"/>
      <c r="Z159" s="192"/>
      <c r="AA159" s="276"/>
      <c r="AB159" s="278"/>
      <c r="AC159" s="276"/>
      <c r="AD159" s="277"/>
      <c r="AE159" s="277"/>
      <c r="AF159" s="278"/>
      <c r="AG159" s="276"/>
      <c r="AH159" s="277"/>
      <c r="AI159" s="277"/>
      <c r="AJ159" s="277"/>
      <c r="AK159" s="277"/>
      <c r="AL159" s="277"/>
      <c r="AM159" s="277"/>
      <c r="AN159" s="277"/>
      <c r="AO159" s="277"/>
      <c r="AP159" s="277"/>
      <c r="AQ159" s="277"/>
      <c r="AR159" s="277"/>
      <c r="AS159" s="277"/>
      <c r="AT159" s="278"/>
      <c r="AU159" s="13"/>
      <c r="AV159" s="65"/>
    </row>
    <row r="160" spans="1:48" ht="13.5" customHeight="1">
      <c r="A160" s="63"/>
      <c r="B160" s="126">
        <v>22</v>
      </c>
      <c r="C160" s="276"/>
      <c r="D160" s="279"/>
      <c r="E160" s="279"/>
      <c r="F160" s="279"/>
      <c r="G160" s="279"/>
      <c r="H160" s="279"/>
      <c r="I160" s="280"/>
      <c r="J160" s="276"/>
      <c r="K160" s="279"/>
      <c r="L160" s="279"/>
      <c r="M160" s="279"/>
      <c r="N160" s="280"/>
      <c r="O160" s="276"/>
      <c r="P160" s="277"/>
      <c r="Q160" s="277"/>
      <c r="R160" s="278"/>
      <c r="S160" s="276"/>
      <c r="T160" s="277"/>
      <c r="U160" s="277"/>
      <c r="V160" s="278"/>
      <c r="W160" s="276"/>
      <c r="X160" s="277"/>
      <c r="Y160" s="278"/>
      <c r="Z160" s="192"/>
      <c r="AA160" s="276"/>
      <c r="AB160" s="278"/>
      <c r="AC160" s="276"/>
      <c r="AD160" s="277"/>
      <c r="AE160" s="277"/>
      <c r="AF160" s="278"/>
      <c r="AG160" s="276"/>
      <c r="AH160" s="277"/>
      <c r="AI160" s="277"/>
      <c r="AJ160" s="277"/>
      <c r="AK160" s="277"/>
      <c r="AL160" s="277"/>
      <c r="AM160" s="277"/>
      <c r="AN160" s="277"/>
      <c r="AO160" s="277"/>
      <c r="AP160" s="277"/>
      <c r="AQ160" s="277"/>
      <c r="AR160" s="277"/>
      <c r="AS160" s="277"/>
      <c r="AT160" s="278"/>
      <c r="AU160" s="13"/>
      <c r="AV160" s="65"/>
    </row>
    <row r="161" spans="1:51" ht="13.5" customHeight="1">
      <c r="A161" s="63"/>
      <c r="B161" s="126">
        <v>23</v>
      </c>
      <c r="C161" s="276"/>
      <c r="D161" s="279"/>
      <c r="E161" s="279"/>
      <c r="F161" s="279"/>
      <c r="G161" s="279"/>
      <c r="H161" s="279"/>
      <c r="I161" s="280"/>
      <c r="J161" s="276"/>
      <c r="K161" s="279"/>
      <c r="L161" s="279"/>
      <c r="M161" s="279"/>
      <c r="N161" s="280"/>
      <c r="O161" s="276"/>
      <c r="P161" s="277"/>
      <c r="Q161" s="277"/>
      <c r="R161" s="278"/>
      <c r="S161" s="276"/>
      <c r="T161" s="277"/>
      <c r="U161" s="277"/>
      <c r="V161" s="278"/>
      <c r="W161" s="276"/>
      <c r="X161" s="277"/>
      <c r="Y161" s="278"/>
      <c r="Z161" s="192"/>
      <c r="AA161" s="276"/>
      <c r="AB161" s="278"/>
      <c r="AC161" s="276"/>
      <c r="AD161" s="277"/>
      <c r="AE161" s="277"/>
      <c r="AF161" s="278"/>
      <c r="AG161" s="276"/>
      <c r="AH161" s="277"/>
      <c r="AI161" s="277"/>
      <c r="AJ161" s="277"/>
      <c r="AK161" s="277"/>
      <c r="AL161" s="277"/>
      <c r="AM161" s="277"/>
      <c r="AN161" s="277"/>
      <c r="AO161" s="277"/>
      <c r="AP161" s="277"/>
      <c r="AQ161" s="277"/>
      <c r="AR161" s="277"/>
      <c r="AS161" s="277"/>
      <c r="AT161" s="278"/>
      <c r="AU161" s="13"/>
      <c r="AV161" s="65"/>
    </row>
    <row r="162" spans="1:51" ht="13.5" customHeight="1">
      <c r="A162" s="63"/>
      <c r="B162" s="126">
        <v>24</v>
      </c>
      <c r="C162" s="276"/>
      <c r="D162" s="279"/>
      <c r="E162" s="279"/>
      <c r="F162" s="279"/>
      <c r="G162" s="279"/>
      <c r="H162" s="279"/>
      <c r="I162" s="280"/>
      <c r="J162" s="276"/>
      <c r="K162" s="279"/>
      <c r="L162" s="279"/>
      <c r="M162" s="279"/>
      <c r="N162" s="280"/>
      <c r="O162" s="276"/>
      <c r="P162" s="277"/>
      <c r="Q162" s="277"/>
      <c r="R162" s="278"/>
      <c r="S162" s="276"/>
      <c r="T162" s="277"/>
      <c r="U162" s="277"/>
      <c r="V162" s="278"/>
      <c r="W162" s="276"/>
      <c r="X162" s="277"/>
      <c r="Y162" s="278"/>
      <c r="Z162" s="192"/>
      <c r="AA162" s="276"/>
      <c r="AB162" s="278"/>
      <c r="AC162" s="276"/>
      <c r="AD162" s="277"/>
      <c r="AE162" s="277"/>
      <c r="AF162" s="278"/>
      <c r="AG162" s="276"/>
      <c r="AH162" s="277"/>
      <c r="AI162" s="277"/>
      <c r="AJ162" s="277"/>
      <c r="AK162" s="277"/>
      <c r="AL162" s="277"/>
      <c r="AM162" s="277"/>
      <c r="AN162" s="277"/>
      <c r="AO162" s="277"/>
      <c r="AP162" s="277"/>
      <c r="AQ162" s="277"/>
      <c r="AR162" s="277"/>
      <c r="AS162" s="277"/>
      <c r="AT162" s="278"/>
      <c r="AU162" s="13"/>
      <c r="AV162" s="65"/>
    </row>
    <row r="163" spans="1:51" ht="13.5" customHeight="1">
      <c r="A163" s="63"/>
      <c r="B163" s="126">
        <v>25</v>
      </c>
      <c r="C163" s="276"/>
      <c r="D163" s="279"/>
      <c r="E163" s="279"/>
      <c r="F163" s="279"/>
      <c r="G163" s="279"/>
      <c r="H163" s="279"/>
      <c r="I163" s="280"/>
      <c r="J163" s="276"/>
      <c r="K163" s="279"/>
      <c r="L163" s="279"/>
      <c r="M163" s="279"/>
      <c r="N163" s="280"/>
      <c r="O163" s="276"/>
      <c r="P163" s="277"/>
      <c r="Q163" s="277"/>
      <c r="R163" s="278"/>
      <c r="S163" s="276"/>
      <c r="T163" s="277"/>
      <c r="U163" s="277"/>
      <c r="V163" s="278"/>
      <c r="W163" s="276"/>
      <c r="X163" s="277"/>
      <c r="Y163" s="278"/>
      <c r="Z163" s="192"/>
      <c r="AA163" s="276"/>
      <c r="AB163" s="278"/>
      <c r="AC163" s="276"/>
      <c r="AD163" s="277"/>
      <c r="AE163" s="277"/>
      <c r="AF163" s="278"/>
      <c r="AG163" s="276"/>
      <c r="AH163" s="277"/>
      <c r="AI163" s="277"/>
      <c r="AJ163" s="277"/>
      <c r="AK163" s="277"/>
      <c r="AL163" s="277"/>
      <c r="AM163" s="277"/>
      <c r="AN163" s="277"/>
      <c r="AO163" s="277"/>
      <c r="AP163" s="277"/>
      <c r="AQ163" s="277"/>
      <c r="AR163" s="277"/>
      <c r="AS163" s="277"/>
      <c r="AT163" s="278"/>
      <c r="AU163" s="13"/>
      <c r="AV163" s="65"/>
    </row>
    <row r="164" spans="1:51" ht="13.5" customHeight="1">
      <c r="A164" s="63"/>
      <c r="B164" s="126">
        <v>26</v>
      </c>
      <c r="C164" s="276"/>
      <c r="D164" s="279"/>
      <c r="E164" s="279"/>
      <c r="F164" s="279"/>
      <c r="G164" s="279"/>
      <c r="H164" s="279"/>
      <c r="I164" s="280"/>
      <c r="J164" s="276"/>
      <c r="K164" s="279"/>
      <c r="L164" s="279"/>
      <c r="M164" s="279"/>
      <c r="N164" s="280"/>
      <c r="O164" s="276"/>
      <c r="P164" s="277"/>
      <c r="Q164" s="277"/>
      <c r="R164" s="278"/>
      <c r="S164" s="276"/>
      <c r="T164" s="277"/>
      <c r="U164" s="277"/>
      <c r="V164" s="278"/>
      <c r="W164" s="276"/>
      <c r="X164" s="277"/>
      <c r="Y164" s="278"/>
      <c r="Z164" s="192"/>
      <c r="AA164" s="276"/>
      <c r="AB164" s="278"/>
      <c r="AC164" s="276"/>
      <c r="AD164" s="277"/>
      <c r="AE164" s="277"/>
      <c r="AF164" s="278"/>
      <c r="AG164" s="276"/>
      <c r="AH164" s="277"/>
      <c r="AI164" s="277"/>
      <c r="AJ164" s="277"/>
      <c r="AK164" s="277"/>
      <c r="AL164" s="277"/>
      <c r="AM164" s="277"/>
      <c r="AN164" s="277"/>
      <c r="AO164" s="277"/>
      <c r="AP164" s="277"/>
      <c r="AQ164" s="277"/>
      <c r="AR164" s="277"/>
      <c r="AS164" s="277"/>
      <c r="AT164" s="278"/>
      <c r="AU164" s="13"/>
      <c r="AV164" s="65"/>
    </row>
    <row r="165" spans="1:51" ht="13.5" customHeight="1">
      <c r="A165" s="63"/>
      <c r="B165" s="126">
        <v>27</v>
      </c>
      <c r="C165" s="276"/>
      <c r="D165" s="279"/>
      <c r="E165" s="279"/>
      <c r="F165" s="279"/>
      <c r="G165" s="279"/>
      <c r="H165" s="279"/>
      <c r="I165" s="280"/>
      <c r="J165" s="276"/>
      <c r="K165" s="279"/>
      <c r="L165" s="279"/>
      <c r="M165" s="279"/>
      <c r="N165" s="280"/>
      <c r="O165" s="276"/>
      <c r="P165" s="277"/>
      <c r="Q165" s="277"/>
      <c r="R165" s="278"/>
      <c r="S165" s="276"/>
      <c r="T165" s="277"/>
      <c r="U165" s="277"/>
      <c r="V165" s="278"/>
      <c r="W165" s="276"/>
      <c r="X165" s="277"/>
      <c r="Y165" s="278"/>
      <c r="Z165" s="192"/>
      <c r="AA165" s="276"/>
      <c r="AB165" s="278"/>
      <c r="AC165" s="276"/>
      <c r="AD165" s="277"/>
      <c r="AE165" s="277"/>
      <c r="AF165" s="278"/>
      <c r="AG165" s="276"/>
      <c r="AH165" s="277"/>
      <c r="AI165" s="277"/>
      <c r="AJ165" s="277"/>
      <c r="AK165" s="277"/>
      <c r="AL165" s="277"/>
      <c r="AM165" s="277"/>
      <c r="AN165" s="277"/>
      <c r="AO165" s="277"/>
      <c r="AP165" s="277"/>
      <c r="AQ165" s="277"/>
      <c r="AR165" s="277"/>
      <c r="AS165" s="277"/>
      <c r="AT165" s="278"/>
      <c r="AU165" s="13"/>
      <c r="AV165" s="65"/>
    </row>
    <row r="166" spans="1:51" ht="13.5" customHeight="1">
      <c r="A166" s="63"/>
      <c r="B166" s="126">
        <v>28</v>
      </c>
      <c r="C166" s="276"/>
      <c r="D166" s="279"/>
      <c r="E166" s="279"/>
      <c r="F166" s="279"/>
      <c r="G166" s="279"/>
      <c r="H166" s="279"/>
      <c r="I166" s="280"/>
      <c r="J166" s="276"/>
      <c r="K166" s="279"/>
      <c r="L166" s="279"/>
      <c r="M166" s="279"/>
      <c r="N166" s="280"/>
      <c r="O166" s="276"/>
      <c r="P166" s="277"/>
      <c r="Q166" s="277"/>
      <c r="R166" s="278"/>
      <c r="S166" s="276"/>
      <c r="T166" s="277"/>
      <c r="U166" s="277"/>
      <c r="V166" s="278"/>
      <c r="W166" s="276"/>
      <c r="X166" s="277"/>
      <c r="Y166" s="278"/>
      <c r="Z166" s="192"/>
      <c r="AA166" s="276"/>
      <c r="AB166" s="278"/>
      <c r="AC166" s="276"/>
      <c r="AD166" s="277"/>
      <c r="AE166" s="277"/>
      <c r="AF166" s="278"/>
      <c r="AG166" s="276"/>
      <c r="AH166" s="277"/>
      <c r="AI166" s="277"/>
      <c r="AJ166" s="277"/>
      <c r="AK166" s="277"/>
      <c r="AL166" s="277"/>
      <c r="AM166" s="277"/>
      <c r="AN166" s="277"/>
      <c r="AO166" s="277"/>
      <c r="AP166" s="277"/>
      <c r="AQ166" s="277"/>
      <c r="AR166" s="277"/>
      <c r="AS166" s="277"/>
      <c r="AT166" s="278"/>
      <c r="AU166" s="13"/>
      <c r="AV166" s="65"/>
    </row>
    <row r="167" spans="1:51" ht="13.5" customHeight="1">
      <c r="A167" s="63"/>
      <c r="B167" s="126">
        <v>29</v>
      </c>
      <c r="C167" s="276"/>
      <c r="D167" s="279"/>
      <c r="E167" s="279"/>
      <c r="F167" s="279"/>
      <c r="G167" s="279"/>
      <c r="H167" s="279"/>
      <c r="I167" s="280"/>
      <c r="J167" s="276"/>
      <c r="K167" s="279"/>
      <c r="L167" s="279"/>
      <c r="M167" s="279"/>
      <c r="N167" s="280"/>
      <c r="O167" s="276"/>
      <c r="P167" s="277"/>
      <c r="Q167" s="277"/>
      <c r="R167" s="278"/>
      <c r="S167" s="276"/>
      <c r="T167" s="277"/>
      <c r="U167" s="277"/>
      <c r="V167" s="278"/>
      <c r="W167" s="276"/>
      <c r="X167" s="277"/>
      <c r="Y167" s="278"/>
      <c r="Z167" s="192"/>
      <c r="AA167" s="276"/>
      <c r="AB167" s="278"/>
      <c r="AC167" s="276"/>
      <c r="AD167" s="277"/>
      <c r="AE167" s="277"/>
      <c r="AF167" s="278"/>
      <c r="AG167" s="276"/>
      <c r="AH167" s="277"/>
      <c r="AI167" s="277"/>
      <c r="AJ167" s="277"/>
      <c r="AK167" s="277"/>
      <c r="AL167" s="277"/>
      <c r="AM167" s="277"/>
      <c r="AN167" s="277"/>
      <c r="AO167" s="277"/>
      <c r="AP167" s="277"/>
      <c r="AQ167" s="277"/>
      <c r="AR167" s="277"/>
      <c r="AS167" s="277"/>
      <c r="AT167" s="278"/>
      <c r="AU167" s="13"/>
      <c r="AV167" s="65"/>
    </row>
    <row r="168" spans="1:51" ht="13.5" customHeight="1">
      <c r="A168" s="63"/>
      <c r="B168" s="126">
        <v>30</v>
      </c>
      <c r="C168" s="276"/>
      <c r="D168" s="279"/>
      <c r="E168" s="279"/>
      <c r="F168" s="279"/>
      <c r="G168" s="279"/>
      <c r="H168" s="279"/>
      <c r="I168" s="280"/>
      <c r="J168" s="276"/>
      <c r="K168" s="279"/>
      <c r="L168" s="279"/>
      <c r="M168" s="279"/>
      <c r="N168" s="280"/>
      <c r="O168" s="276"/>
      <c r="P168" s="277"/>
      <c r="Q168" s="277"/>
      <c r="R168" s="278"/>
      <c r="S168" s="276"/>
      <c r="T168" s="277"/>
      <c r="U168" s="277"/>
      <c r="V168" s="278"/>
      <c r="W168" s="276"/>
      <c r="X168" s="277"/>
      <c r="Y168" s="278"/>
      <c r="Z168" s="192"/>
      <c r="AA168" s="276"/>
      <c r="AB168" s="278"/>
      <c r="AC168" s="276"/>
      <c r="AD168" s="277"/>
      <c r="AE168" s="277"/>
      <c r="AF168" s="278"/>
      <c r="AG168" s="276"/>
      <c r="AH168" s="277"/>
      <c r="AI168" s="277"/>
      <c r="AJ168" s="277"/>
      <c r="AK168" s="277"/>
      <c r="AL168" s="277"/>
      <c r="AM168" s="277"/>
      <c r="AN168" s="277"/>
      <c r="AO168" s="277"/>
      <c r="AP168" s="277"/>
      <c r="AQ168" s="277"/>
      <c r="AR168" s="277"/>
      <c r="AS168" s="277"/>
      <c r="AT168" s="278"/>
      <c r="AU168" s="13"/>
      <c r="AV168" s="65"/>
    </row>
    <row r="169" spans="1:51" ht="13.5" customHeight="1">
      <c r="A169" s="63"/>
      <c r="B169" s="13"/>
      <c r="C169" s="13"/>
      <c r="D169" s="64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65"/>
    </row>
    <row r="170" spans="1:51" ht="13.5" customHeight="1">
      <c r="A170" s="63"/>
      <c r="B170" s="13"/>
      <c r="C170" s="13"/>
      <c r="D170" s="64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65"/>
      <c r="AX170" s="62"/>
      <c r="AY170" s="62"/>
    </row>
    <row r="171" spans="1:51" ht="13.5" customHeight="1">
      <c r="A171" s="63"/>
      <c r="B171" s="13"/>
      <c r="C171" s="13"/>
      <c r="D171" s="64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65"/>
      <c r="AX171" s="62"/>
      <c r="AY171" s="62"/>
    </row>
    <row r="172" spans="1:51" ht="13.5" customHeight="1" thickBot="1">
      <c r="A172" s="67"/>
      <c r="B172" s="68"/>
      <c r="C172" s="68"/>
      <c r="D172" s="69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  <c r="AU172" s="68"/>
      <c r="AV172" s="70"/>
      <c r="AX172" s="238" t="str">
        <f>HYPERLINK("#$A$1","目次へ")</f>
        <v>目次へ</v>
      </c>
      <c r="AY172" s="239"/>
    </row>
    <row r="173" spans="1:51" ht="15">
      <c r="A173" s="240" t="s">
        <v>40</v>
      </c>
      <c r="B173" s="241"/>
      <c r="C173" s="242"/>
      <c r="D173" s="243" t="str">
        <f>システム名</f>
        <v>○✕システム</v>
      </c>
      <c r="E173" s="244"/>
      <c r="F173" s="244"/>
      <c r="G173" s="244"/>
      <c r="H173" s="244"/>
      <c r="I173" s="244"/>
      <c r="J173" s="244"/>
      <c r="K173" s="244"/>
      <c r="L173" s="244"/>
      <c r="M173" s="244"/>
      <c r="N173" s="244"/>
      <c r="O173" s="245"/>
      <c r="P173" s="246" t="s">
        <v>0</v>
      </c>
      <c r="Q173" s="241"/>
      <c r="R173" s="242"/>
      <c r="S173" s="247" t="str">
        <f>IF(顧客名&lt;&gt;"",顧客名,"")</f>
        <v>○✕○✕株式会社</v>
      </c>
      <c r="T173" s="248"/>
      <c r="U173" s="248"/>
      <c r="V173" s="248"/>
      <c r="W173" s="248"/>
      <c r="X173" s="248"/>
      <c r="Y173" s="248"/>
      <c r="Z173" s="248"/>
      <c r="AA173" s="248"/>
      <c r="AB173" s="248"/>
      <c r="AC173" s="248"/>
      <c r="AD173" s="248"/>
      <c r="AE173" s="248"/>
      <c r="AF173" s="249"/>
      <c r="AG173" s="250" t="s">
        <v>35</v>
      </c>
      <c r="AH173" s="250"/>
      <c r="AI173" s="250"/>
      <c r="AJ173" s="251">
        <f>作成日</f>
        <v>44287</v>
      </c>
      <c r="AK173" s="252"/>
      <c r="AL173" s="252"/>
      <c r="AM173" s="252"/>
      <c r="AN173" s="252"/>
      <c r="AO173" s="250" t="s">
        <v>36</v>
      </c>
      <c r="AP173" s="250"/>
      <c r="AQ173" s="250"/>
      <c r="AR173" s="253" t="str">
        <f>作成者</f>
        <v>小泉　文平</v>
      </c>
      <c r="AS173" s="254"/>
      <c r="AT173" s="254"/>
      <c r="AU173" s="254"/>
      <c r="AV173" s="255"/>
      <c r="AX173" s="274"/>
      <c r="AY173" s="275"/>
    </row>
    <row r="174" spans="1:51" ht="15">
      <c r="A174" s="258" t="s">
        <v>30</v>
      </c>
      <c r="B174" s="259"/>
      <c r="C174" s="260"/>
      <c r="D174" s="261"/>
      <c r="E174" s="262"/>
      <c r="F174" s="262"/>
      <c r="G174" s="262"/>
      <c r="H174" s="262"/>
      <c r="I174" s="262"/>
      <c r="J174" s="262"/>
      <c r="K174" s="262"/>
      <c r="L174" s="262"/>
      <c r="M174" s="262"/>
      <c r="N174" s="262"/>
      <c r="O174" s="263"/>
      <c r="P174" s="264" t="s">
        <v>2</v>
      </c>
      <c r="Q174" s="259"/>
      <c r="R174" s="260"/>
      <c r="S174" s="265"/>
      <c r="T174" s="266"/>
      <c r="U174" s="266"/>
      <c r="V174" s="266"/>
      <c r="W174" s="266"/>
      <c r="X174" s="266"/>
      <c r="Y174" s="266"/>
      <c r="Z174" s="266"/>
      <c r="AA174" s="266"/>
      <c r="AB174" s="266"/>
      <c r="AC174" s="266"/>
      <c r="AD174" s="266"/>
      <c r="AE174" s="266"/>
      <c r="AF174" s="267"/>
      <c r="AG174" s="268" t="s">
        <v>34</v>
      </c>
      <c r="AH174" s="268"/>
      <c r="AI174" s="268"/>
      <c r="AJ174" s="269"/>
      <c r="AK174" s="270"/>
      <c r="AL174" s="270"/>
      <c r="AM174" s="270"/>
      <c r="AN174" s="270"/>
      <c r="AO174" s="268" t="s">
        <v>33</v>
      </c>
      <c r="AP174" s="268"/>
      <c r="AQ174" s="268"/>
      <c r="AR174" s="271"/>
      <c r="AS174" s="272"/>
      <c r="AT174" s="272"/>
      <c r="AU174" s="272"/>
      <c r="AV174" s="273"/>
      <c r="AX174" s="275"/>
      <c r="AY174" s="275"/>
    </row>
    <row r="175" spans="1:51" ht="13.5" customHeight="1">
      <c r="A175" s="3"/>
      <c r="B175" s="4"/>
      <c r="C175" s="5"/>
      <c r="D175" s="6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7"/>
    </row>
    <row r="176" spans="1:51" ht="13.5" customHeight="1">
      <c r="A176" s="3"/>
      <c r="B176" s="4"/>
      <c r="C176" s="178" t="s">
        <v>31</v>
      </c>
      <c r="D176" s="179"/>
      <c r="E176" s="179"/>
      <c r="F176" s="179"/>
      <c r="G176" s="179"/>
      <c r="H176" s="179"/>
      <c r="I176" s="179"/>
      <c r="J176" s="179"/>
      <c r="K176" s="179"/>
      <c r="L176" s="179"/>
      <c r="M176" s="179"/>
      <c r="N176" s="179"/>
      <c r="O176" s="179"/>
      <c r="P176" s="180"/>
      <c r="Q176" s="179" t="s">
        <v>11</v>
      </c>
      <c r="R176" s="179"/>
      <c r="S176" s="179"/>
      <c r="T176" s="179"/>
      <c r="U176" s="179"/>
      <c r="V176" s="179"/>
      <c r="W176" s="179"/>
      <c r="X176" s="179"/>
      <c r="Y176" s="179"/>
      <c r="Z176" s="179"/>
      <c r="AA176" s="179"/>
      <c r="AB176" s="179"/>
      <c r="AC176" s="179"/>
      <c r="AD176" s="179"/>
      <c r="AE176" s="179"/>
      <c r="AF176" s="179"/>
      <c r="AG176" s="179"/>
      <c r="AH176" s="179"/>
      <c r="AI176" s="179"/>
      <c r="AJ176" s="179"/>
      <c r="AK176" s="179"/>
      <c r="AL176" s="179"/>
      <c r="AM176" s="179"/>
      <c r="AN176" s="179"/>
      <c r="AO176" s="179"/>
      <c r="AP176" s="179"/>
      <c r="AQ176" s="179"/>
      <c r="AR176" s="179"/>
      <c r="AS176" s="179"/>
      <c r="AT176" s="180"/>
      <c r="AU176" s="4"/>
      <c r="AV176" s="7"/>
    </row>
    <row r="177" spans="1:48" ht="13.5" customHeight="1">
      <c r="A177" s="3"/>
      <c r="B177" s="4"/>
      <c r="C177" s="181"/>
      <c r="D177" s="182"/>
      <c r="E177" s="182"/>
      <c r="F177" s="182"/>
      <c r="G177" s="182"/>
      <c r="H177" s="182"/>
      <c r="I177" s="182"/>
      <c r="J177" s="182"/>
      <c r="K177" s="182"/>
      <c r="L177" s="182"/>
      <c r="M177" s="182"/>
      <c r="N177" s="182"/>
      <c r="O177" s="182"/>
      <c r="P177" s="182"/>
      <c r="Q177" s="181"/>
      <c r="R177" s="182"/>
      <c r="S177" s="182"/>
      <c r="T177" s="182"/>
      <c r="U177" s="182"/>
      <c r="V177" s="182"/>
      <c r="W177" s="182"/>
      <c r="X177" s="182"/>
      <c r="Y177" s="182"/>
      <c r="Z177" s="182"/>
      <c r="AA177" s="182"/>
      <c r="AB177" s="182"/>
      <c r="AC177" s="182"/>
      <c r="AD177" s="182"/>
      <c r="AE177" s="182"/>
      <c r="AF177" s="182"/>
      <c r="AG177" s="182"/>
      <c r="AH177" s="182"/>
      <c r="AI177" s="182"/>
      <c r="AJ177" s="182"/>
      <c r="AK177" s="182"/>
      <c r="AL177" s="182"/>
      <c r="AM177" s="182"/>
      <c r="AN177" s="182"/>
      <c r="AO177" s="182"/>
      <c r="AP177" s="182"/>
      <c r="AQ177" s="182"/>
      <c r="AR177" s="182"/>
      <c r="AS177" s="182"/>
      <c r="AT177" s="183"/>
      <c r="AU177" s="4"/>
      <c r="AV177" s="7"/>
    </row>
    <row r="178" spans="1:48" ht="13.5" customHeight="1">
      <c r="A178" s="3"/>
      <c r="B178" s="4"/>
      <c r="C178" s="184"/>
      <c r="D178" s="185"/>
      <c r="E178" s="185"/>
      <c r="F178" s="185"/>
      <c r="G178" s="185"/>
      <c r="H178" s="185"/>
      <c r="I178" s="185"/>
      <c r="J178" s="185"/>
      <c r="K178" s="185"/>
      <c r="L178" s="185"/>
      <c r="M178" s="185"/>
      <c r="N178" s="185"/>
      <c r="O178" s="185"/>
      <c r="P178" s="185"/>
      <c r="Q178" s="184"/>
      <c r="R178" s="185"/>
      <c r="S178" s="185"/>
      <c r="T178" s="185"/>
      <c r="U178" s="185"/>
      <c r="V178" s="185"/>
      <c r="W178" s="185"/>
      <c r="X178" s="185"/>
      <c r="Y178" s="185"/>
      <c r="Z178" s="185"/>
      <c r="AA178" s="185"/>
      <c r="AB178" s="185"/>
      <c r="AC178" s="185"/>
      <c r="AD178" s="185"/>
      <c r="AE178" s="185"/>
      <c r="AF178" s="185"/>
      <c r="AG178" s="185"/>
      <c r="AH178" s="185"/>
      <c r="AI178" s="185"/>
      <c r="AJ178" s="185"/>
      <c r="AK178" s="185"/>
      <c r="AL178" s="185"/>
      <c r="AM178" s="185"/>
      <c r="AN178" s="185"/>
      <c r="AO178" s="185"/>
      <c r="AP178" s="185"/>
      <c r="AQ178" s="185"/>
      <c r="AR178" s="185"/>
      <c r="AS178" s="185"/>
      <c r="AT178" s="186"/>
      <c r="AU178" s="4"/>
      <c r="AV178" s="7"/>
    </row>
    <row r="179" spans="1:48" ht="13.5" customHeight="1">
      <c r="A179" s="3"/>
      <c r="B179" s="4"/>
      <c r="C179" s="184"/>
      <c r="D179" s="185"/>
      <c r="E179" s="185"/>
      <c r="F179" s="185"/>
      <c r="G179" s="185"/>
      <c r="H179" s="185"/>
      <c r="I179" s="185"/>
      <c r="J179" s="185"/>
      <c r="K179" s="185"/>
      <c r="L179" s="185"/>
      <c r="M179" s="185"/>
      <c r="N179" s="185"/>
      <c r="O179" s="185"/>
      <c r="P179" s="185"/>
      <c r="Q179" s="184"/>
      <c r="R179" s="185"/>
      <c r="S179" s="185"/>
      <c r="T179" s="185"/>
      <c r="U179" s="185"/>
      <c r="V179" s="185"/>
      <c r="W179" s="185"/>
      <c r="X179" s="185"/>
      <c r="Y179" s="185"/>
      <c r="Z179" s="185"/>
      <c r="AA179" s="185"/>
      <c r="AB179" s="185"/>
      <c r="AC179" s="185"/>
      <c r="AD179" s="185"/>
      <c r="AE179" s="185"/>
      <c r="AF179" s="185"/>
      <c r="AG179" s="185"/>
      <c r="AH179" s="185"/>
      <c r="AI179" s="185"/>
      <c r="AJ179" s="185"/>
      <c r="AK179" s="185"/>
      <c r="AL179" s="185"/>
      <c r="AM179" s="185"/>
      <c r="AN179" s="185"/>
      <c r="AO179" s="185"/>
      <c r="AP179" s="185"/>
      <c r="AQ179" s="185"/>
      <c r="AR179" s="185"/>
      <c r="AS179" s="185"/>
      <c r="AT179" s="186"/>
      <c r="AU179" s="4"/>
      <c r="AV179" s="7"/>
    </row>
    <row r="180" spans="1:48" ht="13.5" customHeight="1">
      <c r="A180" s="3"/>
      <c r="B180" s="4"/>
      <c r="C180" s="184"/>
      <c r="D180" s="185"/>
      <c r="E180" s="185"/>
      <c r="F180" s="185"/>
      <c r="G180" s="185"/>
      <c r="H180" s="185"/>
      <c r="I180" s="185"/>
      <c r="J180" s="185"/>
      <c r="K180" s="185"/>
      <c r="L180" s="185"/>
      <c r="M180" s="185"/>
      <c r="N180" s="185"/>
      <c r="O180" s="185"/>
      <c r="P180" s="185"/>
      <c r="Q180" s="184"/>
      <c r="R180" s="185"/>
      <c r="S180" s="185"/>
      <c r="T180" s="185"/>
      <c r="U180" s="185"/>
      <c r="V180" s="185"/>
      <c r="W180" s="185"/>
      <c r="X180" s="185"/>
      <c r="Y180" s="185"/>
      <c r="Z180" s="185"/>
      <c r="AA180" s="185"/>
      <c r="AB180" s="185"/>
      <c r="AC180" s="185"/>
      <c r="AD180" s="185"/>
      <c r="AE180" s="185"/>
      <c r="AF180" s="185"/>
      <c r="AG180" s="185"/>
      <c r="AH180" s="185"/>
      <c r="AI180" s="185"/>
      <c r="AJ180" s="185"/>
      <c r="AK180" s="185"/>
      <c r="AL180" s="185"/>
      <c r="AM180" s="185"/>
      <c r="AN180" s="185"/>
      <c r="AO180" s="185"/>
      <c r="AP180" s="185"/>
      <c r="AQ180" s="185"/>
      <c r="AR180" s="185"/>
      <c r="AS180" s="185"/>
      <c r="AT180" s="186"/>
      <c r="AU180" s="4"/>
      <c r="AV180" s="7"/>
    </row>
    <row r="181" spans="1:48" ht="13.5" customHeight="1">
      <c r="A181" s="3"/>
      <c r="B181" s="4"/>
      <c r="C181" s="184"/>
      <c r="D181" s="185"/>
      <c r="E181" s="185"/>
      <c r="F181" s="185"/>
      <c r="G181" s="185"/>
      <c r="H181" s="185"/>
      <c r="I181" s="185"/>
      <c r="J181" s="185"/>
      <c r="K181" s="185"/>
      <c r="L181" s="185"/>
      <c r="M181" s="185"/>
      <c r="N181" s="185"/>
      <c r="O181" s="185"/>
      <c r="P181" s="185"/>
      <c r="Q181" s="184"/>
      <c r="R181" s="185"/>
      <c r="S181" s="185"/>
      <c r="T181" s="185"/>
      <c r="U181" s="185"/>
      <c r="V181" s="185"/>
      <c r="W181" s="185"/>
      <c r="X181" s="185"/>
      <c r="Y181" s="185"/>
      <c r="Z181" s="185"/>
      <c r="AA181" s="185"/>
      <c r="AB181" s="185"/>
      <c r="AC181" s="185"/>
      <c r="AD181" s="185"/>
      <c r="AE181" s="185"/>
      <c r="AF181" s="185"/>
      <c r="AG181" s="185"/>
      <c r="AH181" s="185"/>
      <c r="AI181" s="185"/>
      <c r="AJ181" s="185"/>
      <c r="AK181" s="185"/>
      <c r="AL181" s="185"/>
      <c r="AM181" s="185"/>
      <c r="AN181" s="185"/>
      <c r="AO181" s="185"/>
      <c r="AP181" s="185"/>
      <c r="AQ181" s="185"/>
      <c r="AR181" s="185"/>
      <c r="AS181" s="185"/>
      <c r="AT181" s="186"/>
      <c r="AU181" s="4"/>
      <c r="AV181" s="7"/>
    </row>
    <row r="182" spans="1:48" ht="13.5" customHeight="1">
      <c r="A182" s="3"/>
      <c r="B182" s="4"/>
      <c r="C182" s="184"/>
      <c r="D182" s="185"/>
      <c r="E182" s="185"/>
      <c r="F182" s="185"/>
      <c r="G182" s="185"/>
      <c r="H182" s="185"/>
      <c r="I182" s="185"/>
      <c r="J182" s="185"/>
      <c r="K182" s="185"/>
      <c r="L182" s="185"/>
      <c r="M182" s="185"/>
      <c r="N182" s="185"/>
      <c r="O182" s="185"/>
      <c r="P182" s="185"/>
      <c r="Q182" s="184"/>
      <c r="R182" s="185"/>
      <c r="S182" s="185"/>
      <c r="T182" s="185"/>
      <c r="U182" s="185"/>
      <c r="V182" s="185"/>
      <c r="W182" s="185"/>
      <c r="X182" s="185"/>
      <c r="Y182" s="185"/>
      <c r="Z182" s="185"/>
      <c r="AA182" s="185"/>
      <c r="AB182" s="185"/>
      <c r="AC182" s="185"/>
      <c r="AD182" s="185"/>
      <c r="AE182" s="185"/>
      <c r="AF182" s="185"/>
      <c r="AG182" s="185"/>
      <c r="AH182" s="185"/>
      <c r="AI182" s="185"/>
      <c r="AJ182" s="185"/>
      <c r="AK182" s="185"/>
      <c r="AL182" s="185"/>
      <c r="AM182" s="185"/>
      <c r="AN182" s="185"/>
      <c r="AO182" s="185"/>
      <c r="AP182" s="185"/>
      <c r="AQ182" s="185"/>
      <c r="AR182" s="185"/>
      <c r="AS182" s="185"/>
      <c r="AT182" s="186"/>
      <c r="AU182" s="4"/>
      <c r="AV182" s="7"/>
    </row>
    <row r="183" spans="1:48" ht="13.5" customHeight="1">
      <c r="A183" s="3"/>
      <c r="B183" s="4"/>
      <c r="C183" s="184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5"/>
      <c r="O183" s="185"/>
      <c r="P183" s="185"/>
      <c r="Q183" s="184"/>
      <c r="R183" s="185"/>
      <c r="S183" s="185"/>
      <c r="T183" s="185"/>
      <c r="U183" s="185"/>
      <c r="V183" s="185"/>
      <c r="W183" s="185"/>
      <c r="X183" s="185"/>
      <c r="Y183" s="185"/>
      <c r="Z183" s="185"/>
      <c r="AA183" s="185"/>
      <c r="AB183" s="185"/>
      <c r="AC183" s="185"/>
      <c r="AD183" s="185"/>
      <c r="AE183" s="185"/>
      <c r="AF183" s="185"/>
      <c r="AG183" s="185"/>
      <c r="AH183" s="185"/>
      <c r="AI183" s="185"/>
      <c r="AJ183" s="185"/>
      <c r="AK183" s="185"/>
      <c r="AL183" s="185"/>
      <c r="AM183" s="185"/>
      <c r="AN183" s="185"/>
      <c r="AO183" s="185"/>
      <c r="AP183" s="185"/>
      <c r="AQ183" s="185"/>
      <c r="AR183" s="185"/>
      <c r="AS183" s="185"/>
      <c r="AT183" s="186"/>
      <c r="AU183" s="4"/>
      <c r="AV183" s="7"/>
    </row>
    <row r="184" spans="1:48" ht="13.5" customHeight="1">
      <c r="A184" s="3"/>
      <c r="B184" s="4"/>
      <c r="C184" s="184"/>
      <c r="D184" s="185"/>
      <c r="E184" s="185"/>
      <c r="F184" s="185"/>
      <c r="G184" s="185"/>
      <c r="H184" s="185"/>
      <c r="I184" s="185"/>
      <c r="J184" s="185"/>
      <c r="K184" s="185"/>
      <c r="L184" s="185"/>
      <c r="M184" s="185"/>
      <c r="N184" s="185"/>
      <c r="O184" s="185"/>
      <c r="P184" s="185"/>
      <c r="Q184" s="184"/>
      <c r="R184" s="185"/>
      <c r="S184" s="185"/>
      <c r="T184" s="185"/>
      <c r="U184" s="185"/>
      <c r="V184" s="185"/>
      <c r="W184" s="185"/>
      <c r="X184" s="185"/>
      <c r="Y184" s="185"/>
      <c r="Z184" s="185"/>
      <c r="AA184" s="185"/>
      <c r="AB184" s="185"/>
      <c r="AC184" s="185"/>
      <c r="AD184" s="185"/>
      <c r="AE184" s="185"/>
      <c r="AF184" s="185"/>
      <c r="AG184" s="185"/>
      <c r="AH184" s="185"/>
      <c r="AI184" s="185"/>
      <c r="AJ184" s="185"/>
      <c r="AK184" s="185"/>
      <c r="AL184" s="185"/>
      <c r="AM184" s="185"/>
      <c r="AN184" s="185"/>
      <c r="AO184" s="185"/>
      <c r="AP184" s="185"/>
      <c r="AQ184" s="185"/>
      <c r="AR184" s="185"/>
      <c r="AS184" s="185"/>
      <c r="AT184" s="186"/>
      <c r="AU184" s="4"/>
      <c r="AV184" s="7"/>
    </row>
    <row r="185" spans="1:48" ht="13.5" customHeight="1">
      <c r="A185" s="3"/>
      <c r="B185" s="4"/>
      <c r="C185" s="184"/>
      <c r="D185" s="185"/>
      <c r="E185" s="185"/>
      <c r="F185" s="185"/>
      <c r="G185" s="185"/>
      <c r="H185" s="185"/>
      <c r="I185" s="185"/>
      <c r="J185" s="185"/>
      <c r="K185" s="185"/>
      <c r="L185" s="185"/>
      <c r="M185" s="185"/>
      <c r="N185" s="185"/>
      <c r="O185" s="185"/>
      <c r="P185" s="185"/>
      <c r="Q185" s="184"/>
      <c r="R185" s="185"/>
      <c r="S185" s="185"/>
      <c r="T185" s="185"/>
      <c r="U185" s="185"/>
      <c r="V185" s="185"/>
      <c r="W185" s="185"/>
      <c r="X185" s="185"/>
      <c r="Y185" s="185"/>
      <c r="Z185" s="185"/>
      <c r="AA185" s="185"/>
      <c r="AB185" s="185"/>
      <c r="AC185" s="185"/>
      <c r="AD185" s="185"/>
      <c r="AE185" s="185"/>
      <c r="AF185" s="185"/>
      <c r="AG185" s="185"/>
      <c r="AH185" s="185"/>
      <c r="AI185" s="185"/>
      <c r="AJ185" s="185"/>
      <c r="AK185" s="185"/>
      <c r="AL185" s="185"/>
      <c r="AM185" s="185"/>
      <c r="AN185" s="185"/>
      <c r="AO185" s="185"/>
      <c r="AP185" s="185"/>
      <c r="AQ185" s="185"/>
      <c r="AR185" s="185"/>
      <c r="AS185" s="185"/>
      <c r="AT185" s="186"/>
      <c r="AU185" s="4"/>
      <c r="AV185" s="7"/>
    </row>
    <row r="186" spans="1:48" ht="13.5" customHeight="1">
      <c r="A186" s="3"/>
      <c r="B186" s="4"/>
      <c r="C186" s="184"/>
      <c r="D186" s="185"/>
      <c r="E186" s="185"/>
      <c r="F186" s="185"/>
      <c r="G186" s="185"/>
      <c r="H186" s="185"/>
      <c r="I186" s="185"/>
      <c r="J186" s="185"/>
      <c r="K186" s="185"/>
      <c r="L186" s="185"/>
      <c r="M186" s="185"/>
      <c r="N186" s="185"/>
      <c r="O186" s="185"/>
      <c r="P186" s="185"/>
      <c r="Q186" s="184"/>
      <c r="R186" s="185"/>
      <c r="S186" s="185"/>
      <c r="T186" s="185"/>
      <c r="U186" s="185"/>
      <c r="V186" s="185"/>
      <c r="W186" s="185"/>
      <c r="X186" s="185"/>
      <c r="Y186" s="185"/>
      <c r="Z186" s="185"/>
      <c r="AA186" s="185"/>
      <c r="AB186" s="185"/>
      <c r="AC186" s="185"/>
      <c r="AD186" s="185"/>
      <c r="AE186" s="185"/>
      <c r="AF186" s="185"/>
      <c r="AG186" s="185"/>
      <c r="AH186" s="185"/>
      <c r="AI186" s="185"/>
      <c r="AJ186" s="185"/>
      <c r="AK186" s="185"/>
      <c r="AL186" s="185"/>
      <c r="AM186" s="185"/>
      <c r="AN186" s="185"/>
      <c r="AO186" s="185"/>
      <c r="AP186" s="185"/>
      <c r="AQ186" s="185"/>
      <c r="AR186" s="185"/>
      <c r="AS186" s="185"/>
      <c r="AT186" s="186"/>
      <c r="AU186" s="4"/>
      <c r="AV186" s="7"/>
    </row>
    <row r="187" spans="1:48" ht="13.5" customHeight="1">
      <c r="A187" s="3"/>
      <c r="B187" s="4"/>
      <c r="C187" s="184"/>
      <c r="D187" s="185"/>
      <c r="E187" s="185"/>
      <c r="F187" s="185"/>
      <c r="G187" s="185"/>
      <c r="H187" s="185"/>
      <c r="I187" s="185"/>
      <c r="J187" s="185"/>
      <c r="K187" s="185"/>
      <c r="L187" s="185"/>
      <c r="M187" s="185"/>
      <c r="N187" s="185"/>
      <c r="O187" s="185"/>
      <c r="P187" s="185"/>
      <c r="Q187" s="184"/>
      <c r="R187" s="185"/>
      <c r="S187" s="185"/>
      <c r="T187" s="185"/>
      <c r="U187" s="185"/>
      <c r="V187" s="185"/>
      <c r="W187" s="185"/>
      <c r="X187" s="185"/>
      <c r="Y187" s="185"/>
      <c r="Z187" s="185"/>
      <c r="AA187" s="185"/>
      <c r="AB187" s="185"/>
      <c r="AC187" s="185"/>
      <c r="AD187" s="185"/>
      <c r="AE187" s="185"/>
      <c r="AF187" s="185"/>
      <c r="AG187" s="185"/>
      <c r="AH187" s="185"/>
      <c r="AI187" s="185"/>
      <c r="AJ187" s="185"/>
      <c r="AK187" s="185"/>
      <c r="AL187" s="185"/>
      <c r="AM187" s="185"/>
      <c r="AN187" s="185"/>
      <c r="AO187" s="185"/>
      <c r="AP187" s="185"/>
      <c r="AQ187" s="185"/>
      <c r="AR187" s="185"/>
      <c r="AS187" s="185"/>
      <c r="AT187" s="186"/>
      <c r="AU187" s="4"/>
      <c r="AV187" s="7"/>
    </row>
    <row r="188" spans="1:48" ht="13.5" customHeight="1">
      <c r="A188" s="3"/>
      <c r="B188" s="4"/>
      <c r="C188" s="184"/>
      <c r="D188" s="185"/>
      <c r="E188" s="185"/>
      <c r="F188" s="185"/>
      <c r="G188" s="185"/>
      <c r="H188" s="185"/>
      <c r="I188" s="185"/>
      <c r="J188" s="185"/>
      <c r="K188" s="185"/>
      <c r="L188" s="185"/>
      <c r="M188" s="185"/>
      <c r="N188" s="185"/>
      <c r="O188" s="185"/>
      <c r="P188" s="185"/>
      <c r="Q188" s="184"/>
      <c r="R188" s="185"/>
      <c r="S188" s="185"/>
      <c r="T188" s="185"/>
      <c r="U188" s="185"/>
      <c r="V188" s="185"/>
      <c r="W188" s="185"/>
      <c r="X188" s="185"/>
      <c r="Y188" s="185"/>
      <c r="Z188" s="185"/>
      <c r="AA188" s="185"/>
      <c r="AB188" s="185"/>
      <c r="AC188" s="185"/>
      <c r="AD188" s="185"/>
      <c r="AE188" s="185"/>
      <c r="AF188" s="185"/>
      <c r="AG188" s="185"/>
      <c r="AH188" s="185"/>
      <c r="AI188" s="185"/>
      <c r="AJ188" s="185"/>
      <c r="AK188" s="185"/>
      <c r="AL188" s="185"/>
      <c r="AM188" s="185"/>
      <c r="AN188" s="185"/>
      <c r="AO188" s="185"/>
      <c r="AP188" s="185"/>
      <c r="AQ188" s="185"/>
      <c r="AR188" s="185"/>
      <c r="AS188" s="185"/>
      <c r="AT188" s="186"/>
      <c r="AU188" s="4"/>
      <c r="AV188" s="7"/>
    </row>
    <row r="189" spans="1:48" ht="13.5" customHeight="1">
      <c r="A189" s="3"/>
      <c r="B189" s="4"/>
      <c r="C189" s="184"/>
      <c r="D189" s="185"/>
      <c r="E189" s="185"/>
      <c r="F189" s="185"/>
      <c r="G189" s="185"/>
      <c r="H189" s="185"/>
      <c r="I189" s="185"/>
      <c r="J189" s="185"/>
      <c r="K189" s="185"/>
      <c r="L189" s="185"/>
      <c r="M189" s="185"/>
      <c r="N189" s="185"/>
      <c r="O189" s="185"/>
      <c r="P189" s="185"/>
      <c r="Q189" s="184"/>
      <c r="R189" s="185"/>
      <c r="S189" s="185"/>
      <c r="T189" s="185"/>
      <c r="U189" s="185"/>
      <c r="V189" s="185"/>
      <c r="W189" s="185"/>
      <c r="X189" s="185"/>
      <c r="Y189" s="185"/>
      <c r="Z189" s="185"/>
      <c r="AA189" s="185"/>
      <c r="AB189" s="185"/>
      <c r="AC189" s="185"/>
      <c r="AD189" s="185"/>
      <c r="AE189" s="185"/>
      <c r="AF189" s="185"/>
      <c r="AG189" s="185"/>
      <c r="AH189" s="185"/>
      <c r="AI189" s="185"/>
      <c r="AJ189" s="185"/>
      <c r="AK189" s="185"/>
      <c r="AL189" s="185"/>
      <c r="AM189" s="185"/>
      <c r="AN189" s="185"/>
      <c r="AO189" s="185"/>
      <c r="AP189" s="185"/>
      <c r="AQ189" s="185"/>
      <c r="AR189" s="185"/>
      <c r="AS189" s="185"/>
      <c r="AT189" s="186"/>
      <c r="AU189" s="4"/>
      <c r="AV189" s="7"/>
    </row>
    <row r="190" spans="1:48" ht="13.5" customHeight="1">
      <c r="A190" s="3"/>
      <c r="B190" s="4"/>
      <c r="C190" s="184"/>
      <c r="D190" s="185"/>
      <c r="E190" s="185"/>
      <c r="F190" s="185"/>
      <c r="G190" s="185"/>
      <c r="H190" s="185"/>
      <c r="I190" s="185"/>
      <c r="J190" s="185"/>
      <c r="K190" s="185"/>
      <c r="L190" s="185"/>
      <c r="M190" s="185"/>
      <c r="N190" s="185"/>
      <c r="O190" s="185"/>
      <c r="P190" s="185"/>
      <c r="Q190" s="184"/>
      <c r="R190" s="185"/>
      <c r="S190" s="185"/>
      <c r="T190" s="185"/>
      <c r="U190" s="185"/>
      <c r="V190" s="185"/>
      <c r="W190" s="185"/>
      <c r="X190" s="185"/>
      <c r="Y190" s="185"/>
      <c r="Z190" s="185"/>
      <c r="AA190" s="185"/>
      <c r="AB190" s="185"/>
      <c r="AC190" s="185"/>
      <c r="AD190" s="185"/>
      <c r="AE190" s="185"/>
      <c r="AF190" s="185"/>
      <c r="AG190" s="185"/>
      <c r="AH190" s="185"/>
      <c r="AI190" s="185"/>
      <c r="AJ190" s="185"/>
      <c r="AK190" s="185"/>
      <c r="AL190" s="185"/>
      <c r="AM190" s="185"/>
      <c r="AN190" s="185"/>
      <c r="AO190" s="185"/>
      <c r="AP190" s="185"/>
      <c r="AQ190" s="185"/>
      <c r="AR190" s="185"/>
      <c r="AS190" s="185"/>
      <c r="AT190" s="186"/>
      <c r="AU190" s="4"/>
      <c r="AV190" s="7"/>
    </row>
    <row r="191" spans="1:48" ht="13.5" customHeight="1">
      <c r="A191" s="3"/>
      <c r="B191" s="4"/>
      <c r="C191" s="184"/>
      <c r="D191" s="185"/>
      <c r="E191" s="185"/>
      <c r="F191" s="185"/>
      <c r="G191" s="185"/>
      <c r="H191" s="185"/>
      <c r="I191" s="185"/>
      <c r="J191" s="185"/>
      <c r="K191" s="185"/>
      <c r="L191" s="185"/>
      <c r="M191" s="185"/>
      <c r="N191" s="185"/>
      <c r="O191" s="185"/>
      <c r="P191" s="185"/>
      <c r="Q191" s="184"/>
      <c r="R191" s="185"/>
      <c r="S191" s="185"/>
      <c r="T191" s="185"/>
      <c r="U191" s="185"/>
      <c r="V191" s="185"/>
      <c r="W191" s="185"/>
      <c r="X191" s="185"/>
      <c r="Y191" s="185"/>
      <c r="Z191" s="185"/>
      <c r="AA191" s="185"/>
      <c r="AB191" s="185"/>
      <c r="AC191" s="185"/>
      <c r="AD191" s="185"/>
      <c r="AE191" s="185"/>
      <c r="AF191" s="185"/>
      <c r="AG191" s="185"/>
      <c r="AH191" s="185"/>
      <c r="AI191" s="185"/>
      <c r="AJ191" s="185"/>
      <c r="AK191" s="185"/>
      <c r="AL191" s="185"/>
      <c r="AM191" s="185"/>
      <c r="AN191" s="185"/>
      <c r="AO191" s="185"/>
      <c r="AP191" s="185"/>
      <c r="AQ191" s="185"/>
      <c r="AR191" s="185"/>
      <c r="AS191" s="185"/>
      <c r="AT191" s="186"/>
      <c r="AU191" s="4"/>
      <c r="AV191" s="7"/>
    </row>
    <row r="192" spans="1:48" ht="13.5" customHeight="1">
      <c r="A192" s="3"/>
      <c r="B192" s="4"/>
      <c r="C192" s="184"/>
      <c r="D192" s="185"/>
      <c r="E192" s="185"/>
      <c r="F192" s="185"/>
      <c r="G192" s="185"/>
      <c r="H192" s="185"/>
      <c r="I192" s="185"/>
      <c r="J192" s="185"/>
      <c r="K192" s="185"/>
      <c r="L192" s="185"/>
      <c r="M192" s="185"/>
      <c r="N192" s="185"/>
      <c r="O192" s="185"/>
      <c r="P192" s="185"/>
      <c r="Q192" s="184"/>
      <c r="R192" s="185"/>
      <c r="S192" s="185"/>
      <c r="T192" s="185"/>
      <c r="U192" s="185"/>
      <c r="V192" s="185"/>
      <c r="W192" s="185"/>
      <c r="X192" s="185"/>
      <c r="Y192" s="185"/>
      <c r="Z192" s="185"/>
      <c r="AA192" s="185"/>
      <c r="AB192" s="185"/>
      <c r="AC192" s="185"/>
      <c r="AD192" s="185"/>
      <c r="AE192" s="185"/>
      <c r="AF192" s="185"/>
      <c r="AG192" s="185"/>
      <c r="AH192" s="185"/>
      <c r="AI192" s="185"/>
      <c r="AJ192" s="185"/>
      <c r="AK192" s="185"/>
      <c r="AL192" s="185"/>
      <c r="AM192" s="185"/>
      <c r="AN192" s="185"/>
      <c r="AO192" s="185"/>
      <c r="AP192" s="185"/>
      <c r="AQ192" s="185"/>
      <c r="AR192" s="185"/>
      <c r="AS192" s="185"/>
      <c r="AT192" s="186"/>
      <c r="AU192" s="4"/>
      <c r="AV192" s="7"/>
    </row>
    <row r="193" spans="1:48" ht="13.5" customHeight="1">
      <c r="A193" s="3"/>
      <c r="B193" s="4"/>
      <c r="C193" s="184"/>
      <c r="D193" s="185"/>
      <c r="E193" s="185"/>
      <c r="F193" s="185"/>
      <c r="G193" s="185"/>
      <c r="H193" s="185"/>
      <c r="I193" s="185"/>
      <c r="J193" s="185"/>
      <c r="K193" s="185"/>
      <c r="L193" s="185"/>
      <c r="M193" s="185"/>
      <c r="N193" s="185"/>
      <c r="O193" s="185"/>
      <c r="P193" s="185"/>
      <c r="Q193" s="184"/>
      <c r="R193" s="185"/>
      <c r="S193" s="185"/>
      <c r="T193" s="185"/>
      <c r="U193" s="185"/>
      <c r="V193" s="185"/>
      <c r="W193" s="185"/>
      <c r="X193" s="185"/>
      <c r="Y193" s="185"/>
      <c r="Z193" s="185"/>
      <c r="AA193" s="185"/>
      <c r="AB193" s="185"/>
      <c r="AC193" s="185"/>
      <c r="AD193" s="185"/>
      <c r="AE193" s="185"/>
      <c r="AF193" s="185"/>
      <c r="AG193" s="185"/>
      <c r="AH193" s="185"/>
      <c r="AI193" s="185"/>
      <c r="AJ193" s="185"/>
      <c r="AK193" s="185"/>
      <c r="AL193" s="185"/>
      <c r="AM193" s="185"/>
      <c r="AN193" s="185"/>
      <c r="AO193" s="185"/>
      <c r="AP193" s="185"/>
      <c r="AQ193" s="185"/>
      <c r="AR193" s="185"/>
      <c r="AS193" s="185"/>
      <c r="AT193" s="186"/>
      <c r="AU193" s="4"/>
      <c r="AV193" s="7"/>
    </row>
    <row r="194" spans="1:48" ht="13.5" customHeight="1">
      <c r="A194" s="3"/>
      <c r="B194" s="4"/>
      <c r="C194" s="184"/>
      <c r="D194" s="185"/>
      <c r="E194" s="185"/>
      <c r="F194" s="185"/>
      <c r="G194" s="185"/>
      <c r="H194" s="185"/>
      <c r="I194" s="185"/>
      <c r="J194" s="185"/>
      <c r="K194" s="185"/>
      <c r="L194" s="185"/>
      <c r="M194" s="185"/>
      <c r="N194" s="185"/>
      <c r="O194" s="185"/>
      <c r="P194" s="185"/>
      <c r="Q194" s="184"/>
      <c r="R194" s="185"/>
      <c r="S194" s="185"/>
      <c r="T194" s="185"/>
      <c r="U194" s="185"/>
      <c r="V194" s="185"/>
      <c r="W194" s="185"/>
      <c r="X194" s="185"/>
      <c r="Y194" s="185"/>
      <c r="Z194" s="185"/>
      <c r="AA194" s="185"/>
      <c r="AB194" s="185"/>
      <c r="AC194" s="185"/>
      <c r="AD194" s="185"/>
      <c r="AE194" s="185"/>
      <c r="AF194" s="185"/>
      <c r="AG194" s="185"/>
      <c r="AH194" s="185"/>
      <c r="AI194" s="185"/>
      <c r="AJ194" s="185"/>
      <c r="AK194" s="185"/>
      <c r="AL194" s="185"/>
      <c r="AM194" s="185"/>
      <c r="AN194" s="185"/>
      <c r="AO194" s="185"/>
      <c r="AP194" s="185"/>
      <c r="AQ194" s="185"/>
      <c r="AR194" s="185"/>
      <c r="AS194" s="185"/>
      <c r="AT194" s="186"/>
      <c r="AU194" s="4"/>
      <c r="AV194" s="7"/>
    </row>
    <row r="195" spans="1:48" ht="13.5" customHeight="1">
      <c r="A195" s="3"/>
      <c r="B195" s="4"/>
      <c r="C195" s="184"/>
      <c r="D195" s="185"/>
      <c r="E195" s="185"/>
      <c r="F195" s="185"/>
      <c r="G195" s="185"/>
      <c r="H195" s="185"/>
      <c r="I195" s="185"/>
      <c r="J195" s="185"/>
      <c r="K195" s="185"/>
      <c r="L195" s="185"/>
      <c r="M195" s="185"/>
      <c r="N195" s="185"/>
      <c r="O195" s="185"/>
      <c r="P195" s="185"/>
      <c r="Q195" s="184"/>
      <c r="R195" s="185"/>
      <c r="S195" s="185"/>
      <c r="T195" s="185"/>
      <c r="U195" s="185"/>
      <c r="V195" s="185"/>
      <c r="W195" s="185"/>
      <c r="X195" s="185"/>
      <c r="Y195" s="185"/>
      <c r="Z195" s="185"/>
      <c r="AA195" s="185"/>
      <c r="AB195" s="185"/>
      <c r="AC195" s="185"/>
      <c r="AD195" s="185"/>
      <c r="AE195" s="185"/>
      <c r="AF195" s="185"/>
      <c r="AG195" s="185"/>
      <c r="AH195" s="185"/>
      <c r="AI195" s="185"/>
      <c r="AJ195" s="185"/>
      <c r="AK195" s="185"/>
      <c r="AL195" s="185"/>
      <c r="AM195" s="185"/>
      <c r="AN195" s="185"/>
      <c r="AO195" s="185"/>
      <c r="AP195" s="185"/>
      <c r="AQ195" s="185"/>
      <c r="AR195" s="185"/>
      <c r="AS195" s="185"/>
      <c r="AT195" s="186"/>
      <c r="AU195" s="4"/>
      <c r="AV195" s="7"/>
    </row>
    <row r="196" spans="1:48" ht="13.5" customHeight="1">
      <c r="A196" s="3"/>
      <c r="B196" s="4"/>
      <c r="C196" s="184"/>
      <c r="D196" s="185"/>
      <c r="E196" s="185"/>
      <c r="F196" s="185"/>
      <c r="G196" s="185"/>
      <c r="H196" s="185"/>
      <c r="I196" s="185"/>
      <c r="J196" s="185"/>
      <c r="K196" s="185"/>
      <c r="L196" s="185"/>
      <c r="M196" s="185"/>
      <c r="N196" s="185"/>
      <c r="O196" s="185"/>
      <c r="P196" s="185"/>
      <c r="Q196" s="184"/>
      <c r="R196" s="185"/>
      <c r="S196" s="185"/>
      <c r="T196" s="185"/>
      <c r="U196" s="185"/>
      <c r="V196" s="185"/>
      <c r="W196" s="185"/>
      <c r="X196" s="185"/>
      <c r="Y196" s="185"/>
      <c r="Z196" s="185"/>
      <c r="AA196" s="185"/>
      <c r="AB196" s="185"/>
      <c r="AC196" s="185"/>
      <c r="AD196" s="185"/>
      <c r="AE196" s="185"/>
      <c r="AF196" s="185"/>
      <c r="AG196" s="185"/>
      <c r="AH196" s="185"/>
      <c r="AI196" s="185"/>
      <c r="AJ196" s="185"/>
      <c r="AK196" s="185"/>
      <c r="AL196" s="185"/>
      <c r="AM196" s="185"/>
      <c r="AN196" s="185"/>
      <c r="AO196" s="185"/>
      <c r="AP196" s="185"/>
      <c r="AQ196" s="185"/>
      <c r="AR196" s="185"/>
      <c r="AS196" s="185"/>
      <c r="AT196" s="186"/>
      <c r="AU196" s="4"/>
      <c r="AV196" s="7"/>
    </row>
    <row r="197" spans="1:48" ht="13.5" customHeight="1">
      <c r="A197" s="3"/>
      <c r="B197" s="4"/>
      <c r="C197" s="184"/>
      <c r="D197" s="185"/>
      <c r="E197" s="185"/>
      <c r="F197" s="185"/>
      <c r="G197" s="185"/>
      <c r="H197" s="185"/>
      <c r="I197" s="185"/>
      <c r="J197" s="185"/>
      <c r="K197" s="185"/>
      <c r="L197" s="185"/>
      <c r="M197" s="185"/>
      <c r="N197" s="185"/>
      <c r="O197" s="185"/>
      <c r="P197" s="185"/>
      <c r="Q197" s="184"/>
      <c r="R197" s="185"/>
      <c r="S197" s="185"/>
      <c r="T197" s="185"/>
      <c r="U197" s="185"/>
      <c r="V197" s="185"/>
      <c r="W197" s="185"/>
      <c r="X197" s="185"/>
      <c r="Y197" s="185"/>
      <c r="Z197" s="185"/>
      <c r="AA197" s="185"/>
      <c r="AB197" s="185"/>
      <c r="AC197" s="185"/>
      <c r="AD197" s="185"/>
      <c r="AE197" s="185"/>
      <c r="AF197" s="185"/>
      <c r="AG197" s="185"/>
      <c r="AH197" s="185"/>
      <c r="AI197" s="185"/>
      <c r="AJ197" s="185"/>
      <c r="AK197" s="185"/>
      <c r="AL197" s="185"/>
      <c r="AM197" s="185"/>
      <c r="AN197" s="185"/>
      <c r="AO197" s="185"/>
      <c r="AP197" s="185"/>
      <c r="AQ197" s="185"/>
      <c r="AR197" s="185"/>
      <c r="AS197" s="185"/>
      <c r="AT197" s="186"/>
      <c r="AU197" s="4"/>
      <c r="AV197" s="7"/>
    </row>
    <row r="198" spans="1:48" ht="13.5" customHeight="1">
      <c r="A198" s="3"/>
      <c r="B198" s="4"/>
      <c r="C198" s="184"/>
      <c r="D198" s="185"/>
      <c r="E198" s="185"/>
      <c r="F198" s="185"/>
      <c r="G198" s="185"/>
      <c r="H198" s="185"/>
      <c r="I198" s="185"/>
      <c r="J198" s="185"/>
      <c r="K198" s="185"/>
      <c r="L198" s="185"/>
      <c r="M198" s="185"/>
      <c r="N198" s="185"/>
      <c r="O198" s="185"/>
      <c r="P198" s="185"/>
      <c r="Q198" s="184"/>
      <c r="R198" s="185"/>
      <c r="S198" s="185"/>
      <c r="T198" s="185"/>
      <c r="U198" s="185"/>
      <c r="V198" s="185"/>
      <c r="W198" s="185"/>
      <c r="X198" s="185"/>
      <c r="Y198" s="185"/>
      <c r="Z198" s="185"/>
      <c r="AA198" s="185"/>
      <c r="AB198" s="185"/>
      <c r="AC198" s="185"/>
      <c r="AD198" s="185"/>
      <c r="AE198" s="185"/>
      <c r="AF198" s="185"/>
      <c r="AG198" s="185"/>
      <c r="AH198" s="185"/>
      <c r="AI198" s="185"/>
      <c r="AJ198" s="185"/>
      <c r="AK198" s="185"/>
      <c r="AL198" s="185"/>
      <c r="AM198" s="185"/>
      <c r="AN198" s="185"/>
      <c r="AO198" s="185"/>
      <c r="AP198" s="185"/>
      <c r="AQ198" s="185"/>
      <c r="AR198" s="185"/>
      <c r="AS198" s="185"/>
      <c r="AT198" s="186"/>
      <c r="AU198" s="4"/>
      <c r="AV198" s="7"/>
    </row>
    <row r="199" spans="1:48" ht="13.5" customHeight="1">
      <c r="A199" s="3"/>
      <c r="B199" s="4"/>
      <c r="C199" s="184"/>
      <c r="D199" s="185"/>
      <c r="E199" s="185"/>
      <c r="F199" s="185"/>
      <c r="G199" s="185"/>
      <c r="H199" s="185"/>
      <c r="I199" s="185"/>
      <c r="J199" s="185"/>
      <c r="K199" s="185"/>
      <c r="L199" s="185"/>
      <c r="M199" s="185"/>
      <c r="N199" s="185"/>
      <c r="O199" s="185"/>
      <c r="P199" s="185"/>
      <c r="Q199" s="184"/>
      <c r="R199" s="185"/>
      <c r="S199" s="185"/>
      <c r="T199" s="185"/>
      <c r="U199" s="185"/>
      <c r="V199" s="185"/>
      <c r="W199" s="185"/>
      <c r="X199" s="185"/>
      <c r="Y199" s="185"/>
      <c r="Z199" s="185"/>
      <c r="AA199" s="185"/>
      <c r="AB199" s="185"/>
      <c r="AC199" s="185"/>
      <c r="AD199" s="185"/>
      <c r="AE199" s="185"/>
      <c r="AF199" s="185"/>
      <c r="AG199" s="185"/>
      <c r="AH199" s="185"/>
      <c r="AI199" s="185"/>
      <c r="AJ199" s="185"/>
      <c r="AK199" s="185"/>
      <c r="AL199" s="185"/>
      <c r="AM199" s="185"/>
      <c r="AN199" s="185"/>
      <c r="AO199" s="185"/>
      <c r="AP199" s="185"/>
      <c r="AQ199" s="185"/>
      <c r="AR199" s="185"/>
      <c r="AS199" s="185"/>
      <c r="AT199" s="186"/>
      <c r="AU199" s="4"/>
      <c r="AV199" s="7"/>
    </row>
    <row r="200" spans="1:48" ht="13.5" customHeight="1">
      <c r="A200" s="3"/>
      <c r="B200" s="4"/>
      <c r="C200" s="184"/>
      <c r="D200" s="185"/>
      <c r="E200" s="185"/>
      <c r="F200" s="185"/>
      <c r="G200" s="185"/>
      <c r="H200" s="185"/>
      <c r="I200" s="185"/>
      <c r="J200" s="185"/>
      <c r="K200" s="185"/>
      <c r="L200" s="185"/>
      <c r="M200" s="185"/>
      <c r="N200" s="185"/>
      <c r="O200" s="185"/>
      <c r="P200" s="185"/>
      <c r="Q200" s="184"/>
      <c r="R200" s="185"/>
      <c r="S200" s="185"/>
      <c r="T200" s="185"/>
      <c r="U200" s="185"/>
      <c r="V200" s="185"/>
      <c r="W200" s="185"/>
      <c r="X200" s="185"/>
      <c r="Y200" s="185"/>
      <c r="Z200" s="185"/>
      <c r="AA200" s="185"/>
      <c r="AB200" s="185"/>
      <c r="AC200" s="185"/>
      <c r="AD200" s="185"/>
      <c r="AE200" s="185"/>
      <c r="AF200" s="185"/>
      <c r="AG200" s="185"/>
      <c r="AH200" s="185"/>
      <c r="AI200" s="185"/>
      <c r="AJ200" s="185"/>
      <c r="AK200" s="185"/>
      <c r="AL200" s="185"/>
      <c r="AM200" s="185"/>
      <c r="AN200" s="185"/>
      <c r="AO200" s="185"/>
      <c r="AP200" s="185"/>
      <c r="AQ200" s="185"/>
      <c r="AR200" s="185"/>
      <c r="AS200" s="185"/>
      <c r="AT200" s="186"/>
      <c r="AU200" s="4"/>
      <c r="AV200" s="7"/>
    </row>
    <row r="201" spans="1:48" ht="13.5" customHeight="1">
      <c r="A201" s="3"/>
      <c r="B201" s="4"/>
      <c r="C201" s="184"/>
      <c r="D201" s="185"/>
      <c r="E201" s="185"/>
      <c r="F201" s="185"/>
      <c r="G201" s="185"/>
      <c r="H201" s="185"/>
      <c r="I201" s="185"/>
      <c r="J201" s="185"/>
      <c r="K201" s="185"/>
      <c r="L201" s="185"/>
      <c r="M201" s="185"/>
      <c r="N201" s="185"/>
      <c r="O201" s="185"/>
      <c r="P201" s="185"/>
      <c r="Q201" s="184"/>
      <c r="R201" s="185"/>
      <c r="S201" s="185"/>
      <c r="T201" s="185"/>
      <c r="U201" s="185"/>
      <c r="V201" s="185"/>
      <c r="W201" s="185"/>
      <c r="X201" s="185"/>
      <c r="Y201" s="185"/>
      <c r="Z201" s="185"/>
      <c r="AA201" s="185"/>
      <c r="AB201" s="185"/>
      <c r="AC201" s="185"/>
      <c r="AD201" s="185"/>
      <c r="AE201" s="185"/>
      <c r="AF201" s="185"/>
      <c r="AG201" s="185"/>
      <c r="AH201" s="185"/>
      <c r="AI201" s="185"/>
      <c r="AJ201" s="185"/>
      <c r="AK201" s="185"/>
      <c r="AL201" s="185"/>
      <c r="AM201" s="185"/>
      <c r="AN201" s="185"/>
      <c r="AO201" s="185"/>
      <c r="AP201" s="185"/>
      <c r="AQ201" s="185"/>
      <c r="AR201" s="185"/>
      <c r="AS201" s="185"/>
      <c r="AT201" s="186"/>
      <c r="AU201" s="4"/>
      <c r="AV201" s="7"/>
    </row>
    <row r="202" spans="1:48" ht="13.5" customHeight="1">
      <c r="A202" s="3"/>
      <c r="B202" s="4"/>
      <c r="C202" s="184"/>
      <c r="D202" s="185"/>
      <c r="E202" s="185"/>
      <c r="F202" s="185"/>
      <c r="G202" s="185"/>
      <c r="H202" s="185"/>
      <c r="I202" s="185"/>
      <c r="J202" s="185"/>
      <c r="K202" s="185"/>
      <c r="L202" s="185"/>
      <c r="M202" s="185"/>
      <c r="N202" s="185"/>
      <c r="O202" s="185"/>
      <c r="P202" s="185"/>
      <c r="Q202" s="184"/>
      <c r="R202" s="185"/>
      <c r="S202" s="185"/>
      <c r="T202" s="185"/>
      <c r="U202" s="185"/>
      <c r="V202" s="185"/>
      <c r="W202" s="185"/>
      <c r="X202" s="185"/>
      <c r="Y202" s="185"/>
      <c r="Z202" s="185"/>
      <c r="AA202" s="185"/>
      <c r="AB202" s="185"/>
      <c r="AC202" s="185"/>
      <c r="AD202" s="185"/>
      <c r="AE202" s="185"/>
      <c r="AF202" s="185"/>
      <c r="AG202" s="185"/>
      <c r="AH202" s="185"/>
      <c r="AI202" s="185"/>
      <c r="AJ202" s="185"/>
      <c r="AK202" s="185"/>
      <c r="AL202" s="185"/>
      <c r="AM202" s="185"/>
      <c r="AN202" s="185"/>
      <c r="AO202" s="185"/>
      <c r="AP202" s="185"/>
      <c r="AQ202" s="185"/>
      <c r="AR202" s="185"/>
      <c r="AS202" s="185"/>
      <c r="AT202" s="186"/>
      <c r="AU202" s="4"/>
      <c r="AV202" s="7"/>
    </row>
    <row r="203" spans="1:48" ht="13.5" customHeight="1">
      <c r="A203" s="3"/>
      <c r="B203" s="4"/>
      <c r="C203" s="184"/>
      <c r="D203" s="185"/>
      <c r="E203" s="185"/>
      <c r="F203" s="185"/>
      <c r="G203" s="185"/>
      <c r="H203" s="185"/>
      <c r="I203" s="185"/>
      <c r="J203" s="185"/>
      <c r="K203" s="185"/>
      <c r="L203" s="185"/>
      <c r="M203" s="185"/>
      <c r="N203" s="185"/>
      <c r="O203" s="185"/>
      <c r="P203" s="185"/>
      <c r="Q203" s="184"/>
      <c r="R203" s="185"/>
      <c r="S203" s="185"/>
      <c r="T203" s="185"/>
      <c r="U203" s="185"/>
      <c r="V203" s="185"/>
      <c r="W203" s="185"/>
      <c r="X203" s="185"/>
      <c r="Y203" s="185"/>
      <c r="Z203" s="185"/>
      <c r="AA203" s="185"/>
      <c r="AB203" s="185"/>
      <c r="AC203" s="185"/>
      <c r="AD203" s="185"/>
      <c r="AE203" s="185"/>
      <c r="AF203" s="185"/>
      <c r="AG203" s="185"/>
      <c r="AH203" s="185"/>
      <c r="AI203" s="185"/>
      <c r="AJ203" s="185"/>
      <c r="AK203" s="185"/>
      <c r="AL203" s="185"/>
      <c r="AM203" s="185"/>
      <c r="AN203" s="185"/>
      <c r="AO203" s="185"/>
      <c r="AP203" s="185"/>
      <c r="AQ203" s="185"/>
      <c r="AR203" s="185"/>
      <c r="AS203" s="185"/>
      <c r="AT203" s="186"/>
      <c r="AU203" s="4"/>
      <c r="AV203" s="7"/>
    </row>
    <row r="204" spans="1:48" ht="13.5" customHeight="1">
      <c r="A204" s="3"/>
      <c r="B204" s="4"/>
      <c r="C204" s="187"/>
      <c r="D204" s="188"/>
      <c r="E204" s="188"/>
      <c r="F204" s="188"/>
      <c r="G204" s="188"/>
      <c r="H204" s="188"/>
      <c r="I204" s="188"/>
      <c r="J204" s="188"/>
      <c r="K204" s="188"/>
      <c r="L204" s="188"/>
      <c r="M204" s="188"/>
      <c r="N204" s="188"/>
      <c r="O204" s="188"/>
      <c r="P204" s="188"/>
      <c r="Q204" s="187"/>
      <c r="R204" s="188"/>
      <c r="S204" s="188"/>
      <c r="T204" s="188"/>
      <c r="U204" s="188"/>
      <c r="V204" s="188"/>
      <c r="W204" s="188"/>
      <c r="X204" s="188"/>
      <c r="Y204" s="188"/>
      <c r="Z204" s="188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8"/>
      <c r="AR204" s="188"/>
      <c r="AS204" s="188"/>
      <c r="AT204" s="189"/>
      <c r="AU204" s="4"/>
      <c r="AV204" s="7"/>
    </row>
    <row r="205" spans="1:48" ht="13.5" customHeight="1">
      <c r="A205" s="3"/>
      <c r="B205" s="4"/>
      <c r="C205" s="5"/>
      <c r="D205" s="6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7"/>
    </row>
    <row r="206" spans="1:48" ht="13.5" customHeight="1">
      <c r="A206" s="3"/>
      <c r="B206" s="4"/>
      <c r="C206" s="5"/>
      <c r="D206" s="6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7"/>
    </row>
    <row r="207" spans="1:48" ht="13.5" customHeight="1">
      <c r="A207" s="3"/>
      <c r="B207" s="4"/>
      <c r="C207" s="5"/>
      <c r="D207" s="6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7"/>
    </row>
    <row r="208" spans="1:48" ht="13.5" customHeight="1">
      <c r="A208" s="3"/>
      <c r="B208" s="4"/>
      <c r="C208" s="5"/>
      <c r="D208" s="6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7"/>
    </row>
    <row r="209" spans="1:51" ht="13.5" customHeight="1">
      <c r="A209" s="3"/>
      <c r="B209" s="4"/>
      <c r="C209" s="5"/>
      <c r="D209" s="6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7"/>
      <c r="AX209" s="62"/>
      <c r="AY209" s="62"/>
    </row>
    <row r="210" spans="1:51" ht="13.5" customHeight="1">
      <c r="A210" s="3"/>
      <c r="B210" s="4"/>
      <c r="C210" s="5"/>
      <c r="D210" s="6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7"/>
      <c r="AX210" s="62"/>
      <c r="AY210" s="62"/>
    </row>
    <row r="211" spans="1:51" ht="13.5" customHeight="1">
      <c r="A211" s="3"/>
      <c r="B211" s="4"/>
      <c r="C211" s="5"/>
      <c r="D211" s="6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7"/>
      <c r="AX211" s="62"/>
      <c r="AY211" s="62"/>
    </row>
    <row r="212" spans="1:51" ht="13.5" customHeight="1">
      <c r="A212" s="3"/>
      <c r="B212" s="4"/>
      <c r="C212" s="5"/>
      <c r="D212" s="6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7"/>
      <c r="AX212" s="62"/>
      <c r="AY212" s="62"/>
    </row>
    <row r="213" spans="1:51" ht="13.5" customHeight="1">
      <c r="A213" s="3"/>
      <c r="B213" s="4"/>
      <c r="C213" s="5"/>
      <c r="D213" s="6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7"/>
      <c r="AX213" s="62"/>
      <c r="AY213" s="62"/>
    </row>
    <row r="214" spans="1:51" ht="13.5" customHeight="1">
      <c r="A214" s="3"/>
      <c r="B214" s="4"/>
      <c r="C214" s="5"/>
      <c r="D214" s="6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7"/>
      <c r="AX214" s="62"/>
      <c r="AY214" s="62"/>
    </row>
    <row r="215" spans="1:51" ht="13.5" customHeight="1" thickBot="1">
      <c r="A215" s="8"/>
      <c r="B215" s="9"/>
      <c r="C215" s="10"/>
      <c r="D215" s="11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12"/>
      <c r="AX215" s="238" t="str">
        <f>HYPERLINK("#$A$1","目次へ")</f>
        <v>目次へ</v>
      </c>
      <c r="AY215" s="239"/>
    </row>
    <row r="216" spans="1:51" s="135" customFormat="1" ht="15">
      <c r="A216" s="240" t="s">
        <v>40</v>
      </c>
      <c r="B216" s="241"/>
      <c r="C216" s="242"/>
      <c r="D216" s="243" t="str">
        <f>システム名</f>
        <v>○✕システム</v>
      </c>
      <c r="E216" s="244"/>
      <c r="F216" s="244"/>
      <c r="G216" s="244"/>
      <c r="H216" s="244"/>
      <c r="I216" s="244"/>
      <c r="J216" s="244"/>
      <c r="K216" s="244"/>
      <c r="L216" s="244"/>
      <c r="M216" s="244"/>
      <c r="N216" s="244"/>
      <c r="O216" s="245"/>
      <c r="P216" s="246" t="s">
        <v>0</v>
      </c>
      <c r="Q216" s="241"/>
      <c r="R216" s="242"/>
      <c r="S216" s="247" t="str">
        <f>IF(顧客名&lt;&gt;"",顧客名,"")</f>
        <v>○✕○✕株式会社</v>
      </c>
      <c r="T216" s="248"/>
      <c r="U216" s="248"/>
      <c r="V216" s="248"/>
      <c r="W216" s="248"/>
      <c r="X216" s="248"/>
      <c r="Y216" s="248"/>
      <c r="Z216" s="248"/>
      <c r="AA216" s="248"/>
      <c r="AB216" s="248"/>
      <c r="AC216" s="248"/>
      <c r="AD216" s="248"/>
      <c r="AE216" s="248"/>
      <c r="AF216" s="249"/>
      <c r="AG216" s="250" t="s">
        <v>35</v>
      </c>
      <c r="AH216" s="250"/>
      <c r="AI216" s="250"/>
      <c r="AJ216" s="251">
        <f>作成日</f>
        <v>44287</v>
      </c>
      <c r="AK216" s="252"/>
      <c r="AL216" s="252"/>
      <c r="AM216" s="252"/>
      <c r="AN216" s="252"/>
      <c r="AO216" s="250" t="s">
        <v>36</v>
      </c>
      <c r="AP216" s="250"/>
      <c r="AQ216" s="250"/>
      <c r="AR216" s="253" t="str">
        <f>作成者</f>
        <v>小泉　文平</v>
      </c>
      <c r="AS216" s="254"/>
      <c r="AT216" s="254"/>
      <c r="AU216" s="254"/>
      <c r="AV216" s="255"/>
      <c r="AX216" s="274"/>
      <c r="AY216" s="275"/>
    </row>
    <row r="217" spans="1:51" s="135" customFormat="1" ht="15">
      <c r="A217" s="258" t="s">
        <v>30</v>
      </c>
      <c r="B217" s="259"/>
      <c r="C217" s="260"/>
      <c r="D217" s="261"/>
      <c r="E217" s="262"/>
      <c r="F217" s="262"/>
      <c r="G217" s="262"/>
      <c r="H217" s="262"/>
      <c r="I217" s="262"/>
      <c r="J217" s="262"/>
      <c r="K217" s="262"/>
      <c r="L217" s="262"/>
      <c r="M217" s="262"/>
      <c r="N217" s="262"/>
      <c r="O217" s="263"/>
      <c r="P217" s="264" t="s">
        <v>2</v>
      </c>
      <c r="Q217" s="259"/>
      <c r="R217" s="260"/>
      <c r="S217" s="265"/>
      <c r="T217" s="266"/>
      <c r="U217" s="266"/>
      <c r="V217" s="266"/>
      <c r="W217" s="266"/>
      <c r="X217" s="266"/>
      <c r="Y217" s="266"/>
      <c r="Z217" s="266"/>
      <c r="AA217" s="266"/>
      <c r="AB217" s="266"/>
      <c r="AC217" s="266"/>
      <c r="AD217" s="266"/>
      <c r="AE217" s="266"/>
      <c r="AF217" s="267"/>
      <c r="AG217" s="268" t="s">
        <v>34</v>
      </c>
      <c r="AH217" s="268"/>
      <c r="AI217" s="268"/>
      <c r="AJ217" s="269"/>
      <c r="AK217" s="270"/>
      <c r="AL217" s="270"/>
      <c r="AM217" s="270"/>
      <c r="AN217" s="270"/>
      <c r="AO217" s="268" t="s">
        <v>33</v>
      </c>
      <c r="AP217" s="268"/>
      <c r="AQ217" s="268"/>
      <c r="AR217" s="271"/>
      <c r="AS217" s="272"/>
      <c r="AT217" s="272"/>
      <c r="AU217" s="272"/>
      <c r="AV217" s="273"/>
      <c r="AX217" s="275"/>
      <c r="AY217" s="275"/>
    </row>
    <row r="218" spans="1:51" s="135" customFormat="1" ht="13.5" customHeight="1">
      <c r="A218" s="59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60"/>
    </row>
    <row r="219" spans="1:51" s="135" customFormat="1" ht="13.5" customHeight="1">
      <c r="A219" s="3"/>
      <c r="B219" s="28" t="s">
        <v>149</v>
      </c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7"/>
    </row>
    <row r="220" spans="1:51" s="135" customFormat="1" ht="13.5" customHeight="1">
      <c r="A220" s="3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7"/>
    </row>
    <row r="221" spans="1:51" s="135" customFormat="1" ht="13.5" customHeight="1">
      <c r="A221" s="3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7"/>
    </row>
    <row r="222" spans="1:51" s="135" customFormat="1" ht="13.5" customHeight="1">
      <c r="A222" s="3"/>
      <c r="B222" s="134"/>
      <c r="C222" s="149" t="s">
        <v>160</v>
      </c>
      <c r="D222" s="150"/>
      <c r="E222" s="150"/>
      <c r="F222" s="150"/>
      <c r="G222" s="150"/>
      <c r="H222" s="150"/>
      <c r="I222" s="150"/>
      <c r="J222" s="150"/>
      <c r="K222" s="150"/>
      <c r="L222" s="150"/>
      <c r="M222" s="150"/>
      <c r="N222" s="150"/>
      <c r="O222" s="150"/>
      <c r="P222" s="150"/>
      <c r="Q222" s="150"/>
      <c r="R222" s="150"/>
      <c r="S222" s="150"/>
      <c r="T222" s="150"/>
      <c r="U222" s="150"/>
      <c r="V222" s="150"/>
      <c r="W222" s="150"/>
      <c r="X222" s="150"/>
      <c r="Y222" s="150"/>
      <c r="Z222" s="150"/>
      <c r="AA222" s="150"/>
      <c r="AB222" s="150"/>
      <c r="AC222" s="150"/>
      <c r="AD222" s="150"/>
      <c r="AE222" s="150"/>
      <c r="AF222" s="150"/>
      <c r="AG222" s="150"/>
      <c r="AH222" s="150"/>
      <c r="AI222" s="150"/>
      <c r="AJ222" s="150"/>
      <c r="AK222" s="150"/>
      <c r="AL222" s="150"/>
      <c r="AM222" s="150"/>
      <c r="AN222" s="150"/>
      <c r="AO222" s="150"/>
      <c r="AP222" s="150"/>
      <c r="AQ222" s="150"/>
      <c r="AR222" s="150"/>
      <c r="AS222" s="150"/>
      <c r="AT222" s="150"/>
      <c r="AU222" s="151"/>
      <c r="AV222" s="7"/>
    </row>
    <row r="223" spans="1:51" s="135" customFormat="1" ht="13.5" customHeight="1">
      <c r="A223" s="3"/>
      <c r="B223" s="134"/>
      <c r="C223" s="152" t="s">
        <v>22</v>
      </c>
      <c r="D223" s="150"/>
      <c r="E223" s="150"/>
      <c r="F223" s="150"/>
      <c r="G223" s="150"/>
      <c r="H223" s="150"/>
      <c r="I223" s="150"/>
      <c r="J223" s="151"/>
      <c r="K223" s="153" t="s">
        <v>161</v>
      </c>
      <c r="L223" s="154"/>
      <c r="M223" s="154"/>
      <c r="N223" s="154"/>
      <c r="O223" s="154"/>
      <c r="P223" s="154"/>
      <c r="Q223" s="154"/>
      <c r="R223" s="154"/>
      <c r="S223" s="154"/>
      <c r="T223" s="154"/>
      <c r="U223" s="154"/>
      <c r="V223" s="154"/>
      <c r="W223" s="154"/>
      <c r="X223" s="154"/>
      <c r="Y223" s="154"/>
      <c r="Z223" s="154"/>
      <c r="AA223" s="154"/>
      <c r="AB223" s="154"/>
      <c r="AC223" s="154"/>
      <c r="AD223" s="154"/>
      <c r="AE223" s="154"/>
      <c r="AF223" s="154"/>
      <c r="AG223" s="154"/>
      <c r="AH223" s="154"/>
      <c r="AI223" s="154"/>
      <c r="AJ223" s="154"/>
      <c r="AK223" s="154"/>
      <c r="AL223" s="154"/>
      <c r="AM223" s="154"/>
      <c r="AN223" s="154"/>
      <c r="AO223" s="154"/>
      <c r="AP223" s="154"/>
      <c r="AQ223" s="154"/>
      <c r="AR223" s="154"/>
      <c r="AS223" s="154"/>
      <c r="AT223" s="154"/>
      <c r="AU223" s="155"/>
      <c r="AV223" s="7"/>
    </row>
    <row r="224" spans="1:51" s="135" customFormat="1" ht="13.5" customHeight="1">
      <c r="A224" s="3"/>
      <c r="B224" s="134"/>
      <c r="C224" s="149" t="s">
        <v>162</v>
      </c>
      <c r="D224" s="150"/>
      <c r="E224" s="150"/>
      <c r="F224" s="150"/>
      <c r="G224" s="150"/>
      <c r="H224" s="150"/>
      <c r="I224" s="150"/>
      <c r="J224" s="150"/>
      <c r="K224" s="150"/>
      <c r="L224" s="150"/>
      <c r="M224" s="150"/>
      <c r="N224" s="150"/>
      <c r="O224" s="150"/>
      <c r="P224" s="150"/>
      <c r="Q224" s="150"/>
      <c r="R224" s="150"/>
      <c r="S224" s="150"/>
      <c r="T224" s="150"/>
      <c r="U224" s="150"/>
      <c r="V224" s="150"/>
      <c r="W224" s="150"/>
      <c r="X224" s="150"/>
      <c r="Y224" s="150"/>
      <c r="Z224" s="150"/>
      <c r="AA224" s="150"/>
      <c r="AB224" s="150"/>
      <c r="AC224" s="150"/>
      <c r="AD224" s="150"/>
      <c r="AE224" s="150"/>
      <c r="AF224" s="150"/>
      <c r="AG224" s="150"/>
      <c r="AH224" s="150"/>
      <c r="AI224" s="150"/>
      <c r="AJ224" s="150"/>
      <c r="AK224" s="150"/>
      <c r="AL224" s="150"/>
      <c r="AM224" s="150"/>
      <c r="AN224" s="150"/>
      <c r="AO224" s="150"/>
      <c r="AP224" s="150"/>
      <c r="AQ224" s="150"/>
      <c r="AR224" s="150"/>
      <c r="AS224" s="150"/>
      <c r="AT224" s="150"/>
      <c r="AU224" s="151"/>
      <c r="AV224" s="7"/>
    </row>
    <row r="225" spans="1:48" s="135" customFormat="1" ht="13.5" customHeight="1">
      <c r="A225" s="3"/>
      <c r="B225" s="134"/>
      <c r="C225" s="152" t="s">
        <v>163</v>
      </c>
      <c r="D225" s="152" t="s">
        <v>164</v>
      </c>
      <c r="E225" s="156"/>
      <c r="F225" s="156"/>
      <c r="G225" s="156"/>
      <c r="H225" s="156"/>
      <c r="I225" s="156"/>
      <c r="J225" s="156"/>
      <c r="K225" s="156"/>
      <c r="L225" s="156"/>
      <c r="M225" s="156"/>
      <c r="N225" s="156"/>
      <c r="O225" s="157"/>
      <c r="P225" s="152" t="s">
        <v>165</v>
      </c>
      <c r="Q225" s="156"/>
      <c r="R225" s="156"/>
      <c r="S225" s="156"/>
      <c r="T225" s="156"/>
      <c r="U225" s="156"/>
      <c r="V225" s="156"/>
      <c r="W225" s="156"/>
      <c r="X225" s="156"/>
      <c r="Y225" s="156"/>
      <c r="Z225" s="156"/>
      <c r="AA225" s="156"/>
      <c r="AB225" s="156"/>
      <c r="AC225" s="156"/>
      <c r="AD225" s="156"/>
      <c r="AE225" s="152" t="s">
        <v>166</v>
      </c>
      <c r="AF225" s="156"/>
      <c r="AG225" s="157"/>
      <c r="AH225" s="152" t="s">
        <v>167</v>
      </c>
      <c r="AI225" s="157"/>
      <c r="AJ225" s="152" t="s">
        <v>168</v>
      </c>
      <c r="AK225" s="156"/>
      <c r="AL225" s="157"/>
      <c r="AM225" s="156" t="s">
        <v>169</v>
      </c>
      <c r="AN225" s="156"/>
      <c r="AO225" s="156"/>
      <c r="AP225" s="156"/>
      <c r="AQ225" s="156"/>
      <c r="AR225" s="156"/>
      <c r="AS225" s="156"/>
      <c r="AT225" s="156"/>
      <c r="AU225" s="157"/>
      <c r="AV225" s="7"/>
    </row>
    <row r="226" spans="1:48" s="135" customFormat="1" ht="13.5" customHeight="1">
      <c r="A226" s="3"/>
      <c r="B226" s="134"/>
      <c r="C226" s="130">
        <v>1</v>
      </c>
      <c r="D226" s="131"/>
      <c r="E226" s="132"/>
      <c r="F226" s="132"/>
      <c r="G226" s="132"/>
      <c r="H226" s="132"/>
      <c r="I226" s="132"/>
      <c r="J226" s="132"/>
      <c r="K226" s="132"/>
      <c r="L226" s="132"/>
      <c r="M226" s="132"/>
      <c r="N226" s="132"/>
      <c r="O226" s="133"/>
      <c r="P226" s="131"/>
      <c r="Q226" s="132"/>
      <c r="R226" s="132"/>
      <c r="S226" s="132"/>
      <c r="T226" s="132"/>
      <c r="U226" s="132"/>
      <c r="V226" s="132"/>
      <c r="W226" s="132"/>
      <c r="X226" s="132"/>
      <c r="Y226" s="132"/>
      <c r="Z226" s="193"/>
      <c r="AA226" s="132"/>
      <c r="AB226" s="132"/>
      <c r="AC226" s="132"/>
      <c r="AD226" s="132"/>
      <c r="AE226" s="158"/>
      <c r="AF226" s="159"/>
      <c r="AG226" s="160"/>
      <c r="AH226" s="158"/>
      <c r="AI226" s="160"/>
      <c r="AJ226" s="158"/>
      <c r="AK226" s="159"/>
      <c r="AL226" s="160"/>
      <c r="AM226" s="131"/>
      <c r="AN226" s="132"/>
      <c r="AO226" s="132"/>
      <c r="AP226" s="132"/>
      <c r="AQ226" s="132"/>
      <c r="AR226" s="132"/>
      <c r="AS226" s="132"/>
      <c r="AT226" s="132"/>
      <c r="AU226" s="133"/>
      <c r="AV226" s="7"/>
    </row>
    <row r="227" spans="1:48" s="135" customFormat="1" ht="13.5" customHeight="1">
      <c r="A227" s="3"/>
      <c r="B227" s="134"/>
      <c r="C227" s="130">
        <v>2</v>
      </c>
      <c r="D227" s="131"/>
      <c r="E227" s="132"/>
      <c r="F227" s="132"/>
      <c r="G227" s="132"/>
      <c r="H227" s="132"/>
      <c r="I227" s="132"/>
      <c r="J227" s="132"/>
      <c r="K227" s="132"/>
      <c r="L227" s="132"/>
      <c r="M227" s="132"/>
      <c r="N227" s="132"/>
      <c r="O227" s="133"/>
      <c r="P227" s="131"/>
      <c r="Q227" s="132"/>
      <c r="R227" s="132"/>
      <c r="S227" s="132"/>
      <c r="T227" s="132"/>
      <c r="U227" s="132"/>
      <c r="V227" s="132"/>
      <c r="W227" s="132"/>
      <c r="X227" s="132"/>
      <c r="Y227" s="132"/>
      <c r="Z227" s="193"/>
      <c r="AA227" s="132"/>
      <c r="AB227" s="132"/>
      <c r="AC227" s="132"/>
      <c r="AD227" s="132"/>
      <c r="AE227" s="158"/>
      <c r="AF227" s="159"/>
      <c r="AG227" s="160"/>
      <c r="AH227" s="158"/>
      <c r="AI227" s="160"/>
      <c r="AJ227" s="158"/>
      <c r="AK227" s="159"/>
      <c r="AL227" s="160"/>
      <c r="AM227" s="132"/>
      <c r="AN227" s="132"/>
      <c r="AO227" s="132"/>
      <c r="AP227" s="132"/>
      <c r="AQ227" s="132"/>
      <c r="AR227" s="132"/>
      <c r="AS227" s="132"/>
      <c r="AT227" s="132"/>
      <c r="AU227" s="133"/>
      <c r="AV227" s="7"/>
    </row>
    <row r="228" spans="1:48" s="135" customFormat="1" ht="13.5" customHeight="1">
      <c r="A228" s="3"/>
      <c r="B228" s="134"/>
      <c r="C228" s="130">
        <v>3</v>
      </c>
      <c r="D228" s="131"/>
      <c r="E228" s="132"/>
      <c r="F228" s="132"/>
      <c r="G228" s="132"/>
      <c r="H228" s="132"/>
      <c r="I228" s="132"/>
      <c r="J228" s="132"/>
      <c r="K228" s="132"/>
      <c r="L228" s="132"/>
      <c r="M228" s="132"/>
      <c r="N228" s="132"/>
      <c r="O228" s="133"/>
      <c r="P228" s="131"/>
      <c r="Q228" s="132"/>
      <c r="R228" s="132"/>
      <c r="S228" s="132"/>
      <c r="T228" s="132"/>
      <c r="U228" s="132"/>
      <c r="V228" s="132"/>
      <c r="W228" s="132"/>
      <c r="X228" s="132"/>
      <c r="Y228" s="132"/>
      <c r="Z228" s="193"/>
      <c r="AA228" s="132"/>
      <c r="AB228" s="132"/>
      <c r="AC228" s="132"/>
      <c r="AD228" s="132"/>
      <c r="AE228" s="158"/>
      <c r="AF228" s="159"/>
      <c r="AG228" s="160"/>
      <c r="AH228" s="158"/>
      <c r="AI228" s="160"/>
      <c r="AJ228" s="158"/>
      <c r="AK228" s="159"/>
      <c r="AL228" s="160"/>
      <c r="AM228" s="131"/>
      <c r="AN228" s="132"/>
      <c r="AO228" s="132"/>
      <c r="AP228" s="132"/>
      <c r="AQ228" s="132"/>
      <c r="AR228" s="132"/>
      <c r="AS228" s="132"/>
      <c r="AT228" s="132"/>
      <c r="AU228" s="133"/>
      <c r="AV228" s="7"/>
    </row>
    <row r="229" spans="1:48" s="135" customFormat="1" ht="13.5" customHeight="1">
      <c r="A229" s="3"/>
      <c r="B229" s="134"/>
      <c r="C229" s="130">
        <v>4</v>
      </c>
      <c r="D229" s="131"/>
      <c r="E229" s="132"/>
      <c r="F229" s="132"/>
      <c r="G229" s="132"/>
      <c r="H229" s="132"/>
      <c r="I229" s="132"/>
      <c r="J229" s="132"/>
      <c r="K229" s="132"/>
      <c r="L229" s="132"/>
      <c r="M229" s="132"/>
      <c r="N229" s="132"/>
      <c r="O229" s="133"/>
      <c r="P229" s="131"/>
      <c r="Q229" s="132"/>
      <c r="R229" s="132"/>
      <c r="S229" s="132"/>
      <c r="T229" s="132"/>
      <c r="U229" s="132"/>
      <c r="V229" s="132"/>
      <c r="W229" s="132"/>
      <c r="X229" s="132"/>
      <c r="Y229" s="132"/>
      <c r="Z229" s="193"/>
      <c r="AA229" s="132"/>
      <c r="AB229" s="132"/>
      <c r="AC229" s="132"/>
      <c r="AD229" s="132"/>
      <c r="AE229" s="158"/>
      <c r="AF229" s="159"/>
      <c r="AG229" s="160"/>
      <c r="AH229" s="158"/>
      <c r="AI229" s="160"/>
      <c r="AJ229" s="158"/>
      <c r="AK229" s="159"/>
      <c r="AL229" s="160"/>
      <c r="AM229" s="132"/>
      <c r="AN229" s="132"/>
      <c r="AO229" s="132"/>
      <c r="AP229" s="132"/>
      <c r="AQ229" s="132"/>
      <c r="AR229" s="132"/>
      <c r="AS229" s="132"/>
      <c r="AT229" s="132"/>
      <c r="AU229" s="133"/>
      <c r="AV229" s="7"/>
    </row>
    <row r="230" spans="1:48" s="135" customFormat="1" ht="13.5" customHeight="1">
      <c r="A230" s="3"/>
      <c r="B230" s="134"/>
      <c r="C230" s="130">
        <v>5</v>
      </c>
      <c r="D230" s="131"/>
      <c r="E230" s="132"/>
      <c r="F230" s="132"/>
      <c r="G230" s="132"/>
      <c r="H230" s="132"/>
      <c r="I230" s="132"/>
      <c r="J230" s="132"/>
      <c r="K230" s="132"/>
      <c r="L230" s="132"/>
      <c r="M230" s="132"/>
      <c r="N230" s="132"/>
      <c r="O230" s="133"/>
      <c r="P230" s="131"/>
      <c r="Q230" s="132"/>
      <c r="R230" s="132"/>
      <c r="S230" s="132"/>
      <c r="T230" s="132"/>
      <c r="U230" s="132"/>
      <c r="V230" s="132"/>
      <c r="W230" s="132"/>
      <c r="X230" s="132"/>
      <c r="Y230" s="132"/>
      <c r="Z230" s="193"/>
      <c r="AA230" s="132"/>
      <c r="AB230" s="132"/>
      <c r="AC230" s="132"/>
      <c r="AD230" s="132"/>
      <c r="AE230" s="158"/>
      <c r="AF230" s="159"/>
      <c r="AG230" s="160"/>
      <c r="AH230" s="158"/>
      <c r="AI230" s="160"/>
      <c r="AJ230" s="158"/>
      <c r="AK230" s="159"/>
      <c r="AL230" s="160"/>
      <c r="AM230" s="132"/>
      <c r="AN230" s="132"/>
      <c r="AO230" s="132"/>
      <c r="AP230" s="132"/>
      <c r="AQ230" s="132"/>
      <c r="AR230" s="132"/>
      <c r="AS230" s="132"/>
      <c r="AT230" s="132"/>
      <c r="AU230" s="133"/>
      <c r="AV230" s="7"/>
    </row>
    <row r="231" spans="1:48" s="135" customFormat="1" ht="13.5" customHeight="1">
      <c r="A231" s="3"/>
      <c r="B231" s="134"/>
      <c r="C231" s="130">
        <v>6</v>
      </c>
      <c r="D231" s="131"/>
      <c r="E231" s="132"/>
      <c r="F231" s="132"/>
      <c r="G231" s="132"/>
      <c r="H231" s="132"/>
      <c r="I231" s="132"/>
      <c r="J231" s="132"/>
      <c r="K231" s="132"/>
      <c r="L231" s="132"/>
      <c r="M231" s="132"/>
      <c r="N231" s="132"/>
      <c r="O231" s="133"/>
      <c r="P231" s="131"/>
      <c r="Q231" s="132"/>
      <c r="R231" s="132"/>
      <c r="S231" s="132"/>
      <c r="T231" s="132"/>
      <c r="U231" s="132"/>
      <c r="V231" s="132"/>
      <c r="W231" s="132"/>
      <c r="X231" s="132"/>
      <c r="Y231" s="132"/>
      <c r="Z231" s="193"/>
      <c r="AA231" s="132"/>
      <c r="AB231" s="132"/>
      <c r="AC231" s="132"/>
      <c r="AD231" s="132"/>
      <c r="AE231" s="158"/>
      <c r="AF231" s="159"/>
      <c r="AG231" s="160"/>
      <c r="AH231" s="158"/>
      <c r="AI231" s="160"/>
      <c r="AJ231" s="158"/>
      <c r="AK231" s="159"/>
      <c r="AL231" s="160"/>
      <c r="AM231" s="131"/>
      <c r="AN231" s="132"/>
      <c r="AO231" s="132"/>
      <c r="AP231" s="132"/>
      <c r="AQ231" s="132"/>
      <c r="AR231" s="132"/>
      <c r="AS231" s="132"/>
      <c r="AT231" s="132"/>
      <c r="AU231" s="133"/>
      <c r="AV231" s="7"/>
    </row>
    <row r="232" spans="1:48" s="135" customFormat="1" ht="13.5" customHeight="1">
      <c r="A232" s="3"/>
      <c r="B232" s="134"/>
      <c r="C232" s="130">
        <v>7</v>
      </c>
      <c r="D232" s="131"/>
      <c r="E232" s="132"/>
      <c r="F232" s="132"/>
      <c r="G232" s="132"/>
      <c r="H232" s="132"/>
      <c r="I232" s="132"/>
      <c r="J232" s="132"/>
      <c r="K232" s="132"/>
      <c r="L232" s="132"/>
      <c r="M232" s="132"/>
      <c r="N232" s="132"/>
      <c r="O232" s="133"/>
      <c r="P232" s="131"/>
      <c r="Q232" s="132"/>
      <c r="R232" s="132"/>
      <c r="S232" s="132"/>
      <c r="T232" s="132"/>
      <c r="U232" s="132"/>
      <c r="V232" s="132"/>
      <c r="W232" s="132"/>
      <c r="X232" s="132"/>
      <c r="Y232" s="132"/>
      <c r="Z232" s="193"/>
      <c r="AA232" s="132"/>
      <c r="AB232" s="132"/>
      <c r="AC232" s="132"/>
      <c r="AD232" s="132"/>
      <c r="AE232" s="158"/>
      <c r="AF232" s="159"/>
      <c r="AG232" s="160"/>
      <c r="AH232" s="158"/>
      <c r="AI232" s="160"/>
      <c r="AJ232" s="158"/>
      <c r="AK232" s="159"/>
      <c r="AL232" s="160"/>
      <c r="AM232" s="132"/>
      <c r="AN232" s="132"/>
      <c r="AO232" s="132"/>
      <c r="AP232" s="132"/>
      <c r="AQ232" s="132"/>
      <c r="AR232" s="132"/>
      <c r="AS232" s="132"/>
      <c r="AT232" s="132"/>
      <c r="AU232" s="133"/>
      <c r="AV232" s="7"/>
    </row>
    <row r="233" spans="1:48" s="135" customFormat="1" ht="13.5" customHeight="1">
      <c r="A233" s="3"/>
      <c r="B233" s="134"/>
      <c r="C233" s="130">
        <v>8</v>
      </c>
      <c r="D233" s="131"/>
      <c r="E233" s="132"/>
      <c r="F233" s="132"/>
      <c r="G233" s="132"/>
      <c r="H233" s="132"/>
      <c r="I233" s="132"/>
      <c r="J233" s="132"/>
      <c r="K233" s="132"/>
      <c r="L233" s="132"/>
      <c r="M233" s="132"/>
      <c r="N233" s="132"/>
      <c r="O233" s="133"/>
      <c r="P233" s="131"/>
      <c r="Q233" s="132"/>
      <c r="R233" s="132"/>
      <c r="S233" s="132"/>
      <c r="T233" s="132"/>
      <c r="U233" s="132"/>
      <c r="V233" s="132"/>
      <c r="W233" s="132"/>
      <c r="X233" s="132"/>
      <c r="Y233" s="132"/>
      <c r="Z233" s="193"/>
      <c r="AA233" s="132"/>
      <c r="AB233" s="132"/>
      <c r="AC233" s="132"/>
      <c r="AD233" s="132"/>
      <c r="AE233" s="158"/>
      <c r="AF233" s="159"/>
      <c r="AG233" s="160"/>
      <c r="AH233" s="158"/>
      <c r="AI233" s="160"/>
      <c r="AJ233" s="158"/>
      <c r="AK233" s="159"/>
      <c r="AL233" s="160"/>
      <c r="AM233" s="132"/>
      <c r="AN233" s="132"/>
      <c r="AO233" s="132"/>
      <c r="AP233" s="132"/>
      <c r="AQ233" s="132"/>
      <c r="AR233" s="132"/>
      <c r="AS233" s="132"/>
      <c r="AT233" s="132"/>
      <c r="AU233" s="133"/>
      <c r="AV233" s="7"/>
    </row>
    <row r="234" spans="1:48" s="135" customFormat="1" ht="13.5" customHeight="1">
      <c r="A234" s="3"/>
      <c r="B234" s="134"/>
      <c r="C234" s="130">
        <v>9</v>
      </c>
      <c r="D234" s="131"/>
      <c r="E234" s="132"/>
      <c r="F234" s="132"/>
      <c r="G234" s="132"/>
      <c r="H234" s="132"/>
      <c r="I234" s="132"/>
      <c r="J234" s="132"/>
      <c r="K234" s="132"/>
      <c r="L234" s="132"/>
      <c r="M234" s="132"/>
      <c r="N234" s="132"/>
      <c r="O234" s="133"/>
      <c r="P234" s="131"/>
      <c r="Q234" s="132"/>
      <c r="R234" s="132"/>
      <c r="S234" s="132"/>
      <c r="T234" s="132"/>
      <c r="U234" s="132"/>
      <c r="V234" s="132"/>
      <c r="W234" s="132"/>
      <c r="X234" s="132"/>
      <c r="Y234" s="132"/>
      <c r="Z234" s="193"/>
      <c r="AA234" s="132"/>
      <c r="AB234" s="132"/>
      <c r="AC234" s="132"/>
      <c r="AD234" s="132"/>
      <c r="AE234" s="158"/>
      <c r="AF234" s="159"/>
      <c r="AG234" s="160"/>
      <c r="AH234" s="158"/>
      <c r="AI234" s="160"/>
      <c r="AJ234" s="158"/>
      <c r="AK234" s="159"/>
      <c r="AL234" s="160"/>
      <c r="AM234" s="132"/>
      <c r="AN234" s="132"/>
      <c r="AO234" s="132"/>
      <c r="AP234" s="132"/>
      <c r="AQ234" s="132"/>
      <c r="AR234" s="132"/>
      <c r="AS234" s="132"/>
      <c r="AT234" s="132"/>
      <c r="AU234" s="133"/>
      <c r="AV234" s="7"/>
    </row>
    <row r="235" spans="1:48" s="135" customFormat="1" ht="13.5" customHeight="1">
      <c r="A235" s="3"/>
      <c r="B235" s="134"/>
      <c r="C235" s="130">
        <v>10</v>
      </c>
      <c r="D235" s="131"/>
      <c r="E235" s="132"/>
      <c r="F235" s="132"/>
      <c r="G235" s="132"/>
      <c r="H235" s="132"/>
      <c r="I235" s="132"/>
      <c r="J235" s="132"/>
      <c r="K235" s="132"/>
      <c r="L235" s="132"/>
      <c r="M235" s="132"/>
      <c r="N235" s="132"/>
      <c r="O235" s="133"/>
      <c r="P235" s="131"/>
      <c r="Q235" s="132"/>
      <c r="R235" s="132"/>
      <c r="S235" s="132"/>
      <c r="T235" s="132"/>
      <c r="U235" s="132"/>
      <c r="V235" s="132"/>
      <c r="W235" s="132"/>
      <c r="X235" s="132"/>
      <c r="Y235" s="132"/>
      <c r="Z235" s="193"/>
      <c r="AA235" s="132"/>
      <c r="AB235" s="132"/>
      <c r="AC235" s="132"/>
      <c r="AD235" s="132"/>
      <c r="AE235" s="158"/>
      <c r="AF235" s="159"/>
      <c r="AG235" s="160"/>
      <c r="AH235" s="158"/>
      <c r="AI235" s="160"/>
      <c r="AJ235" s="158"/>
      <c r="AK235" s="159"/>
      <c r="AL235" s="160"/>
      <c r="AM235" s="132"/>
      <c r="AN235" s="132"/>
      <c r="AO235" s="132"/>
      <c r="AP235" s="132"/>
      <c r="AQ235" s="132"/>
      <c r="AR235" s="132"/>
      <c r="AS235" s="132"/>
      <c r="AT235" s="132"/>
      <c r="AU235" s="133"/>
      <c r="AV235" s="7"/>
    </row>
    <row r="236" spans="1:48" s="135" customFormat="1" ht="13.5" customHeight="1">
      <c r="A236" s="3"/>
      <c r="B236" s="134"/>
      <c r="C236" s="130">
        <v>11</v>
      </c>
      <c r="D236" s="131"/>
      <c r="E236" s="132"/>
      <c r="F236" s="132"/>
      <c r="G236" s="132"/>
      <c r="H236" s="132"/>
      <c r="I236" s="132"/>
      <c r="J236" s="132"/>
      <c r="K236" s="132"/>
      <c r="L236" s="132"/>
      <c r="M236" s="132"/>
      <c r="N236" s="132"/>
      <c r="O236" s="133"/>
      <c r="P236" s="131"/>
      <c r="Q236" s="132"/>
      <c r="R236" s="132"/>
      <c r="S236" s="132"/>
      <c r="T236" s="132"/>
      <c r="U236" s="132"/>
      <c r="V236" s="132"/>
      <c r="W236" s="132"/>
      <c r="X236" s="132"/>
      <c r="Y236" s="132"/>
      <c r="Z236" s="193"/>
      <c r="AA236" s="132"/>
      <c r="AB236" s="132"/>
      <c r="AC236" s="132"/>
      <c r="AD236" s="132"/>
      <c r="AE236" s="158"/>
      <c r="AF236" s="159"/>
      <c r="AG236" s="160"/>
      <c r="AH236" s="158"/>
      <c r="AI236" s="160"/>
      <c r="AJ236" s="158"/>
      <c r="AK236" s="159"/>
      <c r="AL236" s="160"/>
      <c r="AM236" s="132"/>
      <c r="AN236" s="132"/>
      <c r="AO236" s="132"/>
      <c r="AP236" s="132"/>
      <c r="AQ236" s="132"/>
      <c r="AR236" s="132"/>
      <c r="AS236" s="132"/>
      <c r="AT236" s="132"/>
      <c r="AU236" s="133"/>
      <c r="AV236" s="7"/>
    </row>
    <row r="237" spans="1:48" s="135" customFormat="1" ht="13.5" customHeight="1">
      <c r="A237" s="3"/>
      <c r="B237" s="134"/>
      <c r="C237" s="130">
        <v>12</v>
      </c>
      <c r="D237" s="131"/>
      <c r="E237" s="132"/>
      <c r="F237" s="132"/>
      <c r="G237" s="132"/>
      <c r="H237" s="132"/>
      <c r="I237" s="132"/>
      <c r="J237" s="132"/>
      <c r="K237" s="132"/>
      <c r="L237" s="132"/>
      <c r="M237" s="132"/>
      <c r="N237" s="132"/>
      <c r="O237" s="133"/>
      <c r="P237" s="131"/>
      <c r="Q237" s="132"/>
      <c r="R237" s="132"/>
      <c r="S237" s="132"/>
      <c r="T237" s="132"/>
      <c r="U237" s="132"/>
      <c r="V237" s="132"/>
      <c r="W237" s="132"/>
      <c r="X237" s="132"/>
      <c r="Y237" s="132"/>
      <c r="Z237" s="193"/>
      <c r="AA237" s="132"/>
      <c r="AB237" s="132"/>
      <c r="AC237" s="132"/>
      <c r="AD237" s="132"/>
      <c r="AE237" s="158"/>
      <c r="AF237" s="159"/>
      <c r="AG237" s="160"/>
      <c r="AH237" s="158"/>
      <c r="AI237" s="160"/>
      <c r="AJ237" s="158"/>
      <c r="AK237" s="159"/>
      <c r="AL237" s="160"/>
      <c r="AM237" s="132"/>
      <c r="AN237" s="132"/>
      <c r="AO237" s="132"/>
      <c r="AP237" s="132"/>
      <c r="AQ237" s="132"/>
      <c r="AR237" s="132"/>
      <c r="AS237" s="132"/>
      <c r="AT237" s="132"/>
      <c r="AU237" s="133"/>
      <c r="AV237" s="7"/>
    </row>
    <row r="238" spans="1:48" s="135" customFormat="1" ht="13.5" customHeight="1">
      <c r="A238" s="3"/>
      <c r="B238" s="134"/>
      <c r="C238" s="130">
        <v>13</v>
      </c>
      <c r="D238" s="131"/>
      <c r="E238" s="132"/>
      <c r="F238" s="132"/>
      <c r="G238" s="132"/>
      <c r="H238" s="132"/>
      <c r="I238" s="132"/>
      <c r="J238" s="132"/>
      <c r="K238" s="132"/>
      <c r="L238" s="132"/>
      <c r="M238" s="132"/>
      <c r="N238" s="132"/>
      <c r="O238" s="133"/>
      <c r="P238" s="131"/>
      <c r="Q238" s="132"/>
      <c r="R238" s="132"/>
      <c r="S238" s="132"/>
      <c r="T238" s="132"/>
      <c r="U238" s="132"/>
      <c r="V238" s="132"/>
      <c r="W238" s="132"/>
      <c r="X238" s="132"/>
      <c r="Y238" s="132"/>
      <c r="Z238" s="193"/>
      <c r="AA238" s="132"/>
      <c r="AB238" s="132"/>
      <c r="AC238" s="132"/>
      <c r="AD238" s="132"/>
      <c r="AE238" s="158"/>
      <c r="AF238" s="159"/>
      <c r="AG238" s="160"/>
      <c r="AH238" s="158"/>
      <c r="AI238" s="160"/>
      <c r="AJ238" s="158"/>
      <c r="AK238" s="159"/>
      <c r="AL238" s="160"/>
      <c r="AM238" s="132"/>
      <c r="AN238" s="132"/>
      <c r="AO238" s="132"/>
      <c r="AP238" s="132"/>
      <c r="AQ238" s="132"/>
      <c r="AR238" s="132"/>
      <c r="AS238" s="132"/>
      <c r="AT238" s="132"/>
      <c r="AU238" s="133"/>
      <c r="AV238" s="7"/>
    </row>
    <row r="239" spans="1:48" s="135" customFormat="1" ht="13.5" customHeight="1">
      <c r="A239" s="3"/>
      <c r="B239" s="134"/>
      <c r="C239" s="130">
        <v>14</v>
      </c>
      <c r="D239" s="131"/>
      <c r="E239" s="132"/>
      <c r="F239" s="132"/>
      <c r="G239" s="132"/>
      <c r="H239" s="132"/>
      <c r="I239" s="132"/>
      <c r="J239" s="132"/>
      <c r="K239" s="132"/>
      <c r="L239" s="132"/>
      <c r="M239" s="132"/>
      <c r="N239" s="132"/>
      <c r="O239" s="133"/>
      <c r="P239" s="131"/>
      <c r="Q239" s="132"/>
      <c r="R239" s="132"/>
      <c r="S239" s="132"/>
      <c r="T239" s="132"/>
      <c r="U239" s="132"/>
      <c r="V239" s="132"/>
      <c r="W239" s="132"/>
      <c r="X239" s="132"/>
      <c r="Y239" s="132"/>
      <c r="Z239" s="193"/>
      <c r="AA239" s="132"/>
      <c r="AB239" s="132"/>
      <c r="AC239" s="132"/>
      <c r="AD239" s="132"/>
      <c r="AE239" s="158"/>
      <c r="AF239" s="159"/>
      <c r="AG239" s="160"/>
      <c r="AH239" s="158"/>
      <c r="AI239" s="160"/>
      <c r="AJ239" s="158"/>
      <c r="AK239" s="159"/>
      <c r="AL239" s="160"/>
      <c r="AM239" s="132"/>
      <c r="AN239" s="132"/>
      <c r="AO239" s="132"/>
      <c r="AP239" s="132"/>
      <c r="AQ239" s="132"/>
      <c r="AR239" s="132"/>
      <c r="AS239" s="132"/>
      <c r="AT239" s="132"/>
      <c r="AU239" s="133"/>
      <c r="AV239" s="7"/>
    </row>
    <row r="240" spans="1:48" s="135" customFormat="1" ht="13.5" customHeight="1">
      <c r="A240" s="3"/>
      <c r="B240" s="134"/>
      <c r="C240" s="130">
        <v>15</v>
      </c>
      <c r="D240" s="131"/>
      <c r="E240" s="132"/>
      <c r="F240" s="132"/>
      <c r="G240" s="132"/>
      <c r="H240" s="132"/>
      <c r="I240" s="132"/>
      <c r="J240" s="132"/>
      <c r="K240" s="132"/>
      <c r="L240" s="132"/>
      <c r="M240" s="132"/>
      <c r="N240" s="132"/>
      <c r="O240" s="133"/>
      <c r="P240" s="131"/>
      <c r="Q240" s="132"/>
      <c r="R240" s="132"/>
      <c r="S240" s="132"/>
      <c r="T240" s="132"/>
      <c r="U240" s="132"/>
      <c r="V240" s="132"/>
      <c r="W240" s="132"/>
      <c r="X240" s="132"/>
      <c r="Y240" s="132"/>
      <c r="Z240" s="193"/>
      <c r="AA240" s="132"/>
      <c r="AB240" s="132"/>
      <c r="AC240" s="132"/>
      <c r="AD240" s="132"/>
      <c r="AE240" s="158"/>
      <c r="AF240" s="159"/>
      <c r="AG240" s="160"/>
      <c r="AH240" s="158"/>
      <c r="AI240" s="160"/>
      <c r="AJ240" s="158"/>
      <c r="AK240" s="159"/>
      <c r="AL240" s="160"/>
      <c r="AM240" s="132"/>
      <c r="AN240" s="132"/>
      <c r="AO240" s="132"/>
      <c r="AP240" s="132"/>
      <c r="AQ240" s="132"/>
      <c r="AR240" s="132"/>
      <c r="AS240" s="132"/>
      <c r="AT240" s="132"/>
      <c r="AU240" s="133"/>
      <c r="AV240" s="7"/>
    </row>
    <row r="241" spans="1:48" s="135" customFormat="1" ht="13.5" customHeight="1">
      <c r="A241" s="3"/>
      <c r="B241" s="134"/>
      <c r="C241" s="149" t="s">
        <v>170</v>
      </c>
      <c r="D241" s="156"/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156"/>
      <c r="R241" s="156"/>
      <c r="S241" s="156"/>
      <c r="T241" s="156"/>
      <c r="U241" s="156"/>
      <c r="V241" s="156"/>
      <c r="W241" s="156"/>
      <c r="X241" s="156"/>
      <c r="Y241" s="156"/>
      <c r="Z241" s="156"/>
      <c r="AA241" s="156"/>
      <c r="AB241" s="156"/>
      <c r="AC241" s="156"/>
      <c r="AD241" s="156"/>
      <c r="AE241" s="156"/>
      <c r="AF241" s="156"/>
      <c r="AG241" s="156"/>
      <c r="AH241" s="156"/>
      <c r="AI241" s="156"/>
      <c r="AJ241" s="156"/>
      <c r="AK241" s="156"/>
      <c r="AL241" s="156"/>
      <c r="AM241" s="156"/>
      <c r="AN241" s="156"/>
      <c r="AO241" s="156"/>
      <c r="AP241" s="156"/>
      <c r="AQ241" s="156"/>
      <c r="AR241" s="156"/>
      <c r="AS241" s="156"/>
      <c r="AT241" s="156"/>
      <c r="AU241" s="157"/>
      <c r="AV241" s="7"/>
    </row>
    <row r="242" spans="1:48" s="135" customFormat="1" ht="13.5" customHeight="1">
      <c r="A242" s="3"/>
      <c r="B242" s="134"/>
      <c r="C242" s="30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71"/>
      <c r="AV242" s="7"/>
    </row>
    <row r="243" spans="1:48" s="135" customFormat="1" ht="13.5" customHeight="1">
      <c r="A243" s="3"/>
      <c r="B243" s="134"/>
      <c r="C243" s="57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61"/>
      <c r="AV243" s="7"/>
    </row>
    <row r="244" spans="1:48" s="135" customFormat="1" ht="13.5" customHeight="1">
      <c r="A244" s="3"/>
      <c r="B244" s="134"/>
      <c r="C244" s="57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61"/>
      <c r="AV244" s="7"/>
    </row>
    <row r="245" spans="1:48" s="135" customFormat="1" ht="13.5" customHeight="1">
      <c r="A245" s="3"/>
      <c r="B245" s="134"/>
      <c r="C245" s="57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61"/>
      <c r="AV245" s="7"/>
    </row>
    <row r="246" spans="1:48" s="135" customFormat="1" ht="13.5" customHeight="1">
      <c r="A246" s="3"/>
      <c r="B246" s="134"/>
      <c r="C246" s="57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61"/>
      <c r="AV246" s="7"/>
    </row>
    <row r="247" spans="1:48" s="135" customFormat="1" ht="13.5" customHeight="1">
      <c r="A247" s="3"/>
      <c r="B247" s="134"/>
      <c r="C247" s="57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61"/>
      <c r="AV247" s="7"/>
    </row>
    <row r="248" spans="1:48" s="135" customFormat="1" ht="13.5" customHeight="1">
      <c r="A248" s="3"/>
      <c r="B248" s="134"/>
      <c r="C248" s="57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61"/>
      <c r="AV248" s="7"/>
    </row>
    <row r="249" spans="1:48" s="135" customFormat="1" ht="13.5" customHeight="1">
      <c r="A249" s="3"/>
      <c r="B249" s="134"/>
      <c r="C249" s="57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61"/>
      <c r="AV249" s="7"/>
    </row>
    <row r="250" spans="1:48" s="135" customFormat="1" ht="13.5" customHeight="1">
      <c r="A250" s="3"/>
      <c r="B250" s="134"/>
      <c r="C250" s="57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61"/>
      <c r="AV250" s="7"/>
    </row>
    <row r="251" spans="1:48" s="135" customFormat="1" ht="13.5" customHeight="1">
      <c r="A251" s="3"/>
      <c r="B251" s="134"/>
      <c r="C251" s="57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61"/>
      <c r="AV251" s="7"/>
    </row>
    <row r="252" spans="1:48" s="135" customFormat="1" ht="13.5" customHeight="1">
      <c r="A252" s="3"/>
      <c r="B252" s="134"/>
      <c r="C252" s="57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61"/>
      <c r="AV252" s="7"/>
    </row>
    <row r="253" spans="1:48" s="135" customFormat="1" ht="13.5" customHeight="1">
      <c r="A253" s="3"/>
      <c r="B253" s="134"/>
      <c r="C253" s="57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61"/>
      <c r="AV253" s="7"/>
    </row>
    <row r="254" spans="1:48" s="135" customFormat="1" ht="13.5" customHeight="1">
      <c r="A254" s="3"/>
      <c r="B254" s="134"/>
      <c r="C254" s="57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61"/>
      <c r="AV254" s="7"/>
    </row>
    <row r="255" spans="1:48" s="135" customFormat="1" ht="13.5" customHeight="1">
      <c r="A255" s="3"/>
      <c r="B255" s="134"/>
      <c r="C255" s="57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61"/>
      <c r="AV255" s="7"/>
    </row>
    <row r="256" spans="1:48" s="135" customFormat="1" ht="13.5" customHeight="1">
      <c r="A256" s="3"/>
      <c r="B256" s="134"/>
      <c r="C256" s="57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61"/>
      <c r="AV256" s="7"/>
    </row>
    <row r="257" spans="1:51" s="135" customFormat="1" ht="13.5" customHeight="1">
      <c r="A257" s="3"/>
      <c r="B257" s="134"/>
      <c r="C257" s="73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F257" s="74"/>
      <c r="AG257" s="74"/>
      <c r="AH257" s="74"/>
      <c r="AI257" s="74"/>
      <c r="AJ257" s="74"/>
      <c r="AK257" s="74"/>
      <c r="AL257" s="74"/>
      <c r="AM257" s="74"/>
      <c r="AN257" s="74"/>
      <c r="AO257" s="74"/>
      <c r="AP257" s="74"/>
      <c r="AQ257" s="74"/>
      <c r="AR257" s="74"/>
      <c r="AS257" s="74"/>
      <c r="AT257" s="74"/>
      <c r="AU257" s="72"/>
      <c r="AV257" s="7"/>
    </row>
    <row r="258" spans="1:51" s="135" customFormat="1" ht="13.5" customHeight="1" thickBot="1">
      <c r="A258" s="8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12"/>
      <c r="AX258" s="238" t="str">
        <f>HYPERLINK("#$A$1","目次へ")</f>
        <v>目次へ</v>
      </c>
      <c r="AY258" s="238"/>
    </row>
    <row r="259" spans="1:51" s="135" customFormat="1" ht="15">
      <c r="A259" s="240" t="s">
        <v>40</v>
      </c>
      <c r="B259" s="241"/>
      <c r="C259" s="242"/>
      <c r="D259" s="243" t="str">
        <f>システム名</f>
        <v>○✕システム</v>
      </c>
      <c r="E259" s="244"/>
      <c r="F259" s="244"/>
      <c r="G259" s="244"/>
      <c r="H259" s="244"/>
      <c r="I259" s="244"/>
      <c r="J259" s="244"/>
      <c r="K259" s="244"/>
      <c r="L259" s="244"/>
      <c r="M259" s="244"/>
      <c r="N259" s="244"/>
      <c r="O259" s="245"/>
      <c r="P259" s="246" t="s">
        <v>0</v>
      </c>
      <c r="Q259" s="241"/>
      <c r="R259" s="242"/>
      <c r="S259" s="247" t="str">
        <f>IF(顧客名&lt;&gt;"",顧客名,"")</f>
        <v>○✕○✕株式会社</v>
      </c>
      <c r="T259" s="248"/>
      <c r="U259" s="248"/>
      <c r="V259" s="248"/>
      <c r="W259" s="248"/>
      <c r="X259" s="248"/>
      <c r="Y259" s="248"/>
      <c r="Z259" s="248"/>
      <c r="AA259" s="248"/>
      <c r="AB259" s="248"/>
      <c r="AC259" s="248"/>
      <c r="AD259" s="248"/>
      <c r="AE259" s="248"/>
      <c r="AF259" s="249"/>
      <c r="AG259" s="250" t="s">
        <v>35</v>
      </c>
      <c r="AH259" s="250"/>
      <c r="AI259" s="250"/>
      <c r="AJ259" s="251">
        <f>作成日</f>
        <v>44287</v>
      </c>
      <c r="AK259" s="252"/>
      <c r="AL259" s="252"/>
      <c r="AM259" s="252"/>
      <c r="AN259" s="252"/>
      <c r="AO259" s="250" t="s">
        <v>36</v>
      </c>
      <c r="AP259" s="250"/>
      <c r="AQ259" s="250"/>
      <c r="AR259" s="253" t="str">
        <f>作成者</f>
        <v>小泉　文平</v>
      </c>
      <c r="AS259" s="254"/>
      <c r="AT259" s="254"/>
      <c r="AU259" s="254"/>
      <c r="AV259" s="255"/>
      <c r="AX259" s="274"/>
      <c r="AY259" s="275"/>
    </row>
    <row r="260" spans="1:51" s="135" customFormat="1" ht="15">
      <c r="A260" s="258" t="s">
        <v>30</v>
      </c>
      <c r="B260" s="259"/>
      <c r="C260" s="260"/>
      <c r="D260" s="261"/>
      <c r="E260" s="262"/>
      <c r="F260" s="262"/>
      <c r="G260" s="262"/>
      <c r="H260" s="262"/>
      <c r="I260" s="262"/>
      <c r="J260" s="262"/>
      <c r="K260" s="262"/>
      <c r="L260" s="262"/>
      <c r="M260" s="262"/>
      <c r="N260" s="262"/>
      <c r="O260" s="263"/>
      <c r="P260" s="264" t="s">
        <v>2</v>
      </c>
      <c r="Q260" s="259"/>
      <c r="R260" s="260"/>
      <c r="S260" s="265"/>
      <c r="T260" s="266"/>
      <c r="U260" s="266"/>
      <c r="V260" s="266"/>
      <c r="W260" s="266"/>
      <c r="X260" s="266"/>
      <c r="Y260" s="266"/>
      <c r="Z260" s="266"/>
      <c r="AA260" s="266"/>
      <c r="AB260" s="266"/>
      <c r="AC260" s="266"/>
      <c r="AD260" s="266"/>
      <c r="AE260" s="266"/>
      <c r="AF260" s="267"/>
      <c r="AG260" s="268" t="s">
        <v>34</v>
      </c>
      <c r="AH260" s="268"/>
      <c r="AI260" s="268"/>
      <c r="AJ260" s="269"/>
      <c r="AK260" s="270"/>
      <c r="AL260" s="270"/>
      <c r="AM260" s="270"/>
      <c r="AN260" s="270"/>
      <c r="AO260" s="268" t="s">
        <v>33</v>
      </c>
      <c r="AP260" s="268"/>
      <c r="AQ260" s="268"/>
      <c r="AR260" s="271"/>
      <c r="AS260" s="272"/>
      <c r="AT260" s="272"/>
      <c r="AU260" s="272"/>
      <c r="AV260" s="273"/>
      <c r="AX260" s="275"/>
      <c r="AY260" s="275"/>
    </row>
    <row r="261" spans="1:51" s="135" customFormat="1" ht="13.5" customHeight="1">
      <c r="A261" s="59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60"/>
    </row>
    <row r="262" spans="1:51" s="135" customFormat="1" ht="13.5" customHeight="1">
      <c r="A262" s="3"/>
      <c r="B262" s="28" t="s">
        <v>149</v>
      </c>
      <c r="D262" s="66"/>
      <c r="Z262" s="195"/>
      <c r="AU262" s="161"/>
      <c r="AV262" s="7"/>
    </row>
    <row r="263" spans="1:51" s="135" customFormat="1" ht="13.5" customHeight="1">
      <c r="A263" s="3"/>
      <c r="D263" s="66"/>
      <c r="V263" s="134"/>
      <c r="W263" s="134"/>
      <c r="X263" s="134"/>
      <c r="Y263" s="134"/>
      <c r="Z263" s="134"/>
      <c r="AA263" s="134"/>
      <c r="AB263" s="134"/>
      <c r="AC263" s="134"/>
      <c r="AD263" s="134"/>
      <c r="AE263" s="134"/>
      <c r="AF263" s="134"/>
      <c r="AG263" s="134"/>
      <c r="AH263" s="134"/>
      <c r="AI263" s="134"/>
      <c r="AJ263" s="134"/>
      <c r="AK263" s="134"/>
      <c r="AL263" s="134"/>
      <c r="AU263" s="161"/>
      <c r="AV263" s="7"/>
    </row>
    <row r="264" spans="1:51" s="135" customFormat="1" ht="13.5" customHeight="1">
      <c r="A264" s="3"/>
      <c r="D264" s="66"/>
      <c r="Z264" s="195"/>
      <c r="AU264" s="161"/>
      <c r="AV264" s="7"/>
    </row>
    <row r="265" spans="1:51" s="135" customFormat="1" ht="13.5" customHeight="1">
      <c r="A265" s="3"/>
      <c r="B265" s="134"/>
      <c r="C265" s="58" t="s">
        <v>171</v>
      </c>
      <c r="D265" s="150"/>
      <c r="E265" s="150"/>
      <c r="F265" s="150"/>
      <c r="G265" s="150"/>
      <c r="H265" s="150"/>
      <c r="I265" s="131"/>
      <c r="J265" s="31"/>
      <c r="K265" s="132"/>
      <c r="L265" s="132"/>
      <c r="M265" s="132"/>
      <c r="N265" s="132"/>
      <c r="O265" s="132"/>
      <c r="P265" s="132"/>
      <c r="Q265" s="132"/>
      <c r="R265" s="132"/>
      <c r="S265" s="132"/>
      <c r="T265" s="132"/>
      <c r="U265" s="132"/>
      <c r="V265" s="132"/>
      <c r="W265" s="132"/>
      <c r="X265" s="132"/>
      <c r="Y265" s="58" t="s">
        <v>172</v>
      </c>
      <c r="Z265" s="236"/>
      <c r="AA265" s="150"/>
      <c r="AB265" s="150"/>
      <c r="AC265" s="150"/>
      <c r="AD265" s="150"/>
      <c r="AE265" s="150"/>
      <c r="AF265" s="131"/>
      <c r="AG265" s="132"/>
      <c r="AH265" s="132"/>
      <c r="AI265" s="132"/>
      <c r="AJ265" s="132"/>
      <c r="AK265" s="132"/>
      <c r="AL265" s="132"/>
      <c r="AM265" s="132"/>
      <c r="AN265" s="132"/>
      <c r="AO265" s="132"/>
      <c r="AP265" s="132"/>
      <c r="AQ265" s="132"/>
      <c r="AR265" s="132"/>
      <c r="AS265" s="132"/>
      <c r="AT265" s="132"/>
      <c r="AU265" s="133"/>
      <c r="AV265" s="7"/>
    </row>
    <row r="266" spans="1:51" s="135" customFormat="1" ht="13.5" customHeight="1">
      <c r="A266" s="3"/>
      <c r="B266" s="134"/>
      <c r="C266" s="149" t="s">
        <v>173</v>
      </c>
      <c r="D266" s="150"/>
      <c r="E266" s="150"/>
      <c r="F266" s="150"/>
      <c r="G266" s="150"/>
      <c r="H266" s="150"/>
      <c r="I266" s="150"/>
      <c r="J266" s="150"/>
      <c r="K266" s="150"/>
      <c r="L266" s="150"/>
      <c r="M266" s="150"/>
      <c r="N266" s="150"/>
      <c r="O266" s="150"/>
      <c r="P266" s="150"/>
      <c r="Q266" s="150"/>
      <c r="R266" s="150"/>
      <c r="S266" s="150"/>
      <c r="T266" s="150"/>
      <c r="U266" s="150"/>
      <c r="V266" s="150"/>
      <c r="W266" s="150"/>
      <c r="X266" s="150"/>
      <c r="Y266" s="150"/>
      <c r="Z266" s="150"/>
      <c r="AA266" s="150"/>
      <c r="AB266" s="150"/>
      <c r="AC266" s="150"/>
      <c r="AD266" s="150"/>
      <c r="AE266" s="150"/>
      <c r="AF266" s="150"/>
      <c r="AG266" s="150"/>
      <c r="AH266" s="150"/>
      <c r="AI266" s="150"/>
      <c r="AJ266" s="150"/>
      <c r="AK266" s="150"/>
      <c r="AL266" s="150"/>
      <c r="AM266" s="150"/>
      <c r="AN266" s="150"/>
      <c r="AO266" s="150"/>
      <c r="AP266" s="150"/>
      <c r="AQ266" s="150"/>
      <c r="AR266" s="150"/>
      <c r="AS266" s="150"/>
      <c r="AT266" s="150"/>
      <c r="AU266" s="151"/>
      <c r="AV266" s="7"/>
    </row>
    <row r="267" spans="1:51" s="135" customFormat="1" ht="13.5" customHeight="1">
      <c r="A267" s="3"/>
      <c r="B267" s="134"/>
      <c r="C267" s="162" t="s">
        <v>174</v>
      </c>
      <c r="D267" s="163"/>
      <c r="E267" s="163"/>
      <c r="F267" s="163"/>
      <c r="G267" s="163"/>
      <c r="H267" s="163"/>
      <c r="I267" s="131" t="s">
        <v>175</v>
      </c>
      <c r="J267" s="132"/>
      <c r="K267" s="132"/>
      <c r="L267" s="132"/>
      <c r="M267" s="132"/>
      <c r="N267" s="132"/>
      <c r="O267" s="132"/>
      <c r="P267" s="132"/>
      <c r="Q267" s="132"/>
      <c r="R267" s="132"/>
      <c r="S267" s="132"/>
      <c r="T267" s="132"/>
      <c r="U267" s="132"/>
      <c r="V267" s="132"/>
      <c r="W267" s="132"/>
      <c r="X267" s="132"/>
      <c r="Y267" s="132"/>
      <c r="Z267" s="193"/>
      <c r="AA267" s="132"/>
      <c r="AB267" s="132"/>
      <c r="AC267" s="132"/>
      <c r="AD267" s="132"/>
      <c r="AE267" s="132"/>
      <c r="AF267" s="132"/>
      <c r="AG267" s="132"/>
      <c r="AH267" s="132"/>
      <c r="AI267" s="132"/>
      <c r="AJ267" s="132"/>
      <c r="AK267" s="132"/>
      <c r="AL267" s="132"/>
      <c r="AM267" s="132"/>
      <c r="AN267" s="132"/>
      <c r="AO267" s="132"/>
      <c r="AP267" s="132"/>
      <c r="AQ267" s="132"/>
      <c r="AR267" s="132"/>
      <c r="AS267" s="132"/>
      <c r="AT267" s="132"/>
      <c r="AU267" s="133"/>
      <c r="AV267" s="7"/>
    </row>
    <row r="268" spans="1:51" s="135" customFormat="1" ht="13.5" customHeight="1">
      <c r="A268" s="3"/>
      <c r="B268" s="134"/>
      <c r="C268" s="162" t="s">
        <v>176</v>
      </c>
      <c r="D268" s="163"/>
      <c r="E268" s="163"/>
      <c r="F268" s="163"/>
      <c r="G268" s="163"/>
      <c r="H268" s="163"/>
      <c r="I268" s="131" t="s">
        <v>177</v>
      </c>
      <c r="J268" s="132"/>
      <c r="K268" s="132"/>
      <c r="L268" s="132"/>
      <c r="M268" s="132"/>
      <c r="N268" s="132"/>
      <c r="O268" s="132"/>
      <c r="P268" s="132"/>
      <c r="Q268" s="132"/>
      <c r="R268" s="132"/>
      <c r="S268" s="132"/>
      <c r="T268" s="132"/>
      <c r="U268" s="132"/>
      <c r="V268" s="132"/>
      <c r="W268" s="132"/>
      <c r="X268" s="132"/>
      <c r="Y268" s="132"/>
      <c r="Z268" s="193"/>
      <c r="AA268" s="132"/>
      <c r="AB268" s="132"/>
      <c r="AC268" s="132"/>
      <c r="AD268" s="132"/>
      <c r="AE268" s="132"/>
      <c r="AF268" s="132"/>
      <c r="AG268" s="132"/>
      <c r="AH268" s="132"/>
      <c r="AI268" s="132"/>
      <c r="AJ268" s="132"/>
      <c r="AK268" s="132"/>
      <c r="AL268" s="132"/>
      <c r="AM268" s="132"/>
      <c r="AN268" s="132"/>
      <c r="AO268" s="132"/>
      <c r="AP268" s="132"/>
      <c r="AQ268" s="132"/>
      <c r="AR268" s="132"/>
      <c r="AS268" s="132"/>
      <c r="AT268" s="132"/>
      <c r="AU268" s="133"/>
      <c r="AV268" s="7"/>
    </row>
    <row r="269" spans="1:51" s="135" customFormat="1" ht="13.5" customHeight="1">
      <c r="A269" s="3"/>
      <c r="B269" s="134"/>
      <c r="C269" s="162" t="s">
        <v>178</v>
      </c>
      <c r="D269" s="163"/>
      <c r="E269" s="163"/>
      <c r="F269" s="163"/>
      <c r="G269" s="163"/>
      <c r="H269" s="163"/>
      <c r="I269" s="131"/>
      <c r="J269" s="132"/>
      <c r="K269" s="132"/>
      <c r="L269" s="132"/>
      <c r="M269" s="132"/>
      <c r="N269" s="132"/>
      <c r="O269" s="132"/>
      <c r="P269" s="132"/>
      <c r="Q269" s="132"/>
      <c r="R269" s="132"/>
      <c r="S269" s="132"/>
      <c r="T269" s="132"/>
      <c r="U269" s="132"/>
      <c r="V269" s="132"/>
      <c r="W269" s="132"/>
      <c r="X269" s="132"/>
      <c r="Y269" s="132"/>
      <c r="Z269" s="193"/>
      <c r="AA269" s="132"/>
      <c r="AB269" s="132"/>
      <c r="AC269" s="132"/>
      <c r="AD269" s="132"/>
      <c r="AE269" s="132"/>
      <c r="AF269" s="132"/>
      <c r="AG269" s="132"/>
      <c r="AH269" s="132"/>
      <c r="AI269" s="132"/>
      <c r="AJ269" s="132"/>
      <c r="AK269" s="132"/>
      <c r="AL269" s="132"/>
      <c r="AM269" s="132"/>
      <c r="AN269" s="132"/>
      <c r="AO269" s="132"/>
      <c r="AP269" s="132"/>
      <c r="AQ269" s="132"/>
      <c r="AR269" s="132"/>
      <c r="AS269" s="132"/>
      <c r="AT269" s="132"/>
      <c r="AU269" s="133"/>
      <c r="AV269" s="7"/>
    </row>
    <row r="270" spans="1:51" s="135" customFormat="1" ht="13.5" customHeight="1">
      <c r="A270" s="3"/>
      <c r="B270" s="134"/>
      <c r="C270" s="162" t="s">
        <v>179</v>
      </c>
      <c r="D270" s="163"/>
      <c r="E270" s="163"/>
      <c r="F270" s="163"/>
      <c r="G270" s="163"/>
      <c r="H270" s="163"/>
      <c r="I270" s="131" t="s">
        <v>180</v>
      </c>
      <c r="J270" s="132"/>
      <c r="K270" s="132"/>
      <c r="L270" s="132"/>
      <c r="M270" s="132"/>
      <c r="N270" s="132"/>
      <c r="O270" s="132"/>
      <c r="P270" s="132"/>
      <c r="Q270" s="132"/>
      <c r="R270" s="132"/>
      <c r="S270" s="132"/>
      <c r="T270" s="132"/>
      <c r="U270" s="132"/>
      <c r="V270" s="132"/>
      <c r="W270" s="132"/>
      <c r="X270" s="132"/>
      <c r="Y270" s="132"/>
      <c r="Z270" s="193"/>
      <c r="AA270" s="132"/>
      <c r="AB270" s="132"/>
      <c r="AC270" s="132"/>
      <c r="AD270" s="132"/>
      <c r="AE270" s="132"/>
      <c r="AF270" s="132"/>
      <c r="AG270" s="132"/>
      <c r="AH270" s="132"/>
      <c r="AI270" s="132"/>
      <c r="AJ270" s="132"/>
      <c r="AK270" s="132"/>
      <c r="AL270" s="132"/>
      <c r="AM270" s="132"/>
      <c r="AN270" s="132"/>
      <c r="AO270" s="132"/>
      <c r="AP270" s="132"/>
      <c r="AQ270" s="132"/>
      <c r="AR270" s="132"/>
      <c r="AS270" s="132"/>
      <c r="AT270" s="132"/>
      <c r="AU270" s="133"/>
      <c r="AV270" s="7"/>
    </row>
    <row r="271" spans="1:51" s="135" customFormat="1" ht="13.5" customHeight="1">
      <c r="A271" s="3"/>
      <c r="B271" s="134"/>
      <c r="C271" s="152" t="s">
        <v>181</v>
      </c>
      <c r="D271" s="150"/>
      <c r="E271" s="150"/>
      <c r="F271" s="150"/>
      <c r="G271" s="150"/>
      <c r="H271" s="150"/>
      <c r="I271" s="150"/>
      <c r="J271" s="150"/>
      <c r="K271" s="150"/>
      <c r="L271" s="150"/>
      <c r="M271" s="150"/>
      <c r="N271" s="150"/>
      <c r="O271" s="150"/>
      <c r="P271" s="150"/>
      <c r="Q271" s="150"/>
      <c r="R271" s="150"/>
      <c r="S271" s="150"/>
      <c r="T271" s="150"/>
      <c r="U271" s="150"/>
      <c r="V271" s="150"/>
      <c r="W271" s="150"/>
      <c r="X271" s="150"/>
      <c r="Y271" s="150"/>
      <c r="Z271" s="150"/>
      <c r="AA271" s="150"/>
      <c r="AB271" s="150"/>
      <c r="AC271" s="150"/>
      <c r="AD271" s="150"/>
      <c r="AE271" s="150"/>
      <c r="AF271" s="150"/>
      <c r="AG271" s="150"/>
      <c r="AH271" s="150"/>
      <c r="AI271" s="150"/>
      <c r="AJ271" s="150"/>
      <c r="AK271" s="150"/>
      <c r="AL271" s="150"/>
      <c r="AM271" s="150"/>
      <c r="AN271" s="150"/>
      <c r="AO271" s="150"/>
      <c r="AP271" s="150"/>
      <c r="AQ271" s="150"/>
      <c r="AR271" s="150"/>
      <c r="AS271" s="150"/>
      <c r="AT271" s="150"/>
      <c r="AU271" s="151"/>
      <c r="AV271" s="7"/>
    </row>
    <row r="272" spans="1:51" s="135" customFormat="1" ht="13.5" customHeight="1">
      <c r="A272" s="3"/>
      <c r="B272" s="134"/>
      <c r="C272" s="164" t="s">
        <v>182</v>
      </c>
      <c r="D272" s="162"/>
      <c r="E272" s="156" t="s">
        <v>183</v>
      </c>
      <c r="F272" s="156"/>
      <c r="G272" s="156"/>
      <c r="H272" s="156"/>
      <c r="I272" s="156"/>
      <c r="J272" s="157"/>
      <c r="K272" s="152" t="s">
        <v>184</v>
      </c>
      <c r="L272" s="156"/>
      <c r="M272" s="156"/>
      <c r="N272" s="156"/>
      <c r="O272" s="156"/>
      <c r="P272" s="156"/>
      <c r="Q272" s="156"/>
      <c r="R272" s="156"/>
      <c r="S272" s="156"/>
      <c r="T272" s="156"/>
      <c r="U272" s="156"/>
      <c r="V272" s="156"/>
      <c r="W272" s="156"/>
      <c r="X272" s="156"/>
      <c r="Y272" s="156"/>
      <c r="Z272" s="156"/>
      <c r="AA272" s="156"/>
      <c r="AB272" s="156"/>
      <c r="AC272" s="156"/>
      <c r="AD272" s="156"/>
      <c r="AE272" s="156"/>
      <c r="AF272" s="156"/>
      <c r="AG272" s="157"/>
      <c r="AH272" s="152" t="s">
        <v>166</v>
      </c>
      <c r="AI272" s="156"/>
      <c r="AJ272" s="157"/>
      <c r="AK272" s="152" t="s">
        <v>167</v>
      </c>
      <c r="AL272" s="157"/>
      <c r="AM272" s="156" t="s">
        <v>169</v>
      </c>
      <c r="AN272" s="156"/>
      <c r="AO272" s="156"/>
      <c r="AP272" s="156"/>
      <c r="AQ272" s="156"/>
      <c r="AR272" s="156"/>
      <c r="AS272" s="156"/>
      <c r="AT272" s="156"/>
      <c r="AU272" s="157"/>
      <c r="AV272" s="7"/>
    </row>
    <row r="273" spans="1:48" s="135" customFormat="1" ht="13.5" customHeight="1">
      <c r="A273" s="3"/>
      <c r="B273" s="134"/>
      <c r="C273" s="130">
        <v>1</v>
      </c>
      <c r="D273" s="165"/>
      <c r="E273" s="166"/>
      <c r="F273" s="166"/>
      <c r="G273" s="166"/>
      <c r="H273" s="166"/>
      <c r="I273" s="166"/>
      <c r="J273" s="167"/>
      <c r="K273" s="131"/>
      <c r="L273" s="166"/>
      <c r="M273" s="166"/>
      <c r="N273" s="166"/>
      <c r="O273" s="166"/>
      <c r="P273" s="166"/>
      <c r="Q273" s="166"/>
      <c r="R273" s="166"/>
      <c r="S273" s="166"/>
      <c r="T273" s="166"/>
      <c r="U273" s="166"/>
      <c r="V273" s="166"/>
      <c r="W273" s="132"/>
      <c r="X273" s="132"/>
      <c r="Y273" s="132"/>
      <c r="Z273" s="193"/>
      <c r="AA273" s="132"/>
      <c r="AB273" s="132"/>
      <c r="AC273" s="132"/>
      <c r="AD273" s="132"/>
      <c r="AE273" s="132"/>
      <c r="AF273" s="132"/>
      <c r="AG273" s="133"/>
      <c r="AH273" s="158"/>
      <c r="AI273" s="159"/>
      <c r="AJ273" s="160"/>
      <c r="AK273" s="158"/>
      <c r="AL273" s="160"/>
      <c r="AM273" s="132"/>
      <c r="AN273" s="132"/>
      <c r="AO273" s="132"/>
      <c r="AP273" s="132"/>
      <c r="AQ273" s="132"/>
      <c r="AR273" s="132"/>
      <c r="AS273" s="132"/>
      <c r="AT273" s="132"/>
      <c r="AU273" s="133"/>
      <c r="AV273" s="7"/>
    </row>
    <row r="274" spans="1:48" s="135" customFormat="1" ht="13.5" customHeight="1">
      <c r="A274" s="3"/>
      <c r="B274" s="134"/>
      <c r="C274" s="130">
        <v>2</v>
      </c>
      <c r="D274" s="165"/>
      <c r="E274" s="166"/>
      <c r="F274" s="166"/>
      <c r="G274" s="166"/>
      <c r="H274" s="166"/>
      <c r="I274" s="166"/>
      <c r="J274" s="167"/>
      <c r="K274" s="131"/>
      <c r="L274" s="166"/>
      <c r="M274" s="166"/>
      <c r="N274" s="166"/>
      <c r="O274" s="166"/>
      <c r="P274" s="166"/>
      <c r="Q274" s="166"/>
      <c r="R274" s="166"/>
      <c r="S274" s="166"/>
      <c r="T274" s="166"/>
      <c r="U274" s="166"/>
      <c r="V274" s="166"/>
      <c r="W274" s="132"/>
      <c r="X274" s="132"/>
      <c r="Y274" s="132"/>
      <c r="Z274" s="193"/>
      <c r="AA274" s="132"/>
      <c r="AB274" s="132"/>
      <c r="AC274" s="132"/>
      <c r="AD274" s="132"/>
      <c r="AE274" s="132"/>
      <c r="AF274" s="132"/>
      <c r="AG274" s="133"/>
      <c r="AH274" s="158"/>
      <c r="AI274" s="159"/>
      <c r="AJ274" s="160"/>
      <c r="AK274" s="158"/>
      <c r="AL274" s="160"/>
      <c r="AM274" s="132"/>
      <c r="AN274" s="132"/>
      <c r="AO274" s="132"/>
      <c r="AP274" s="132"/>
      <c r="AQ274" s="132"/>
      <c r="AR274" s="132"/>
      <c r="AS274" s="132"/>
      <c r="AT274" s="132"/>
      <c r="AU274" s="133"/>
      <c r="AV274" s="7"/>
    </row>
    <row r="275" spans="1:48" s="135" customFormat="1" ht="13.5" customHeight="1">
      <c r="A275" s="3"/>
      <c r="B275" s="4"/>
      <c r="C275" s="130">
        <v>3</v>
      </c>
      <c r="D275" s="165"/>
      <c r="E275" s="132"/>
      <c r="F275" s="132"/>
      <c r="G275" s="132"/>
      <c r="H275" s="132"/>
      <c r="I275" s="132"/>
      <c r="J275" s="133"/>
      <c r="K275" s="131"/>
      <c r="L275" s="132"/>
      <c r="M275" s="132"/>
      <c r="N275" s="132"/>
      <c r="O275" s="132"/>
      <c r="P275" s="132"/>
      <c r="Q275" s="132"/>
      <c r="R275" s="132"/>
      <c r="S275" s="132"/>
      <c r="T275" s="132"/>
      <c r="U275" s="132"/>
      <c r="V275" s="132"/>
      <c r="W275" s="132"/>
      <c r="X275" s="132"/>
      <c r="Y275" s="132"/>
      <c r="Z275" s="193"/>
      <c r="AA275" s="132"/>
      <c r="AB275" s="132"/>
      <c r="AC275" s="132"/>
      <c r="AD275" s="132"/>
      <c r="AE275" s="132"/>
      <c r="AF275" s="132"/>
      <c r="AG275" s="133"/>
      <c r="AH275" s="158"/>
      <c r="AI275" s="159"/>
      <c r="AJ275" s="160"/>
      <c r="AK275" s="158"/>
      <c r="AL275" s="160"/>
      <c r="AM275" s="132"/>
      <c r="AN275" s="132"/>
      <c r="AO275" s="132"/>
      <c r="AP275" s="132"/>
      <c r="AQ275" s="132"/>
      <c r="AR275" s="132"/>
      <c r="AS275" s="132"/>
      <c r="AT275" s="132"/>
      <c r="AU275" s="133"/>
      <c r="AV275" s="7"/>
    </row>
    <row r="276" spans="1:48" s="135" customFormat="1" ht="13.5" customHeight="1">
      <c r="A276" s="3"/>
      <c r="B276" s="4"/>
      <c r="C276" s="130">
        <v>4</v>
      </c>
      <c r="D276" s="165"/>
      <c r="E276" s="132"/>
      <c r="F276" s="132"/>
      <c r="G276" s="132"/>
      <c r="H276" s="132"/>
      <c r="I276" s="132"/>
      <c r="J276" s="133"/>
      <c r="K276" s="131"/>
      <c r="L276" s="132"/>
      <c r="M276" s="132"/>
      <c r="N276" s="132"/>
      <c r="O276" s="132"/>
      <c r="P276" s="132"/>
      <c r="Q276" s="132"/>
      <c r="R276" s="132"/>
      <c r="S276" s="132"/>
      <c r="T276" s="132"/>
      <c r="U276" s="132"/>
      <c r="V276" s="132"/>
      <c r="W276" s="132"/>
      <c r="X276" s="132"/>
      <c r="Y276" s="132"/>
      <c r="Z276" s="193"/>
      <c r="AA276" s="132"/>
      <c r="AB276" s="132"/>
      <c r="AC276" s="132"/>
      <c r="AD276" s="132"/>
      <c r="AE276" s="132"/>
      <c r="AF276" s="132"/>
      <c r="AG276" s="133"/>
      <c r="AH276" s="158"/>
      <c r="AI276" s="159"/>
      <c r="AJ276" s="160"/>
      <c r="AK276" s="158"/>
      <c r="AL276" s="160"/>
      <c r="AM276" s="132"/>
      <c r="AN276" s="132"/>
      <c r="AO276" s="132"/>
      <c r="AP276" s="132"/>
      <c r="AQ276" s="132"/>
      <c r="AR276" s="132"/>
      <c r="AS276" s="132"/>
      <c r="AT276" s="132"/>
      <c r="AU276" s="133"/>
      <c r="AV276" s="7"/>
    </row>
    <row r="277" spans="1:48" s="135" customFormat="1" ht="13.5" customHeight="1">
      <c r="A277" s="3"/>
      <c r="B277" s="4"/>
      <c r="C277" s="130">
        <v>5</v>
      </c>
      <c r="D277" s="165"/>
      <c r="E277" s="132"/>
      <c r="F277" s="132"/>
      <c r="G277" s="132"/>
      <c r="H277" s="132"/>
      <c r="I277" s="132"/>
      <c r="J277" s="133"/>
      <c r="K277" s="131"/>
      <c r="L277" s="132"/>
      <c r="M277" s="132"/>
      <c r="N277" s="132"/>
      <c r="O277" s="132"/>
      <c r="P277" s="132"/>
      <c r="Q277" s="132"/>
      <c r="R277" s="132"/>
      <c r="S277" s="132"/>
      <c r="T277" s="132"/>
      <c r="U277" s="132"/>
      <c r="V277" s="132"/>
      <c r="W277" s="132"/>
      <c r="X277" s="132"/>
      <c r="Y277" s="132"/>
      <c r="Z277" s="193"/>
      <c r="AA277" s="132"/>
      <c r="AB277" s="132"/>
      <c r="AC277" s="132"/>
      <c r="AD277" s="132"/>
      <c r="AE277" s="132"/>
      <c r="AF277" s="132"/>
      <c r="AG277" s="133"/>
      <c r="AH277" s="158"/>
      <c r="AI277" s="159"/>
      <c r="AJ277" s="160"/>
      <c r="AK277" s="158"/>
      <c r="AL277" s="160"/>
      <c r="AM277" s="132"/>
      <c r="AN277" s="132"/>
      <c r="AO277" s="132"/>
      <c r="AP277" s="132"/>
      <c r="AQ277" s="132"/>
      <c r="AR277" s="132"/>
      <c r="AS277" s="132"/>
      <c r="AT277" s="132"/>
      <c r="AU277" s="133"/>
      <c r="AV277" s="7"/>
    </row>
    <row r="278" spans="1:48" s="135" customFormat="1" ht="13.5" customHeight="1">
      <c r="A278" s="3"/>
      <c r="B278" s="161"/>
      <c r="C278" s="130">
        <v>6</v>
      </c>
      <c r="D278" s="165"/>
      <c r="E278" s="132"/>
      <c r="F278" s="132"/>
      <c r="G278" s="132"/>
      <c r="H278" s="132"/>
      <c r="I278" s="132"/>
      <c r="J278" s="133"/>
      <c r="K278" s="131"/>
      <c r="L278" s="132"/>
      <c r="M278" s="132"/>
      <c r="N278" s="132"/>
      <c r="O278" s="132"/>
      <c r="P278" s="132"/>
      <c r="Q278" s="132"/>
      <c r="R278" s="132"/>
      <c r="S278" s="132"/>
      <c r="T278" s="132"/>
      <c r="U278" s="132"/>
      <c r="V278" s="132"/>
      <c r="W278" s="132"/>
      <c r="X278" s="132"/>
      <c r="Y278" s="132"/>
      <c r="Z278" s="193"/>
      <c r="AA278" s="132"/>
      <c r="AB278" s="132"/>
      <c r="AC278" s="132"/>
      <c r="AD278" s="132"/>
      <c r="AE278" s="132"/>
      <c r="AF278" s="132"/>
      <c r="AG278" s="133"/>
      <c r="AH278" s="158"/>
      <c r="AI278" s="159"/>
      <c r="AJ278" s="160"/>
      <c r="AK278" s="158"/>
      <c r="AL278" s="160"/>
      <c r="AM278" s="132"/>
      <c r="AN278" s="132"/>
      <c r="AO278" s="132"/>
      <c r="AP278" s="132"/>
      <c r="AQ278" s="132"/>
      <c r="AR278" s="132"/>
      <c r="AS278" s="132"/>
      <c r="AT278" s="132"/>
      <c r="AU278" s="133"/>
      <c r="AV278" s="7"/>
    </row>
    <row r="279" spans="1:48" s="135" customFormat="1" ht="13.5" customHeight="1">
      <c r="A279" s="3"/>
      <c r="C279" s="149" t="s">
        <v>185</v>
      </c>
      <c r="D279" s="150"/>
      <c r="E279" s="150"/>
      <c r="F279" s="150"/>
      <c r="G279" s="150"/>
      <c r="H279" s="150"/>
      <c r="I279" s="150"/>
      <c r="J279" s="150"/>
      <c r="K279" s="150"/>
      <c r="L279" s="150"/>
      <c r="M279" s="150"/>
      <c r="N279" s="150"/>
      <c r="O279" s="150"/>
      <c r="P279" s="150"/>
      <c r="Q279" s="150"/>
      <c r="R279" s="150"/>
      <c r="S279" s="150"/>
      <c r="T279" s="150"/>
      <c r="U279" s="150"/>
      <c r="V279" s="150"/>
      <c r="W279" s="150"/>
      <c r="X279" s="150"/>
      <c r="Y279" s="150"/>
      <c r="Z279" s="150"/>
      <c r="AA279" s="150"/>
      <c r="AB279" s="150"/>
      <c r="AC279" s="150"/>
      <c r="AD279" s="150"/>
      <c r="AE279" s="150"/>
      <c r="AF279" s="150"/>
      <c r="AG279" s="150"/>
      <c r="AH279" s="150"/>
      <c r="AI279" s="150"/>
      <c r="AJ279" s="150"/>
      <c r="AK279" s="150"/>
      <c r="AL279" s="150"/>
      <c r="AM279" s="150"/>
      <c r="AN279" s="150"/>
      <c r="AO279" s="150"/>
      <c r="AP279" s="150"/>
      <c r="AQ279" s="150"/>
      <c r="AR279" s="150"/>
      <c r="AS279" s="150"/>
      <c r="AT279" s="150"/>
      <c r="AU279" s="151"/>
      <c r="AV279" s="7"/>
    </row>
    <row r="280" spans="1:48" s="135" customFormat="1" ht="13.5" customHeight="1">
      <c r="A280" s="3"/>
      <c r="C280" s="164" t="s">
        <v>186</v>
      </c>
      <c r="D280" s="162"/>
      <c r="E280" s="156" t="s">
        <v>183</v>
      </c>
      <c r="F280" s="156"/>
      <c r="G280" s="156"/>
      <c r="H280" s="156"/>
      <c r="I280" s="156"/>
      <c r="J280" s="157"/>
      <c r="K280" s="152" t="s">
        <v>184</v>
      </c>
      <c r="L280" s="156"/>
      <c r="M280" s="156"/>
      <c r="N280" s="156"/>
      <c r="O280" s="156"/>
      <c r="P280" s="156"/>
      <c r="Q280" s="156"/>
      <c r="R280" s="156"/>
      <c r="S280" s="156"/>
      <c r="T280" s="156"/>
      <c r="U280" s="156"/>
      <c r="V280" s="156"/>
      <c r="W280" s="156"/>
      <c r="X280" s="156"/>
      <c r="Y280" s="156"/>
      <c r="Z280" s="156"/>
      <c r="AA280" s="156"/>
      <c r="AB280" s="156"/>
      <c r="AC280" s="156"/>
      <c r="AD280" s="156"/>
      <c r="AE280" s="156"/>
      <c r="AF280" s="156"/>
      <c r="AG280" s="157"/>
      <c r="AH280" s="152" t="s">
        <v>166</v>
      </c>
      <c r="AI280" s="156"/>
      <c r="AJ280" s="157"/>
      <c r="AK280" s="152" t="s">
        <v>167</v>
      </c>
      <c r="AL280" s="157"/>
      <c r="AM280" s="156" t="s">
        <v>169</v>
      </c>
      <c r="AN280" s="156"/>
      <c r="AO280" s="156"/>
      <c r="AP280" s="156"/>
      <c r="AQ280" s="156"/>
      <c r="AR280" s="156"/>
      <c r="AS280" s="156"/>
      <c r="AT280" s="156"/>
      <c r="AU280" s="157"/>
      <c r="AV280" s="7"/>
    </row>
    <row r="281" spans="1:48" s="135" customFormat="1" ht="13.5" customHeight="1">
      <c r="A281" s="3"/>
      <c r="C281" s="130">
        <v>1</v>
      </c>
      <c r="D281" s="165"/>
      <c r="E281" s="166"/>
      <c r="F281" s="166"/>
      <c r="G281" s="166"/>
      <c r="H281" s="166"/>
      <c r="I281" s="166"/>
      <c r="J281" s="167"/>
      <c r="K281" s="131"/>
      <c r="L281" s="166"/>
      <c r="M281" s="166"/>
      <c r="N281" s="166"/>
      <c r="O281" s="166"/>
      <c r="P281" s="166"/>
      <c r="Q281" s="132"/>
      <c r="R281" s="132"/>
      <c r="S281" s="132"/>
      <c r="T281" s="132"/>
      <c r="U281" s="132"/>
      <c r="V281" s="132"/>
      <c r="W281" s="132"/>
      <c r="X281" s="132"/>
      <c r="Y281" s="132"/>
      <c r="Z281" s="193"/>
      <c r="AA281" s="132"/>
      <c r="AB281" s="132"/>
      <c r="AC281" s="132"/>
      <c r="AD281" s="132"/>
      <c r="AE281" s="132"/>
      <c r="AF281" s="132"/>
      <c r="AG281" s="133"/>
      <c r="AH281" s="158"/>
      <c r="AI281" s="159"/>
      <c r="AJ281" s="160"/>
      <c r="AK281" s="158"/>
      <c r="AL281" s="160"/>
      <c r="AM281" s="131"/>
      <c r="AN281" s="132"/>
      <c r="AO281" s="132"/>
      <c r="AP281" s="132"/>
      <c r="AQ281" s="132"/>
      <c r="AR281" s="132"/>
      <c r="AS281" s="132"/>
      <c r="AT281" s="132"/>
      <c r="AU281" s="133"/>
      <c r="AV281" s="7"/>
    </row>
    <row r="282" spans="1:48" s="135" customFormat="1" ht="13.5" customHeight="1">
      <c r="A282" s="3"/>
      <c r="B282" s="4"/>
      <c r="C282" s="130">
        <v>2</v>
      </c>
      <c r="D282" s="165"/>
      <c r="E282" s="166"/>
      <c r="F282" s="166"/>
      <c r="G282" s="166"/>
      <c r="H282" s="166"/>
      <c r="I282" s="166"/>
      <c r="J282" s="167"/>
      <c r="K282" s="131"/>
      <c r="L282" s="166"/>
      <c r="M282" s="166"/>
      <c r="N282" s="166"/>
      <c r="O282" s="166"/>
      <c r="P282" s="166"/>
      <c r="Q282" s="132"/>
      <c r="R282" s="132"/>
      <c r="S282" s="132"/>
      <c r="T282" s="132"/>
      <c r="U282" s="132"/>
      <c r="V282" s="132"/>
      <c r="W282" s="132"/>
      <c r="X282" s="132"/>
      <c r="Y282" s="132"/>
      <c r="Z282" s="193"/>
      <c r="AA282" s="132"/>
      <c r="AB282" s="132"/>
      <c r="AC282" s="132"/>
      <c r="AD282" s="132"/>
      <c r="AE282" s="132"/>
      <c r="AF282" s="132"/>
      <c r="AG282" s="133"/>
      <c r="AH282" s="158"/>
      <c r="AI282" s="159"/>
      <c r="AJ282" s="160"/>
      <c r="AK282" s="158"/>
      <c r="AL282" s="160"/>
      <c r="AM282" s="131"/>
      <c r="AN282" s="132"/>
      <c r="AO282" s="132"/>
      <c r="AP282" s="132"/>
      <c r="AQ282" s="132"/>
      <c r="AR282" s="132"/>
      <c r="AS282" s="132"/>
      <c r="AT282" s="132"/>
      <c r="AU282" s="133"/>
      <c r="AV282" s="7"/>
    </row>
    <row r="283" spans="1:48" s="135" customFormat="1" ht="13.5" customHeight="1">
      <c r="A283" s="3"/>
      <c r="B283" s="161"/>
      <c r="C283" s="130">
        <v>3</v>
      </c>
      <c r="D283" s="165"/>
      <c r="E283" s="132"/>
      <c r="F283" s="132"/>
      <c r="G283" s="132"/>
      <c r="H283" s="132"/>
      <c r="I283" s="132"/>
      <c r="J283" s="133"/>
      <c r="K283" s="131"/>
      <c r="L283" s="132"/>
      <c r="M283" s="132"/>
      <c r="N283" s="132"/>
      <c r="O283" s="132"/>
      <c r="P283" s="132"/>
      <c r="Q283" s="132"/>
      <c r="R283" s="132"/>
      <c r="S283" s="132"/>
      <c r="T283" s="132"/>
      <c r="U283" s="132"/>
      <c r="V283" s="132"/>
      <c r="W283" s="132"/>
      <c r="X283" s="132"/>
      <c r="Y283" s="132"/>
      <c r="Z283" s="193"/>
      <c r="AA283" s="132"/>
      <c r="AB283" s="132"/>
      <c r="AC283" s="132"/>
      <c r="AD283" s="132"/>
      <c r="AE283" s="132"/>
      <c r="AF283" s="132"/>
      <c r="AG283" s="133"/>
      <c r="AH283" s="158"/>
      <c r="AI283" s="159"/>
      <c r="AJ283" s="160"/>
      <c r="AK283" s="158"/>
      <c r="AL283" s="160"/>
      <c r="AM283" s="131"/>
      <c r="AN283" s="132"/>
      <c r="AO283" s="132"/>
      <c r="AP283" s="132"/>
      <c r="AQ283" s="132"/>
      <c r="AR283" s="132"/>
      <c r="AS283" s="132"/>
      <c r="AT283" s="132"/>
      <c r="AU283" s="133"/>
      <c r="AV283" s="7"/>
    </row>
    <row r="284" spans="1:48" s="135" customFormat="1" ht="13.5" customHeight="1">
      <c r="A284" s="3"/>
      <c r="B284" s="161"/>
      <c r="C284" s="130">
        <v>4</v>
      </c>
      <c r="D284" s="165"/>
      <c r="E284" s="132"/>
      <c r="F284" s="132"/>
      <c r="G284" s="132"/>
      <c r="H284" s="132"/>
      <c r="I284" s="132"/>
      <c r="J284" s="133"/>
      <c r="K284" s="131"/>
      <c r="L284" s="132"/>
      <c r="M284" s="132"/>
      <c r="N284" s="132"/>
      <c r="O284" s="132"/>
      <c r="P284" s="132"/>
      <c r="Q284" s="132"/>
      <c r="R284" s="132"/>
      <c r="S284" s="132"/>
      <c r="T284" s="132"/>
      <c r="U284" s="132"/>
      <c r="V284" s="132"/>
      <c r="W284" s="132"/>
      <c r="X284" s="132"/>
      <c r="Y284" s="132"/>
      <c r="Z284" s="193"/>
      <c r="AA284" s="132"/>
      <c r="AB284" s="132"/>
      <c r="AC284" s="132"/>
      <c r="AD284" s="132"/>
      <c r="AE284" s="132"/>
      <c r="AF284" s="132"/>
      <c r="AG284" s="133"/>
      <c r="AH284" s="158"/>
      <c r="AI284" s="159"/>
      <c r="AJ284" s="160"/>
      <c r="AK284" s="158"/>
      <c r="AL284" s="160"/>
      <c r="AM284" s="131"/>
      <c r="AN284" s="132"/>
      <c r="AO284" s="132"/>
      <c r="AP284" s="132"/>
      <c r="AQ284" s="132"/>
      <c r="AR284" s="132"/>
      <c r="AS284" s="132"/>
      <c r="AT284" s="132"/>
      <c r="AU284" s="133"/>
      <c r="AV284" s="7"/>
    </row>
    <row r="285" spans="1:48" s="135" customFormat="1" ht="13.5" customHeight="1">
      <c r="A285" s="3"/>
      <c r="B285" s="4"/>
      <c r="C285" s="130">
        <v>5</v>
      </c>
      <c r="D285" s="165"/>
      <c r="E285" s="132"/>
      <c r="F285" s="132"/>
      <c r="G285" s="132"/>
      <c r="H285" s="132"/>
      <c r="I285" s="132"/>
      <c r="J285" s="133"/>
      <c r="K285" s="131"/>
      <c r="L285" s="132"/>
      <c r="M285" s="132"/>
      <c r="N285" s="132"/>
      <c r="O285" s="132"/>
      <c r="P285" s="132"/>
      <c r="Q285" s="132"/>
      <c r="R285" s="132"/>
      <c r="S285" s="132"/>
      <c r="T285" s="132"/>
      <c r="U285" s="132"/>
      <c r="V285" s="132"/>
      <c r="W285" s="132"/>
      <c r="X285" s="132"/>
      <c r="Y285" s="132"/>
      <c r="Z285" s="193"/>
      <c r="AA285" s="132"/>
      <c r="AB285" s="132"/>
      <c r="AC285" s="132"/>
      <c r="AD285" s="132"/>
      <c r="AE285" s="132"/>
      <c r="AF285" s="132"/>
      <c r="AG285" s="133"/>
      <c r="AH285" s="158"/>
      <c r="AI285" s="159"/>
      <c r="AJ285" s="160"/>
      <c r="AK285" s="158"/>
      <c r="AL285" s="160"/>
      <c r="AM285" s="131"/>
      <c r="AN285" s="132"/>
      <c r="AO285" s="132"/>
      <c r="AP285" s="132"/>
      <c r="AQ285" s="132"/>
      <c r="AR285" s="132"/>
      <c r="AS285" s="132"/>
      <c r="AT285" s="132"/>
      <c r="AU285" s="133"/>
      <c r="AV285" s="7"/>
    </row>
    <row r="286" spans="1:48" s="135" customFormat="1" ht="13.5" customHeight="1">
      <c r="A286" s="3"/>
      <c r="B286" s="161"/>
      <c r="C286" s="152" t="s">
        <v>187</v>
      </c>
      <c r="D286" s="156"/>
      <c r="E286" s="156"/>
      <c r="F286" s="156"/>
      <c r="G286" s="156"/>
      <c r="H286" s="156"/>
      <c r="I286" s="156"/>
      <c r="J286" s="156"/>
      <c r="K286" s="156"/>
      <c r="L286" s="156"/>
      <c r="M286" s="156"/>
      <c r="N286" s="156"/>
      <c r="O286" s="156"/>
      <c r="P286" s="156"/>
      <c r="Q286" s="156"/>
      <c r="R286" s="156"/>
      <c r="S286" s="156"/>
      <c r="T286" s="156"/>
      <c r="U286" s="156"/>
      <c r="V286" s="156"/>
      <c r="W286" s="156"/>
      <c r="X286" s="156"/>
      <c r="Y286" s="156"/>
      <c r="Z286" s="156"/>
      <c r="AA286" s="156"/>
      <c r="AB286" s="156"/>
      <c r="AC286" s="156"/>
      <c r="AD286" s="156"/>
      <c r="AE286" s="156"/>
      <c r="AF286" s="156"/>
      <c r="AG286" s="156"/>
      <c r="AH286" s="156"/>
      <c r="AI286" s="156"/>
      <c r="AJ286" s="156"/>
      <c r="AK286" s="156"/>
      <c r="AL286" s="156"/>
      <c r="AM286" s="156"/>
      <c r="AN286" s="156"/>
      <c r="AO286" s="156"/>
      <c r="AP286" s="156"/>
      <c r="AQ286" s="156"/>
      <c r="AR286" s="156"/>
      <c r="AS286" s="156"/>
      <c r="AT286" s="156"/>
      <c r="AU286" s="157"/>
      <c r="AV286" s="7"/>
    </row>
    <row r="287" spans="1:48" s="135" customFormat="1" ht="13.5" customHeight="1">
      <c r="A287" s="3"/>
      <c r="B287" s="161"/>
      <c r="C287" s="168"/>
      <c r="D287" s="169"/>
      <c r="E287" s="169"/>
      <c r="F287" s="169"/>
      <c r="G287" s="169"/>
      <c r="H287" s="169"/>
      <c r="I287" s="169"/>
      <c r="J287" s="169"/>
      <c r="K287" s="169"/>
      <c r="L287" s="169"/>
      <c r="M287" s="169"/>
      <c r="N287" s="169"/>
      <c r="O287" s="169"/>
      <c r="P287" s="169"/>
      <c r="Q287" s="169"/>
      <c r="R287" s="169"/>
      <c r="S287" s="169"/>
      <c r="T287" s="169"/>
      <c r="U287" s="169"/>
      <c r="V287" s="169"/>
      <c r="W287" s="169"/>
      <c r="X287" s="169"/>
      <c r="Y287" s="169"/>
      <c r="Z287" s="169"/>
      <c r="AA287" s="169"/>
      <c r="AB287" s="169"/>
      <c r="AC287" s="169"/>
      <c r="AD287" s="169"/>
      <c r="AE287" s="169"/>
      <c r="AF287" s="169"/>
      <c r="AG287" s="169"/>
      <c r="AH287" s="169"/>
      <c r="AI287" s="169"/>
      <c r="AJ287" s="169"/>
      <c r="AK287" s="169"/>
      <c r="AL287" s="169"/>
      <c r="AM287" s="169"/>
      <c r="AN287" s="169"/>
      <c r="AO287" s="169"/>
      <c r="AP287" s="169"/>
      <c r="AQ287" s="169"/>
      <c r="AR287" s="169"/>
      <c r="AS287" s="169"/>
      <c r="AT287" s="169"/>
      <c r="AU287" s="170"/>
      <c r="AV287" s="7"/>
    </row>
    <row r="288" spans="1:48" s="135" customFormat="1" ht="13.5" customHeight="1">
      <c r="A288" s="3"/>
      <c r="B288" s="161"/>
      <c r="C288" s="171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122"/>
      <c r="AV288" s="7"/>
    </row>
    <row r="289" spans="1:51" s="135" customFormat="1" ht="13.5" customHeight="1">
      <c r="A289" s="3"/>
      <c r="B289" s="161"/>
      <c r="C289" s="171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122"/>
      <c r="AV289" s="7"/>
    </row>
    <row r="290" spans="1:51" s="135" customFormat="1" ht="13.5" customHeight="1">
      <c r="A290" s="3"/>
      <c r="B290" s="161"/>
      <c r="C290" s="171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122"/>
      <c r="AV290" s="7"/>
    </row>
    <row r="291" spans="1:51" s="135" customFormat="1" ht="13.5" customHeight="1">
      <c r="A291" s="3"/>
      <c r="B291" s="161"/>
      <c r="C291" s="171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122"/>
      <c r="AV291" s="7"/>
    </row>
    <row r="292" spans="1:51" s="135" customFormat="1" ht="13.5" customHeight="1">
      <c r="A292" s="3"/>
      <c r="B292" s="161"/>
      <c r="C292" s="171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122"/>
      <c r="AV292" s="7"/>
    </row>
    <row r="293" spans="1:51" s="135" customFormat="1" ht="13.5" customHeight="1">
      <c r="A293" s="3"/>
      <c r="B293" s="161"/>
      <c r="C293" s="171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122"/>
      <c r="AV293" s="7"/>
    </row>
    <row r="294" spans="1:51" s="135" customFormat="1" ht="13.5" customHeight="1">
      <c r="A294" s="3"/>
      <c r="B294" s="161"/>
      <c r="C294" s="171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122"/>
      <c r="AV294" s="7"/>
    </row>
    <row r="295" spans="1:51" s="135" customFormat="1" ht="13.5" customHeight="1">
      <c r="A295" s="3"/>
      <c r="B295" s="161"/>
      <c r="C295" s="171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122"/>
      <c r="AV295" s="7"/>
    </row>
    <row r="296" spans="1:51" s="135" customFormat="1" ht="13.5" customHeight="1">
      <c r="A296" s="3"/>
      <c r="B296" s="161"/>
      <c r="C296" s="171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122"/>
      <c r="AV296" s="7"/>
    </row>
    <row r="297" spans="1:51" s="135" customFormat="1" ht="13.5" customHeight="1">
      <c r="A297" s="3"/>
      <c r="B297" s="161"/>
      <c r="C297" s="171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122"/>
      <c r="AV297" s="7"/>
    </row>
    <row r="298" spans="1:51" s="135" customFormat="1" ht="13.5" customHeight="1">
      <c r="A298" s="3"/>
      <c r="B298" s="161"/>
      <c r="C298" s="172"/>
      <c r="D298" s="173"/>
      <c r="E298" s="173"/>
      <c r="F298" s="173"/>
      <c r="G298" s="173"/>
      <c r="H298" s="173"/>
      <c r="I298" s="173"/>
      <c r="J298" s="173"/>
      <c r="K298" s="173"/>
      <c r="L298" s="173"/>
      <c r="M298" s="173"/>
      <c r="N298" s="173"/>
      <c r="O298" s="173"/>
      <c r="P298" s="173"/>
      <c r="Q298" s="173"/>
      <c r="R298" s="173"/>
      <c r="S298" s="173"/>
      <c r="T298" s="173"/>
      <c r="U298" s="173"/>
      <c r="V298" s="173"/>
      <c r="W298" s="173"/>
      <c r="X298" s="173"/>
      <c r="Y298" s="173"/>
      <c r="Z298" s="173"/>
      <c r="AA298" s="173"/>
      <c r="AB298" s="173"/>
      <c r="AC298" s="173"/>
      <c r="AD298" s="173"/>
      <c r="AE298" s="173"/>
      <c r="AF298" s="173"/>
      <c r="AG298" s="173"/>
      <c r="AH298" s="173"/>
      <c r="AI298" s="173"/>
      <c r="AJ298" s="173"/>
      <c r="AK298" s="173"/>
      <c r="AL298" s="173"/>
      <c r="AM298" s="173"/>
      <c r="AN298" s="173"/>
      <c r="AO298" s="173"/>
      <c r="AP298" s="173"/>
      <c r="AQ298" s="173"/>
      <c r="AR298" s="173"/>
      <c r="AS298" s="173"/>
      <c r="AT298" s="173"/>
      <c r="AU298" s="174"/>
      <c r="AV298" s="7"/>
    </row>
    <row r="299" spans="1:51" s="135" customFormat="1" ht="13.5" customHeight="1">
      <c r="A299" s="3"/>
      <c r="B299" s="161"/>
      <c r="C299" s="161"/>
      <c r="D299" s="161"/>
      <c r="E299" s="161"/>
      <c r="F299" s="161"/>
      <c r="G299" s="161"/>
      <c r="H299" s="161"/>
      <c r="I299" s="161"/>
      <c r="J299" s="161"/>
      <c r="K299" s="161"/>
      <c r="L299" s="161"/>
      <c r="M299" s="161"/>
      <c r="N299" s="161"/>
      <c r="O299" s="161"/>
      <c r="P299" s="161"/>
      <c r="Q299" s="161"/>
      <c r="R299" s="161"/>
      <c r="S299" s="161"/>
      <c r="T299" s="161"/>
      <c r="U299" s="161"/>
      <c r="V299" s="161"/>
      <c r="W299" s="161"/>
      <c r="X299" s="161"/>
      <c r="Y299" s="161"/>
      <c r="Z299" s="161"/>
      <c r="AA299" s="161"/>
      <c r="AB299" s="161"/>
      <c r="AC299" s="161"/>
      <c r="AD299" s="161"/>
      <c r="AE299" s="161"/>
      <c r="AF299" s="161"/>
      <c r="AG299" s="161"/>
      <c r="AH299" s="161"/>
      <c r="AI299" s="161"/>
      <c r="AJ299" s="161"/>
      <c r="AK299" s="161"/>
      <c r="AL299" s="161"/>
      <c r="AM299" s="161"/>
      <c r="AN299" s="161"/>
      <c r="AO299" s="161"/>
      <c r="AP299" s="161"/>
      <c r="AQ299" s="161"/>
      <c r="AR299" s="161"/>
      <c r="AS299" s="161"/>
      <c r="AT299" s="161"/>
      <c r="AU299" s="161"/>
      <c r="AV299" s="7"/>
    </row>
    <row r="300" spans="1:51" s="135" customFormat="1" ht="13.5" customHeight="1">
      <c r="A300" s="3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7"/>
    </row>
    <row r="301" spans="1:51" s="135" customFormat="1" ht="13.5" customHeight="1" thickBot="1">
      <c r="A301" s="8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12"/>
      <c r="AX301" s="238" t="str">
        <f>HYPERLINK("#$A$1","目次へ")</f>
        <v>目次へ</v>
      </c>
      <c r="AY301" s="238"/>
    </row>
    <row r="302" spans="1:51" ht="15">
      <c r="A302" s="240" t="s">
        <v>40</v>
      </c>
      <c r="B302" s="241"/>
      <c r="C302" s="242"/>
      <c r="D302" s="243" t="str">
        <f>システム名</f>
        <v>○✕システム</v>
      </c>
      <c r="E302" s="244"/>
      <c r="F302" s="244"/>
      <c r="G302" s="244"/>
      <c r="H302" s="244"/>
      <c r="I302" s="244"/>
      <c r="J302" s="244"/>
      <c r="K302" s="244"/>
      <c r="L302" s="244"/>
      <c r="M302" s="244"/>
      <c r="N302" s="244"/>
      <c r="O302" s="245"/>
      <c r="P302" s="246" t="s">
        <v>0</v>
      </c>
      <c r="Q302" s="241"/>
      <c r="R302" s="242"/>
      <c r="S302" s="247" t="str">
        <f>IF(顧客名&lt;&gt;"",顧客名,"")</f>
        <v>○✕○✕株式会社</v>
      </c>
      <c r="T302" s="248"/>
      <c r="U302" s="248"/>
      <c r="V302" s="248"/>
      <c r="W302" s="248"/>
      <c r="X302" s="248"/>
      <c r="Y302" s="248"/>
      <c r="Z302" s="248"/>
      <c r="AA302" s="248"/>
      <c r="AB302" s="248"/>
      <c r="AC302" s="248"/>
      <c r="AD302" s="248"/>
      <c r="AE302" s="248"/>
      <c r="AF302" s="249"/>
      <c r="AG302" s="250" t="s">
        <v>35</v>
      </c>
      <c r="AH302" s="250"/>
      <c r="AI302" s="250"/>
      <c r="AJ302" s="251">
        <f>作成日</f>
        <v>44287</v>
      </c>
      <c r="AK302" s="252"/>
      <c r="AL302" s="252"/>
      <c r="AM302" s="252"/>
      <c r="AN302" s="252"/>
      <c r="AO302" s="250" t="s">
        <v>36</v>
      </c>
      <c r="AP302" s="250"/>
      <c r="AQ302" s="250"/>
      <c r="AR302" s="253" t="str">
        <f>作成者</f>
        <v>小泉　文平</v>
      </c>
      <c r="AS302" s="254"/>
      <c r="AT302" s="254"/>
      <c r="AU302" s="254"/>
      <c r="AV302" s="255"/>
      <c r="AX302" s="274"/>
      <c r="AY302" s="275"/>
    </row>
    <row r="303" spans="1:51" ht="15">
      <c r="A303" s="258" t="s">
        <v>30</v>
      </c>
      <c r="B303" s="259"/>
      <c r="C303" s="260"/>
      <c r="D303" s="261"/>
      <c r="E303" s="262"/>
      <c r="F303" s="262"/>
      <c r="G303" s="262"/>
      <c r="H303" s="262"/>
      <c r="I303" s="262"/>
      <c r="J303" s="262"/>
      <c r="K303" s="262"/>
      <c r="L303" s="262"/>
      <c r="M303" s="262"/>
      <c r="N303" s="262"/>
      <c r="O303" s="263"/>
      <c r="P303" s="264" t="s">
        <v>2</v>
      </c>
      <c r="Q303" s="259"/>
      <c r="R303" s="260"/>
      <c r="S303" s="265"/>
      <c r="T303" s="266"/>
      <c r="U303" s="266"/>
      <c r="V303" s="266"/>
      <c r="W303" s="266"/>
      <c r="X303" s="266"/>
      <c r="Y303" s="266"/>
      <c r="Z303" s="266"/>
      <c r="AA303" s="266"/>
      <c r="AB303" s="266"/>
      <c r="AC303" s="266"/>
      <c r="AD303" s="266"/>
      <c r="AE303" s="266"/>
      <c r="AF303" s="267"/>
      <c r="AG303" s="268" t="s">
        <v>34</v>
      </c>
      <c r="AH303" s="268"/>
      <c r="AI303" s="268"/>
      <c r="AJ303" s="269"/>
      <c r="AK303" s="270"/>
      <c r="AL303" s="270"/>
      <c r="AM303" s="270"/>
      <c r="AN303" s="270"/>
      <c r="AO303" s="268" t="s">
        <v>33</v>
      </c>
      <c r="AP303" s="268"/>
      <c r="AQ303" s="268"/>
      <c r="AR303" s="271"/>
      <c r="AS303" s="272"/>
      <c r="AT303" s="272"/>
      <c r="AU303" s="272"/>
      <c r="AV303" s="273"/>
      <c r="AX303" s="275"/>
      <c r="AY303" s="275"/>
    </row>
    <row r="304" spans="1:51" ht="13.5" customHeight="1">
      <c r="A304" s="63"/>
      <c r="B304" s="13"/>
      <c r="C304" s="13"/>
      <c r="D304" s="64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65"/>
      <c r="AX304" s="62"/>
      <c r="AY304" s="62"/>
    </row>
    <row r="305" spans="1:51" ht="13.5" customHeight="1">
      <c r="A305" s="6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65"/>
      <c r="AX305" s="62"/>
      <c r="AY305" s="62"/>
    </row>
    <row r="306" spans="1:51" ht="13.5" customHeight="1">
      <c r="A306" s="6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65"/>
      <c r="AX306" s="62"/>
      <c r="AY306" s="62"/>
    </row>
    <row r="307" spans="1:51" ht="13.5" customHeight="1">
      <c r="A307" s="6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65"/>
    </row>
    <row r="308" spans="1:51" ht="13.5" customHeight="1">
      <c r="A308" s="6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65"/>
    </row>
    <row r="309" spans="1:51" ht="13.5" customHeight="1">
      <c r="A309" s="63"/>
      <c r="B309" s="13"/>
      <c r="C309" s="13"/>
      <c r="D309" s="75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65"/>
    </row>
    <row r="310" spans="1:51" ht="13.5" customHeight="1">
      <c r="A310" s="6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65"/>
    </row>
    <row r="311" spans="1:51" ht="13.5" customHeight="1">
      <c r="A311" s="6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65"/>
    </row>
    <row r="312" spans="1:51" ht="13.5" customHeight="1">
      <c r="A312" s="6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65"/>
    </row>
    <row r="313" spans="1:51" ht="13.5" customHeight="1">
      <c r="A313" s="6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65"/>
    </row>
    <row r="314" spans="1:51" ht="13.5" customHeight="1">
      <c r="A314" s="6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65"/>
    </row>
    <row r="315" spans="1:51" ht="13.5" customHeight="1">
      <c r="A315" s="6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65"/>
    </row>
    <row r="316" spans="1:51" ht="13.5" customHeight="1">
      <c r="A316" s="6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65"/>
    </row>
    <row r="317" spans="1:51" ht="13.5" customHeight="1">
      <c r="A317" s="6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65"/>
    </row>
    <row r="318" spans="1:51" ht="13.5" customHeight="1">
      <c r="A318" s="6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65"/>
    </row>
    <row r="319" spans="1:51" ht="13.5" customHeight="1">
      <c r="A319" s="63"/>
      <c r="B319" s="13"/>
      <c r="C319" s="13"/>
      <c r="D319" s="64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65"/>
    </row>
    <row r="320" spans="1:51" ht="13.5" customHeight="1">
      <c r="A320" s="63"/>
      <c r="B320" s="13"/>
      <c r="C320" s="13"/>
      <c r="D320" s="64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65"/>
    </row>
    <row r="321" spans="1:48" ht="13.5" customHeight="1">
      <c r="A321" s="6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65"/>
    </row>
    <row r="322" spans="1:48" ht="13.5" customHeight="1">
      <c r="A322" s="6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65"/>
    </row>
    <row r="323" spans="1:48" ht="13.5" customHeight="1">
      <c r="A323" s="6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65"/>
    </row>
    <row r="324" spans="1:48" ht="13.5" customHeight="1">
      <c r="A324" s="6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65"/>
    </row>
    <row r="325" spans="1:48" ht="13.5" customHeight="1">
      <c r="A325" s="6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65"/>
    </row>
    <row r="326" spans="1:48" ht="13.5" customHeight="1">
      <c r="A326" s="6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65"/>
    </row>
    <row r="327" spans="1:48" ht="13.5" customHeight="1">
      <c r="A327" s="6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65"/>
    </row>
    <row r="328" spans="1:48" ht="13.5" customHeight="1">
      <c r="A328" s="63"/>
      <c r="B328" s="13"/>
      <c r="C328" s="13"/>
      <c r="D328" s="64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65"/>
    </row>
    <row r="329" spans="1:48" ht="13.5" customHeight="1">
      <c r="A329" s="63"/>
      <c r="B329" s="13"/>
      <c r="C329" s="13"/>
      <c r="D329" s="64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65"/>
    </row>
    <row r="330" spans="1:48" ht="13.5" customHeight="1">
      <c r="A330" s="63"/>
      <c r="B330" s="13"/>
      <c r="C330" s="13"/>
      <c r="D330" s="64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65"/>
    </row>
    <row r="331" spans="1:48" ht="13.5" customHeight="1">
      <c r="A331" s="63"/>
      <c r="B331" s="13"/>
      <c r="C331" s="13"/>
      <c r="D331" s="76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65"/>
    </row>
    <row r="332" spans="1:48" ht="13.5" customHeight="1">
      <c r="A332" s="63"/>
      <c r="B332" s="13"/>
      <c r="C332" s="13"/>
      <c r="D332" s="64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65"/>
    </row>
    <row r="333" spans="1:48" ht="13.5" customHeight="1">
      <c r="A333" s="63"/>
      <c r="B333" s="13"/>
      <c r="C333" s="13"/>
      <c r="D333" s="64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65"/>
    </row>
    <row r="334" spans="1:48" ht="13.5" customHeight="1">
      <c r="A334" s="63"/>
      <c r="B334" s="13"/>
      <c r="C334" s="13"/>
      <c r="D334" s="64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65"/>
    </row>
    <row r="335" spans="1:48" ht="13.5" customHeight="1">
      <c r="A335" s="63"/>
      <c r="B335" s="13"/>
      <c r="C335" s="13"/>
      <c r="D335" s="64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65"/>
    </row>
    <row r="336" spans="1:48" ht="13.5" customHeight="1">
      <c r="A336" s="63"/>
      <c r="B336" s="13"/>
      <c r="C336" s="13"/>
      <c r="D336" s="64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65"/>
    </row>
    <row r="337" spans="1:51" ht="13.5" customHeight="1">
      <c r="A337" s="63"/>
      <c r="B337" s="13"/>
      <c r="C337" s="13"/>
      <c r="D337" s="64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65"/>
    </row>
    <row r="338" spans="1:51" ht="13.5" customHeight="1">
      <c r="A338" s="63"/>
      <c r="B338" s="13"/>
      <c r="C338" s="13"/>
      <c r="D338" s="64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65"/>
    </row>
    <row r="339" spans="1:51" ht="13.5" customHeight="1">
      <c r="A339" s="63"/>
      <c r="B339" s="13"/>
      <c r="C339" s="13"/>
      <c r="D339" s="64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65"/>
    </row>
    <row r="340" spans="1:51" ht="13.5" customHeight="1">
      <c r="A340" s="63"/>
      <c r="B340" s="13"/>
      <c r="C340" s="13"/>
      <c r="D340" s="64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65"/>
    </row>
    <row r="341" spans="1:51" ht="13.5" customHeight="1">
      <c r="A341" s="63"/>
      <c r="B341" s="13"/>
      <c r="C341" s="13"/>
      <c r="D341" s="64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65"/>
    </row>
    <row r="342" spans="1:51" ht="13.5" customHeight="1">
      <c r="A342" s="63"/>
      <c r="B342" s="13"/>
      <c r="C342" s="13"/>
      <c r="D342" s="64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65"/>
      <c r="AX342" s="62"/>
      <c r="AY342" s="62"/>
    </row>
    <row r="343" spans="1:51" ht="13.5" customHeight="1">
      <c r="A343" s="63"/>
      <c r="B343" s="13"/>
      <c r="C343" s="13"/>
      <c r="D343" s="64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65"/>
      <c r="AX343" s="62"/>
      <c r="AY343" s="62"/>
    </row>
    <row r="344" spans="1:51" ht="13.5" customHeight="1" thickBot="1">
      <c r="A344" s="67"/>
      <c r="B344" s="68"/>
      <c r="C344" s="68"/>
      <c r="D344" s="69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  <c r="AA344" s="68"/>
      <c r="AB344" s="68"/>
      <c r="AC344" s="68"/>
      <c r="AD344" s="68"/>
      <c r="AE344" s="68"/>
      <c r="AF344" s="68"/>
      <c r="AG344" s="68"/>
      <c r="AH344" s="68"/>
      <c r="AI344" s="68"/>
      <c r="AJ344" s="68"/>
      <c r="AK344" s="68"/>
      <c r="AL344" s="68"/>
      <c r="AM344" s="68"/>
      <c r="AN344" s="68"/>
      <c r="AO344" s="68"/>
      <c r="AP344" s="68"/>
      <c r="AQ344" s="68"/>
      <c r="AR344" s="68"/>
      <c r="AS344" s="68"/>
      <c r="AT344" s="68"/>
      <c r="AU344" s="68"/>
      <c r="AV344" s="70"/>
      <c r="AX344" s="238" t="str">
        <f>HYPERLINK("#$A$1","目次へ")</f>
        <v>目次へ</v>
      </c>
      <c r="AY344" s="239"/>
    </row>
  </sheetData>
  <mergeCells count="388">
    <mergeCell ref="C167:I167"/>
    <mergeCell ref="C168:I168"/>
    <mergeCell ref="C162:I162"/>
    <mergeCell ref="C163:I163"/>
    <mergeCell ref="C164:I164"/>
    <mergeCell ref="C165:I165"/>
    <mergeCell ref="C166:I166"/>
    <mergeCell ref="C157:I157"/>
    <mergeCell ref="C158:I158"/>
    <mergeCell ref="C159:I159"/>
    <mergeCell ref="C160:I160"/>
    <mergeCell ref="C161:I161"/>
    <mergeCell ref="C152:I152"/>
    <mergeCell ref="C153:I153"/>
    <mergeCell ref="C154:I154"/>
    <mergeCell ref="C155:I155"/>
    <mergeCell ref="C156:I156"/>
    <mergeCell ref="C139:I139"/>
    <mergeCell ref="C140:I140"/>
    <mergeCell ref="C141:I141"/>
    <mergeCell ref="C142:I142"/>
    <mergeCell ref="C143:I143"/>
    <mergeCell ref="C144:I144"/>
    <mergeCell ref="C145:I145"/>
    <mergeCell ref="C146:I146"/>
    <mergeCell ref="C147:I147"/>
    <mergeCell ref="C148:I148"/>
    <mergeCell ref="C149:I149"/>
    <mergeCell ref="C150:I150"/>
    <mergeCell ref="C151:I151"/>
    <mergeCell ref="AX172:AY172"/>
    <mergeCell ref="AX129:AY129"/>
    <mergeCell ref="AX215:AY215"/>
    <mergeCell ref="AX344:AY344"/>
    <mergeCell ref="S165:V165"/>
    <mergeCell ref="S166:V166"/>
    <mergeCell ref="S167:V167"/>
    <mergeCell ref="S168:V168"/>
    <mergeCell ref="AG138:AT138"/>
    <mergeCell ref="S156:V156"/>
    <mergeCell ref="S157:V157"/>
    <mergeCell ref="S158:V158"/>
    <mergeCell ref="S159:V159"/>
    <mergeCell ref="S160:V160"/>
    <mergeCell ref="S161:V161"/>
    <mergeCell ref="S162:V162"/>
    <mergeCell ref="S163:V163"/>
    <mergeCell ref="S164:V164"/>
    <mergeCell ref="AG165:AT165"/>
    <mergeCell ref="AG166:AT166"/>
    <mergeCell ref="AG167:AT167"/>
    <mergeCell ref="AG168:AT168"/>
    <mergeCell ref="S138:V138"/>
    <mergeCell ref="S146:V146"/>
    <mergeCell ref="J138:N138"/>
    <mergeCell ref="O138:R138"/>
    <mergeCell ref="S139:V139"/>
    <mergeCell ref="S140:V140"/>
    <mergeCell ref="S141:V141"/>
    <mergeCell ref="S142:V142"/>
    <mergeCell ref="S143:V143"/>
    <mergeCell ref="S144:V144"/>
    <mergeCell ref="S145:V145"/>
    <mergeCell ref="J139:N139"/>
    <mergeCell ref="J140:N140"/>
    <mergeCell ref="J141:N141"/>
    <mergeCell ref="J142:N142"/>
    <mergeCell ref="J143:N143"/>
    <mergeCell ref="J144:N144"/>
    <mergeCell ref="S147:V147"/>
    <mergeCell ref="S148:V148"/>
    <mergeCell ref="S149:V149"/>
    <mergeCell ref="S150:V150"/>
    <mergeCell ref="S151:V151"/>
    <mergeCell ref="S155:V155"/>
    <mergeCell ref="AC166:AF166"/>
    <mergeCell ref="AC167:AF167"/>
    <mergeCell ref="AC168:AF168"/>
    <mergeCell ref="AC163:AF163"/>
    <mergeCell ref="AC155:AF155"/>
    <mergeCell ref="AC156:AF156"/>
    <mergeCell ref="AA154:AB154"/>
    <mergeCell ref="AA153:AB153"/>
    <mergeCell ref="W153:Y153"/>
    <mergeCell ref="W154:Y154"/>
    <mergeCell ref="W148:Y148"/>
    <mergeCell ref="AG139:AT139"/>
    <mergeCell ref="AG140:AT140"/>
    <mergeCell ref="AG141:AT141"/>
    <mergeCell ref="AG142:AT142"/>
    <mergeCell ref="AG143:AT143"/>
    <mergeCell ref="AG144:AT144"/>
    <mergeCell ref="AG145:AT145"/>
    <mergeCell ref="AG146:AT146"/>
    <mergeCell ref="AG147:AT147"/>
    <mergeCell ref="AG148:AT148"/>
    <mergeCell ref="AG149:AT149"/>
    <mergeCell ref="AG150:AT150"/>
    <mergeCell ref="AG151:AT151"/>
    <mergeCell ref="AG152:AT152"/>
    <mergeCell ref="AG153:AT153"/>
    <mergeCell ref="AG154:AT154"/>
    <mergeCell ref="AG155:AT155"/>
    <mergeCell ref="AG156:AT156"/>
    <mergeCell ref="AG157:AT157"/>
    <mergeCell ref="AG158:AT158"/>
    <mergeCell ref="AG159:AT159"/>
    <mergeCell ref="AC157:AF157"/>
    <mergeCell ref="AC158:AF158"/>
    <mergeCell ref="AC159:AF159"/>
    <mergeCell ref="AC160:AF160"/>
    <mergeCell ref="AC161:AF161"/>
    <mergeCell ref="AC162:AF162"/>
    <mergeCell ref="O166:R166"/>
    <mergeCell ref="O167:R167"/>
    <mergeCell ref="O168:R168"/>
    <mergeCell ref="W166:Y166"/>
    <mergeCell ref="W167:Y167"/>
    <mergeCell ref="W168:Y168"/>
    <mergeCell ref="AA166:AB166"/>
    <mergeCell ref="AA167:AB167"/>
    <mergeCell ref="AA168:AB168"/>
    <mergeCell ref="O159:R159"/>
    <mergeCell ref="O160:R160"/>
    <mergeCell ref="O161:R161"/>
    <mergeCell ref="O162:R162"/>
    <mergeCell ref="O163:R163"/>
    <mergeCell ref="O164:R164"/>
    <mergeCell ref="O165:R165"/>
    <mergeCell ref="AC164:AF164"/>
    <mergeCell ref="AC165:AF165"/>
    <mergeCell ref="AA163:AB163"/>
    <mergeCell ref="AA164:AB164"/>
    <mergeCell ref="AA165:AB165"/>
    <mergeCell ref="W163:Y163"/>
    <mergeCell ref="W164:Y164"/>
    <mergeCell ref="W165:Y165"/>
    <mergeCell ref="AA162:AB162"/>
    <mergeCell ref="AA161:AB161"/>
    <mergeCell ref="W161:Y161"/>
    <mergeCell ref="W162:Y162"/>
    <mergeCell ref="J163:N163"/>
    <mergeCell ref="J164:N164"/>
    <mergeCell ref="J165:N165"/>
    <mergeCell ref="J166:N166"/>
    <mergeCell ref="J167:N167"/>
    <mergeCell ref="J168:N168"/>
    <mergeCell ref="O139:R139"/>
    <mergeCell ref="O140:R140"/>
    <mergeCell ref="O141:R141"/>
    <mergeCell ref="O142:R142"/>
    <mergeCell ref="O143:R143"/>
    <mergeCell ref="O144:R144"/>
    <mergeCell ref="O145:R145"/>
    <mergeCell ref="O146:R146"/>
    <mergeCell ref="O147:R147"/>
    <mergeCell ref="O148:R148"/>
    <mergeCell ref="O149:R149"/>
    <mergeCell ref="O150:R150"/>
    <mergeCell ref="O151:R151"/>
    <mergeCell ref="O152:R152"/>
    <mergeCell ref="O153:R153"/>
    <mergeCell ref="O154:R154"/>
    <mergeCell ref="O155:R155"/>
    <mergeCell ref="O156:R156"/>
    <mergeCell ref="J161:N161"/>
    <mergeCell ref="J162:N162"/>
    <mergeCell ref="AA160:AB160"/>
    <mergeCell ref="AA159:AB159"/>
    <mergeCell ref="W159:Y159"/>
    <mergeCell ref="W160:Y160"/>
    <mergeCell ref="J159:N159"/>
    <mergeCell ref="J160:N160"/>
    <mergeCell ref="AA138:AB138"/>
    <mergeCell ref="AA139:AB139"/>
    <mergeCell ref="AA140:AB140"/>
    <mergeCell ref="AA141:AB141"/>
    <mergeCell ref="AA142:AB142"/>
    <mergeCell ref="AA143:AB143"/>
    <mergeCell ref="W138:Y138"/>
    <mergeCell ref="W139:Y139"/>
    <mergeCell ref="W140:Y140"/>
    <mergeCell ref="W141:Y141"/>
    <mergeCell ref="W142:Y142"/>
    <mergeCell ref="W143:Y143"/>
    <mergeCell ref="AA158:AB158"/>
    <mergeCell ref="AA157:AB157"/>
    <mergeCell ref="W157:Y157"/>
    <mergeCell ref="W158:Y158"/>
    <mergeCell ref="J157:N157"/>
    <mergeCell ref="J158:N158"/>
    <mergeCell ref="AA156:AB156"/>
    <mergeCell ref="AA155:AB155"/>
    <mergeCell ref="W155:Y155"/>
    <mergeCell ref="W156:Y156"/>
    <mergeCell ref="J155:N155"/>
    <mergeCell ref="J156:N156"/>
    <mergeCell ref="O157:R157"/>
    <mergeCell ref="O158:R158"/>
    <mergeCell ref="J153:N153"/>
    <mergeCell ref="J154:N154"/>
    <mergeCell ref="AC153:AF153"/>
    <mergeCell ref="AC154:AF154"/>
    <mergeCell ref="AJ302:AN302"/>
    <mergeCell ref="AO302:AQ302"/>
    <mergeCell ref="AA146:AB146"/>
    <mergeCell ref="AA145:AB145"/>
    <mergeCell ref="W145:Y145"/>
    <mergeCell ref="W146:Y146"/>
    <mergeCell ref="J145:N145"/>
    <mergeCell ref="J146:N146"/>
    <mergeCell ref="AC145:AF145"/>
    <mergeCell ref="AC146:AF146"/>
    <mergeCell ref="AA149:AB149"/>
    <mergeCell ref="W149:Y149"/>
    <mergeCell ref="W150:Y150"/>
    <mergeCell ref="J149:N149"/>
    <mergeCell ref="J150:N150"/>
    <mergeCell ref="AC149:AF149"/>
    <mergeCell ref="AC150:AF150"/>
    <mergeCell ref="AA148:AB148"/>
    <mergeCell ref="AA147:AB147"/>
    <mergeCell ref="W147:Y147"/>
    <mergeCell ref="AR302:AV302"/>
    <mergeCell ref="AX302:AY303"/>
    <mergeCell ref="A303:C303"/>
    <mergeCell ref="D303:O303"/>
    <mergeCell ref="P303:R303"/>
    <mergeCell ref="S303:AF303"/>
    <mergeCell ref="AG303:AI303"/>
    <mergeCell ref="AJ303:AN303"/>
    <mergeCell ref="AO303:AQ303"/>
    <mergeCell ref="AR303:AV303"/>
    <mergeCell ref="A302:C302"/>
    <mergeCell ref="D302:O302"/>
    <mergeCell ref="P302:R302"/>
    <mergeCell ref="S302:AF302"/>
    <mergeCell ref="AG302:AI302"/>
    <mergeCell ref="AO174:AQ174"/>
    <mergeCell ref="AR174:AV174"/>
    <mergeCell ref="AG173:AI173"/>
    <mergeCell ref="AX43:AY43"/>
    <mergeCell ref="AX1:AY2"/>
    <mergeCell ref="AO1:AQ1"/>
    <mergeCell ref="AO2:AQ2"/>
    <mergeCell ref="AR1:AV1"/>
    <mergeCell ref="AR2:AV2"/>
    <mergeCell ref="AJ173:AN173"/>
    <mergeCell ref="AO173:AQ173"/>
    <mergeCell ref="AR173:AV173"/>
    <mergeCell ref="AX87:AY88"/>
    <mergeCell ref="AX173:AY174"/>
    <mergeCell ref="AX130:AY131"/>
    <mergeCell ref="AG160:AT160"/>
    <mergeCell ref="AG161:AT161"/>
    <mergeCell ref="AG162:AT162"/>
    <mergeCell ref="AG163:AT163"/>
    <mergeCell ref="AG164:AT164"/>
    <mergeCell ref="AJ174:AN174"/>
    <mergeCell ref="AJ2:AN2"/>
    <mergeCell ref="AG174:AI174"/>
    <mergeCell ref="AJ87:AN87"/>
    <mergeCell ref="AG1:AI1"/>
    <mergeCell ref="AG2:AI2"/>
    <mergeCell ref="AJ1:AN1"/>
    <mergeCell ref="AG88:AI88"/>
    <mergeCell ref="A173:C173"/>
    <mergeCell ref="D173:O173"/>
    <mergeCell ref="AG130:AI130"/>
    <mergeCell ref="AG131:AI131"/>
    <mergeCell ref="AO87:AQ87"/>
    <mergeCell ref="AC142:AF142"/>
    <mergeCell ref="AA144:AB144"/>
    <mergeCell ref="W144:Y144"/>
    <mergeCell ref="AC148:AF148"/>
    <mergeCell ref="AA152:AB152"/>
    <mergeCell ref="AA151:AB151"/>
    <mergeCell ref="W151:Y151"/>
    <mergeCell ref="P1:R1"/>
    <mergeCell ref="A1:C1"/>
    <mergeCell ref="D1:O1"/>
    <mergeCell ref="S1:AF1"/>
    <mergeCell ref="S2:AF2"/>
    <mergeCell ref="P2:R2"/>
    <mergeCell ref="D2:O2"/>
    <mergeCell ref="A2:C2"/>
    <mergeCell ref="J152:N152"/>
    <mergeCell ref="AC151:AF151"/>
    <mergeCell ref="AC152:AF152"/>
    <mergeCell ref="AA150:AB150"/>
    <mergeCell ref="AR87:AV87"/>
    <mergeCell ref="AJ88:AN88"/>
    <mergeCell ref="AO88:AQ88"/>
    <mergeCell ref="AR88:AV88"/>
    <mergeCell ref="AG87:AI87"/>
    <mergeCell ref="AJ130:AN130"/>
    <mergeCell ref="AO130:AQ130"/>
    <mergeCell ref="AR130:AV130"/>
    <mergeCell ref="AJ131:AN131"/>
    <mergeCell ref="AO131:AQ131"/>
    <mergeCell ref="AR131:AV131"/>
    <mergeCell ref="AC139:AF139"/>
    <mergeCell ref="AC140:AF140"/>
    <mergeCell ref="AC141:AF141"/>
    <mergeCell ref="J147:N147"/>
    <mergeCell ref="J148:N148"/>
    <mergeCell ref="AC147:AF147"/>
    <mergeCell ref="AC143:AF143"/>
    <mergeCell ref="AC144:AF144"/>
    <mergeCell ref="AC138:AF138"/>
    <mergeCell ref="A130:C130"/>
    <mergeCell ref="D130:O130"/>
    <mergeCell ref="P130:R130"/>
    <mergeCell ref="S130:AF130"/>
    <mergeCell ref="A174:C174"/>
    <mergeCell ref="D174:O174"/>
    <mergeCell ref="P174:R174"/>
    <mergeCell ref="A87:C87"/>
    <mergeCell ref="D87:O87"/>
    <mergeCell ref="P87:R87"/>
    <mergeCell ref="S87:AF87"/>
    <mergeCell ref="A131:C131"/>
    <mergeCell ref="D131:O131"/>
    <mergeCell ref="P131:R131"/>
    <mergeCell ref="S131:AF131"/>
    <mergeCell ref="P173:R173"/>
    <mergeCell ref="S173:AF173"/>
    <mergeCell ref="A88:C88"/>
    <mergeCell ref="D88:O88"/>
    <mergeCell ref="P88:R88"/>
    <mergeCell ref="S88:AF88"/>
    <mergeCell ref="S174:AF174"/>
    <mergeCell ref="W152:Y152"/>
    <mergeCell ref="J151:N151"/>
    <mergeCell ref="A216:C216"/>
    <mergeCell ref="D216:O216"/>
    <mergeCell ref="P216:R216"/>
    <mergeCell ref="S216:AF216"/>
    <mergeCell ref="AG216:AI216"/>
    <mergeCell ref="AJ216:AN216"/>
    <mergeCell ref="AO216:AQ216"/>
    <mergeCell ref="AR216:AV216"/>
    <mergeCell ref="AX216:AY217"/>
    <mergeCell ref="A217:C217"/>
    <mergeCell ref="D217:O217"/>
    <mergeCell ref="P217:R217"/>
    <mergeCell ref="S217:AF217"/>
    <mergeCell ref="AG217:AI217"/>
    <mergeCell ref="AJ217:AN217"/>
    <mergeCell ref="AO217:AQ217"/>
    <mergeCell ref="AR217:AV217"/>
    <mergeCell ref="AX301:AY301"/>
    <mergeCell ref="AX258:AY258"/>
    <mergeCell ref="A259:C259"/>
    <mergeCell ref="D259:O259"/>
    <mergeCell ref="P259:R259"/>
    <mergeCell ref="S259:AF259"/>
    <mergeCell ref="AG259:AI259"/>
    <mergeCell ref="AJ259:AN259"/>
    <mergeCell ref="AO259:AQ259"/>
    <mergeCell ref="AR259:AV259"/>
    <mergeCell ref="AX259:AY260"/>
    <mergeCell ref="A260:C260"/>
    <mergeCell ref="D260:O260"/>
    <mergeCell ref="P260:R260"/>
    <mergeCell ref="S260:AF260"/>
    <mergeCell ref="AG260:AI260"/>
    <mergeCell ref="AJ260:AN260"/>
    <mergeCell ref="AO260:AQ260"/>
    <mergeCell ref="AR260:AV260"/>
    <mergeCell ref="AX86:AY86"/>
    <mergeCell ref="A44:C44"/>
    <mergeCell ref="D44:O44"/>
    <mergeCell ref="P44:R44"/>
    <mergeCell ref="S44:AF44"/>
    <mergeCell ref="AG44:AI44"/>
    <mergeCell ref="AJ44:AN44"/>
    <mergeCell ref="AO44:AQ44"/>
    <mergeCell ref="AR44:AV44"/>
    <mergeCell ref="AX44:AY45"/>
    <mergeCell ref="A45:C45"/>
    <mergeCell ref="D45:O45"/>
    <mergeCell ref="P45:R45"/>
    <mergeCell ref="S45:AF45"/>
    <mergeCell ref="AG45:AI45"/>
    <mergeCell ref="AJ45:AN45"/>
    <mergeCell ref="AO45:AQ45"/>
    <mergeCell ref="AR45:AV45"/>
  </mergeCells>
  <phoneticPr fontId="4"/>
  <dataValidations count="4">
    <dataValidation imeMode="off" allowBlank="1" showInputMessage="1" showErrorMessage="1" sqref="H91:AM92 H97:AM97"/>
    <dataValidation type="list" allowBlank="1" showInputMessage="1" showErrorMessage="1" sqref="J139:J168">
      <formula1>SeleniumCmd</formula1>
    </dataValidation>
    <dataValidation type="list" allowBlank="1" showInputMessage="1" showErrorMessage="1" sqref="O139:O168">
      <formula1>データ型</formula1>
    </dataValidation>
    <dataValidation type="list" allowBlank="1" showInputMessage="1" showErrorMessage="1" sqref="AA139:AA168">
      <formula1>"○"</formula1>
    </dataValidation>
  </dataValidations>
  <pageMargins left="0.39370078740157483" right="0.39370078740157483" top="0.39370078740157483" bottom="0.39370078740157483" header="0.51181102362204722" footer="0.11811023622047245"/>
  <pageSetup paperSize="9" orientation="landscape" useFirstPageNumber="1" horizontalDpi="300" verticalDpi="300" r:id="rId1"/>
  <headerFooter alignWithMargins="0">
    <oddFooter>&amp;C&amp;P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3"/>
  <dimension ref="A1:AZ63"/>
  <sheetViews>
    <sheetView showGridLines="0" topLeftCell="A25" workbookViewId="0"/>
  </sheetViews>
  <sheetFormatPr defaultColWidth="3.140625" defaultRowHeight="13.5" customHeight="1"/>
  <cols>
    <col min="1" max="2" width="3.140625" style="78" customWidth="1"/>
    <col min="3" max="3" width="3.140625" style="86" customWidth="1"/>
    <col min="4" max="4" width="3.140625" style="90" customWidth="1"/>
    <col min="5" max="6" width="3.140625" style="78" customWidth="1"/>
    <col min="7" max="7" width="3" style="78" customWidth="1"/>
    <col min="8" max="32" width="3.140625" style="78" customWidth="1"/>
    <col min="33" max="45" width="3.140625" style="128" customWidth="1"/>
    <col min="46" max="46" width="3.7109375" style="128" customWidth="1"/>
    <col min="47" max="47" width="3.140625" style="128" customWidth="1"/>
    <col min="48" max="16384" width="3.140625" style="78"/>
  </cols>
  <sheetData>
    <row r="1" spans="1:52" ht="13.5" customHeight="1">
      <c r="A1" s="2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35"/>
      <c r="AV1" s="2"/>
      <c r="AW1" s="2"/>
      <c r="AX1" s="2"/>
      <c r="AY1" s="2"/>
      <c r="AZ1" s="77"/>
    </row>
    <row r="2" spans="1:52" ht="13.5" customHeight="1">
      <c r="A2" s="2"/>
      <c r="B2" s="289" t="str">
        <f>IF(顧客名&lt;&gt;"",顧客名&amp;" 御中","")</f>
        <v>○✕○✕株式会社 御中</v>
      </c>
      <c r="C2" s="289"/>
      <c r="D2" s="289"/>
      <c r="E2" s="289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289"/>
      <c r="S2" s="289"/>
      <c r="T2" s="289"/>
      <c r="U2" s="289"/>
      <c r="V2" s="289"/>
      <c r="W2" s="289"/>
      <c r="X2" s="289"/>
      <c r="Y2" s="2"/>
      <c r="Z2" s="2"/>
      <c r="AA2" s="2"/>
      <c r="AB2" s="2"/>
      <c r="AC2" s="2"/>
      <c r="AD2" s="2"/>
      <c r="AE2" s="2"/>
      <c r="AF2" s="2"/>
      <c r="AG2" s="35"/>
      <c r="AV2" s="2"/>
      <c r="AW2" s="2"/>
      <c r="AX2" s="2"/>
      <c r="AY2" s="2"/>
      <c r="AZ2" s="77"/>
    </row>
    <row r="3" spans="1:52" ht="13.5" customHeight="1">
      <c r="A3" s="2"/>
      <c r="B3" s="289"/>
      <c r="C3" s="289"/>
      <c r="D3" s="289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289"/>
      <c r="S3" s="289"/>
      <c r="T3" s="289"/>
      <c r="U3" s="289"/>
      <c r="V3" s="289"/>
      <c r="W3" s="289"/>
      <c r="X3" s="289"/>
      <c r="Y3" s="2"/>
      <c r="Z3" s="2"/>
      <c r="AA3" s="2"/>
      <c r="AB3" s="2"/>
      <c r="AC3" s="2"/>
      <c r="AD3" s="2"/>
      <c r="AE3" s="2"/>
      <c r="AF3" s="2"/>
      <c r="AG3" s="35"/>
      <c r="AV3" s="2"/>
      <c r="AW3" s="2"/>
      <c r="AX3" s="2"/>
      <c r="AY3" s="2"/>
      <c r="AZ3" s="77"/>
    </row>
    <row r="4" spans="1:52" ht="13.5" customHeight="1">
      <c r="A4" s="2"/>
      <c r="B4" s="289"/>
      <c r="C4" s="289"/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AA4" s="81"/>
      <c r="AB4" s="2"/>
      <c r="AC4" s="2"/>
      <c r="AD4" s="2"/>
      <c r="AE4" s="2"/>
      <c r="AF4" s="2"/>
      <c r="AG4" s="35"/>
      <c r="AV4" s="2"/>
      <c r="AW4" s="2"/>
      <c r="AX4" s="2"/>
      <c r="AY4" s="2"/>
      <c r="AZ4" s="77"/>
    </row>
    <row r="5" spans="1:52" ht="13.5" customHeight="1">
      <c r="A5" s="294" t="str">
        <f>設計書</f>
        <v>○✕システム [○△□プロジェクト]  設計書</v>
      </c>
      <c r="B5" s="294"/>
      <c r="C5" s="294"/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294"/>
      <c r="S5" s="294"/>
      <c r="T5" s="294"/>
      <c r="U5" s="294"/>
      <c r="V5" s="294"/>
      <c r="W5" s="294"/>
      <c r="X5" s="294"/>
      <c r="Y5" s="294"/>
      <c r="Z5" s="294"/>
      <c r="AA5" s="294"/>
      <c r="AB5" s="294"/>
      <c r="AC5" s="294"/>
      <c r="AD5" s="294"/>
      <c r="AE5" s="294"/>
      <c r="AF5" s="294"/>
      <c r="AG5" s="35"/>
      <c r="AV5" s="2"/>
      <c r="AW5" s="2"/>
      <c r="AX5" s="2"/>
      <c r="AY5" s="2"/>
      <c r="AZ5" s="77"/>
    </row>
    <row r="6" spans="1:52" ht="13.5" customHeight="1">
      <c r="A6" s="294"/>
      <c r="B6" s="294"/>
      <c r="C6" s="294"/>
      <c r="D6" s="294"/>
      <c r="E6" s="294"/>
      <c r="F6" s="294"/>
      <c r="G6" s="294"/>
      <c r="H6" s="294"/>
      <c r="I6" s="294"/>
      <c r="J6" s="294"/>
      <c r="K6" s="294"/>
      <c r="L6" s="294"/>
      <c r="M6" s="294"/>
      <c r="N6" s="294"/>
      <c r="O6" s="294"/>
      <c r="P6" s="294"/>
      <c r="Q6" s="294"/>
      <c r="R6" s="294"/>
      <c r="S6" s="294"/>
      <c r="T6" s="294"/>
      <c r="U6" s="294"/>
      <c r="V6" s="294"/>
      <c r="W6" s="294"/>
      <c r="X6" s="294"/>
      <c r="Y6" s="294"/>
      <c r="Z6" s="294"/>
      <c r="AA6" s="294"/>
      <c r="AB6" s="294"/>
      <c r="AC6" s="294"/>
      <c r="AD6" s="294"/>
      <c r="AE6" s="294"/>
      <c r="AF6" s="294"/>
      <c r="AG6" s="35"/>
      <c r="AV6" s="2"/>
      <c r="AW6" s="2"/>
      <c r="AX6" s="2"/>
      <c r="AY6" s="2"/>
      <c r="AZ6" s="77"/>
    </row>
    <row r="7" spans="1:52" ht="13.5" customHeight="1">
      <c r="A7" s="2"/>
      <c r="B7" s="2"/>
      <c r="C7" s="79"/>
      <c r="D7" s="80"/>
      <c r="E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35"/>
      <c r="AV7" s="2"/>
      <c r="AW7" s="2"/>
      <c r="AX7" s="2"/>
      <c r="AY7" s="2"/>
      <c r="AZ7" s="77"/>
    </row>
    <row r="8" spans="1:52" ht="13.5" customHeight="1">
      <c r="A8" s="2"/>
      <c r="B8" s="2"/>
      <c r="C8" s="79"/>
      <c r="D8" s="80"/>
      <c r="E8" s="2"/>
      <c r="F8" s="81"/>
      <c r="G8" s="81"/>
      <c r="H8" s="81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35"/>
      <c r="AV8" s="2"/>
      <c r="AW8" s="2"/>
      <c r="AX8" s="2"/>
      <c r="AY8" s="2"/>
      <c r="AZ8" s="77"/>
    </row>
    <row r="9" spans="1:52" ht="13.5" customHeight="1">
      <c r="A9" s="2"/>
      <c r="B9" s="2"/>
      <c r="C9" s="82"/>
      <c r="D9" s="83"/>
      <c r="E9" s="81"/>
      <c r="F9" s="81"/>
      <c r="G9" s="2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5"/>
      <c r="U9" s="85"/>
      <c r="AA9" s="81"/>
      <c r="AB9" s="2"/>
      <c r="AC9" s="2"/>
      <c r="AD9" s="2"/>
      <c r="AE9" s="2"/>
      <c r="AF9" s="2"/>
      <c r="AG9" s="35"/>
      <c r="AV9" s="2"/>
      <c r="AW9" s="2"/>
      <c r="AX9" s="2"/>
      <c r="AY9" s="2"/>
      <c r="AZ9" s="77"/>
    </row>
    <row r="10" spans="1:52" ht="13.5" customHeight="1">
      <c r="A10" s="81"/>
      <c r="B10" s="81"/>
      <c r="D10" s="83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35"/>
      <c r="AV10" s="2"/>
      <c r="AW10" s="2"/>
      <c r="AX10" s="2"/>
      <c r="AY10" s="2"/>
      <c r="AZ10" s="77"/>
    </row>
    <row r="11" spans="1:52" ht="13.5" customHeight="1">
      <c r="A11" s="81"/>
      <c r="B11" s="81"/>
      <c r="D11" s="83"/>
      <c r="E11" s="81"/>
      <c r="F11" s="81"/>
      <c r="G11" s="81"/>
      <c r="H11" s="87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35"/>
      <c r="AV11" s="2"/>
      <c r="AW11" s="2"/>
      <c r="AX11" s="2"/>
      <c r="AY11" s="2"/>
      <c r="AZ11" s="77"/>
    </row>
    <row r="12" spans="1:52" ht="13.5" customHeight="1">
      <c r="A12" s="81"/>
      <c r="B12" s="81"/>
      <c r="D12" s="83"/>
      <c r="E12" s="81"/>
      <c r="F12" s="81"/>
      <c r="G12" s="81"/>
      <c r="H12" s="87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35"/>
      <c r="AV12" s="2"/>
      <c r="AW12" s="2"/>
      <c r="AX12" s="2"/>
      <c r="AY12" s="2"/>
      <c r="AZ12" s="77"/>
    </row>
    <row r="13" spans="1:52" ht="13.5" customHeight="1">
      <c r="A13" s="81"/>
      <c r="B13" s="81"/>
      <c r="D13" s="83"/>
      <c r="E13" s="81"/>
      <c r="F13" s="81"/>
      <c r="G13" s="81"/>
      <c r="H13" s="87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35"/>
      <c r="AV13" s="2"/>
      <c r="AW13" s="2"/>
      <c r="AX13" s="2"/>
      <c r="AY13" s="2"/>
      <c r="AZ13" s="77"/>
    </row>
    <row r="14" spans="1:52" ht="13.5" customHeight="1">
      <c r="A14" s="81"/>
      <c r="B14" s="81"/>
      <c r="D14" s="83"/>
      <c r="E14" s="81"/>
      <c r="F14" s="81"/>
      <c r="G14" s="81"/>
      <c r="H14" s="87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F14" s="81"/>
      <c r="AG14" s="35"/>
      <c r="AV14" s="2"/>
      <c r="AW14" s="2"/>
      <c r="AX14" s="2"/>
      <c r="AY14" s="2"/>
      <c r="AZ14" s="77"/>
    </row>
    <row r="15" spans="1:52" ht="13.5" customHeight="1">
      <c r="A15" s="81"/>
      <c r="B15" s="81"/>
      <c r="D15" s="83"/>
      <c r="E15" s="81"/>
      <c r="F15" s="81"/>
      <c r="G15" s="81"/>
      <c r="H15" s="87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  <c r="AG15" s="35"/>
      <c r="AV15" s="2"/>
      <c r="AW15" s="2"/>
      <c r="AX15" s="2"/>
      <c r="AY15" s="2"/>
      <c r="AZ15" s="77"/>
    </row>
    <row r="16" spans="1:52" ht="13.5" customHeight="1">
      <c r="A16" s="81"/>
      <c r="B16" s="81"/>
      <c r="D16" s="83"/>
      <c r="E16" s="81"/>
      <c r="F16" s="81"/>
      <c r="G16" s="81"/>
      <c r="H16" s="87"/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81"/>
      <c r="AG16" s="35"/>
      <c r="AV16" s="2"/>
      <c r="AW16" s="2"/>
      <c r="AX16" s="2"/>
      <c r="AY16" s="2"/>
      <c r="AZ16" s="77"/>
    </row>
    <row r="17" spans="1:52" ht="13.5" customHeight="1">
      <c r="A17" s="81"/>
      <c r="B17" s="81"/>
      <c r="D17" s="83"/>
      <c r="E17" s="81"/>
      <c r="F17" s="81"/>
      <c r="G17" s="81"/>
      <c r="H17" s="87"/>
      <c r="I17" s="81"/>
      <c r="J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  <c r="AG17" s="35"/>
      <c r="AV17" s="2"/>
      <c r="AW17" s="2"/>
      <c r="AX17" s="2"/>
      <c r="AY17" s="2"/>
      <c r="AZ17" s="77"/>
    </row>
    <row r="18" spans="1:52" ht="13.5" customHeight="1">
      <c r="A18" s="81"/>
      <c r="B18" s="81"/>
      <c r="D18" s="83"/>
      <c r="E18" s="81"/>
      <c r="F18" s="81"/>
      <c r="G18" s="81"/>
      <c r="H18" s="87"/>
      <c r="I18" s="81"/>
      <c r="J18" s="81"/>
      <c r="K18" s="81"/>
      <c r="L18" s="81"/>
      <c r="M18" s="81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F18" s="81"/>
      <c r="AG18" s="35"/>
      <c r="AV18" s="2"/>
      <c r="AW18" s="2"/>
      <c r="AX18" s="2"/>
      <c r="AY18" s="2"/>
      <c r="AZ18" s="77"/>
    </row>
    <row r="19" spans="1:52" ht="13.5" customHeight="1">
      <c r="A19" s="81"/>
      <c r="B19" s="81"/>
      <c r="D19" s="83"/>
      <c r="E19" s="81"/>
      <c r="F19" s="81"/>
      <c r="G19" s="81"/>
      <c r="H19" s="87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81"/>
      <c r="AG19" s="35"/>
      <c r="AV19" s="2"/>
      <c r="AW19" s="2"/>
      <c r="AX19" s="2"/>
      <c r="AY19" s="2"/>
      <c r="AZ19" s="77"/>
    </row>
    <row r="20" spans="1:52" ht="13.5" customHeight="1">
      <c r="A20" s="81"/>
      <c r="B20" s="81"/>
      <c r="D20" s="83"/>
      <c r="E20" s="81"/>
      <c r="F20" s="81"/>
      <c r="G20" s="81"/>
      <c r="H20" s="87"/>
      <c r="I20" s="81"/>
      <c r="J20" s="81"/>
      <c r="K20" s="81"/>
      <c r="L20" s="81"/>
      <c r="M20" s="81"/>
      <c r="N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81"/>
      <c r="AG20" s="35"/>
      <c r="AV20" s="2"/>
      <c r="AW20" s="2"/>
      <c r="AX20" s="2"/>
      <c r="AY20" s="2"/>
      <c r="AZ20" s="77"/>
    </row>
    <row r="21" spans="1:52" ht="13.5" customHeight="1">
      <c r="A21" s="81"/>
      <c r="B21" s="81"/>
      <c r="D21" s="83"/>
      <c r="E21" s="81"/>
      <c r="F21" s="81"/>
      <c r="G21" s="81"/>
      <c r="H21" s="87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/>
      <c r="AF21" s="81"/>
      <c r="AG21" s="35"/>
      <c r="AV21" s="2"/>
      <c r="AW21" s="2"/>
      <c r="AX21" s="2"/>
      <c r="AY21" s="2"/>
      <c r="AZ21" s="77"/>
    </row>
    <row r="22" spans="1:52" ht="13.5" customHeight="1">
      <c r="A22" s="81"/>
      <c r="B22" s="81"/>
      <c r="D22" s="83"/>
      <c r="E22" s="81"/>
      <c r="F22" s="81"/>
      <c r="G22" s="81"/>
      <c r="H22" s="87"/>
      <c r="I22" s="81"/>
      <c r="J22" s="81"/>
      <c r="K22" s="81"/>
      <c r="L22" s="81"/>
      <c r="M22" s="81"/>
      <c r="R22" s="81"/>
      <c r="S22" s="81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  <c r="AF22" s="81"/>
      <c r="AG22" s="35"/>
      <c r="AV22" s="2"/>
      <c r="AW22" s="2"/>
      <c r="AX22" s="2"/>
      <c r="AY22" s="2"/>
      <c r="AZ22" s="77"/>
    </row>
    <row r="23" spans="1:52" ht="13.5" customHeight="1">
      <c r="A23" s="81"/>
      <c r="B23" s="81"/>
      <c r="D23" s="83"/>
      <c r="E23" s="81"/>
      <c r="F23" s="81"/>
      <c r="G23" s="81"/>
      <c r="H23" s="87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  <c r="AF23" s="81"/>
      <c r="AG23" s="35"/>
      <c r="AV23" s="2"/>
      <c r="AW23" s="2"/>
      <c r="AX23" s="2"/>
      <c r="AY23" s="2"/>
      <c r="AZ23" s="77"/>
    </row>
    <row r="24" spans="1:52" ht="13.5" customHeight="1">
      <c r="A24" s="81"/>
      <c r="B24" s="81"/>
      <c r="D24" s="83"/>
      <c r="E24" s="81"/>
      <c r="F24" s="81"/>
      <c r="G24" s="81"/>
      <c r="H24" s="87"/>
      <c r="I24" s="81"/>
      <c r="J24" s="81"/>
      <c r="K24" s="81"/>
      <c r="L24" s="81"/>
      <c r="M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  <c r="AE24" s="81"/>
      <c r="AF24" s="81"/>
      <c r="AG24" s="35"/>
      <c r="AV24" s="2"/>
      <c r="AW24" s="2"/>
      <c r="AX24" s="2"/>
      <c r="AY24" s="2"/>
      <c r="AZ24" s="77"/>
    </row>
    <row r="25" spans="1:52" ht="13.5" customHeight="1">
      <c r="A25" s="81"/>
      <c r="B25" s="81"/>
      <c r="D25" s="83"/>
      <c r="E25" s="81"/>
      <c r="F25" s="81"/>
      <c r="G25" s="81"/>
      <c r="H25" s="87"/>
      <c r="I25" s="88"/>
      <c r="J25" s="88"/>
      <c r="K25" s="88"/>
      <c r="L25" s="88"/>
      <c r="M25" s="88"/>
      <c r="N25" s="88"/>
      <c r="O25" s="88"/>
      <c r="P25" s="88"/>
      <c r="Q25" s="88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  <c r="AE25" s="81"/>
      <c r="AF25" s="81"/>
      <c r="AG25" s="35"/>
      <c r="AV25" s="2"/>
      <c r="AW25" s="2"/>
      <c r="AX25" s="2"/>
      <c r="AY25" s="2"/>
      <c r="AZ25" s="77"/>
    </row>
    <row r="26" spans="1:52" ht="13.5" customHeight="1">
      <c r="A26" s="81"/>
      <c r="B26" s="81"/>
      <c r="D26" s="83"/>
      <c r="E26" s="81"/>
      <c r="F26" s="81"/>
      <c r="G26" s="81"/>
      <c r="H26" s="87"/>
      <c r="I26" s="81"/>
      <c r="J26" s="81"/>
      <c r="K26" s="81"/>
      <c r="L26" s="81"/>
      <c r="M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81"/>
      <c r="AG26" s="35"/>
      <c r="AV26" s="2"/>
      <c r="AW26" s="2"/>
      <c r="AX26" s="2"/>
      <c r="AY26" s="2"/>
      <c r="AZ26" s="77"/>
    </row>
    <row r="27" spans="1:52" ht="13.5" customHeight="1">
      <c r="A27" s="81"/>
      <c r="B27" s="81"/>
      <c r="D27" s="83"/>
      <c r="E27" s="81"/>
      <c r="F27" s="81"/>
      <c r="G27" s="81"/>
      <c r="H27" s="87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81"/>
      <c r="AG27" s="35"/>
      <c r="AV27" s="2"/>
      <c r="AW27" s="2"/>
      <c r="AX27" s="2"/>
      <c r="AY27" s="2"/>
      <c r="AZ27" s="77"/>
    </row>
    <row r="28" spans="1:52" ht="13.5" customHeight="1">
      <c r="A28" s="81"/>
      <c r="B28" s="81"/>
      <c r="D28" s="83"/>
      <c r="E28" s="81"/>
      <c r="F28" s="81"/>
      <c r="G28" s="81"/>
      <c r="H28" s="87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35"/>
      <c r="AV28" s="2"/>
      <c r="AW28" s="2"/>
      <c r="AX28" s="2"/>
      <c r="AY28" s="2"/>
      <c r="AZ28" s="77"/>
    </row>
    <row r="29" spans="1:52" ht="13.5" customHeight="1">
      <c r="A29" s="81"/>
      <c r="B29" s="81"/>
      <c r="D29" s="83"/>
      <c r="E29" s="81"/>
      <c r="F29" s="81"/>
      <c r="G29" s="81"/>
      <c r="H29" s="87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  <c r="AG29" s="35"/>
      <c r="AV29" s="2"/>
      <c r="AW29" s="2"/>
      <c r="AX29" s="2"/>
      <c r="AY29" s="2"/>
      <c r="AZ29" s="77"/>
    </row>
    <row r="30" spans="1:52" ht="13.5" customHeight="1">
      <c r="A30" s="81"/>
      <c r="B30" s="81"/>
      <c r="D30" s="83"/>
      <c r="E30" s="81"/>
      <c r="F30" s="81"/>
      <c r="G30" s="81"/>
      <c r="H30" s="87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  <c r="AG30" s="35"/>
      <c r="AV30" s="2"/>
      <c r="AW30" s="2"/>
      <c r="AX30" s="2"/>
      <c r="AY30" s="2"/>
      <c r="AZ30" s="77"/>
    </row>
    <row r="31" spans="1:52" ht="13.5" customHeight="1">
      <c r="A31" s="81"/>
      <c r="B31" s="81"/>
      <c r="D31" s="83"/>
      <c r="E31" s="81"/>
      <c r="F31" s="81"/>
      <c r="G31" s="81"/>
      <c r="H31" s="87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35"/>
      <c r="AV31" s="2"/>
      <c r="AW31" s="2"/>
      <c r="AX31" s="2"/>
      <c r="AY31" s="2"/>
      <c r="AZ31" s="77"/>
    </row>
    <row r="32" spans="1:52" ht="13.5" customHeight="1">
      <c r="A32" s="81"/>
      <c r="B32" s="81"/>
      <c r="D32" s="83"/>
      <c r="E32" s="81"/>
      <c r="F32" s="81"/>
      <c r="G32" s="81"/>
      <c r="H32" s="87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  <c r="AG32" s="35"/>
      <c r="AV32" s="2"/>
      <c r="AW32" s="2"/>
      <c r="AX32" s="2"/>
      <c r="AY32" s="2"/>
      <c r="AZ32" s="77"/>
    </row>
    <row r="33" spans="1:52" ht="13.5" customHeight="1">
      <c r="A33" s="81"/>
      <c r="B33" s="81"/>
      <c r="D33" s="83"/>
      <c r="E33" s="81"/>
      <c r="F33" s="81"/>
      <c r="G33" s="81"/>
      <c r="H33" s="87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  <c r="AD33" s="81"/>
      <c r="AE33" s="81"/>
      <c r="AG33" s="35"/>
      <c r="AV33" s="2"/>
      <c r="AW33" s="2"/>
      <c r="AX33" s="2"/>
      <c r="AY33" s="2"/>
      <c r="AZ33" s="77"/>
    </row>
    <row r="34" spans="1:52" ht="13.5" customHeight="1">
      <c r="A34" s="81"/>
      <c r="B34" s="81"/>
      <c r="D34" s="83"/>
      <c r="E34" s="81"/>
      <c r="F34" s="81"/>
      <c r="G34" s="81"/>
      <c r="H34" s="87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1"/>
      <c r="AE34" s="81"/>
      <c r="AG34" s="35"/>
      <c r="AV34" s="2"/>
      <c r="AW34" s="2"/>
      <c r="AX34" s="2"/>
      <c r="AY34" s="2"/>
      <c r="AZ34" s="77"/>
    </row>
    <row r="35" spans="1:52" ht="13.5" customHeight="1">
      <c r="A35" s="81"/>
      <c r="B35" s="81"/>
      <c r="D35" s="83"/>
      <c r="F35" s="81"/>
      <c r="G35" s="81"/>
      <c r="H35" s="87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  <c r="AD35" s="81"/>
      <c r="AE35" s="81"/>
      <c r="AG35" s="35"/>
      <c r="AV35" s="2"/>
      <c r="AW35" s="2"/>
      <c r="AX35" s="2"/>
      <c r="AY35" s="2"/>
      <c r="AZ35" s="77"/>
    </row>
    <row r="36" spans="1:52" ht="13.5" customHeight="1">
      <c r="A36" s="81"/>
      <c r="B36" s="81"/>
      <c r="D36" s="83"/>
      <c r="F36" s="81"/>
      <c r="G36" s="81"/>
      <c r="H36" s="87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  <c r="AD36" s="81"/>
      <c r="AE36" s="81"/>
      <c r="AF36" s="81"/>
      <c r="AG36" s="35"/>
      <c r="AV36" s="2"/>
      <c r="AW36" s="2"/>
      <c r="AX36" s="2"/>
      <c r="AY36" s="2"/>
      <c r="AZ36" s="77"/>
    </row>
    <row r="37" spans="1:52" ht="13.5" customHeight="1">
      <c r="A37" s="81"/>
      <c r="B37" s="81"/>
      <c r="D37" s="83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81"/>
      <c r="AG37" s="35"/>
      <c r="AY37" s="89"/>
      <c r="AZ37" s="77"/>
    </row>
    <row r="38" spans="1:52" ht="13.5" customHeight="1">
      <c r="A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35"/>
      <c r="AV38" s="2"/>
      <c r="AW38" s="2"/>
      <c r="AX38" s="2"/>
      <c r="AY38" s="2"/>
      <c r="AZ38" s="77"/>
    </row>
    <row r="39" spans="1:52" ht="13.5" customHeight="1">
      <c r="AG39" s="35"/>
      <c r="AV39" s="77"/>
      <c r="AW39" s="77"/>
      <c r="AX39" s="77"/>
      <c r="AY39" s="77"/>
      <c r="AZ39" s="77"/>
    </row>
    <row r="40" spans="1:52" ht="13.5" customHeight="1">
      <c r="AG40" s="35"/>
      <c r="AV40" s="77"/>
      <c r="AW40" s="77"/>
      <c r="AX40" s="77"/>
      <c r="AY40" s="77"/>
      <c r="AZ40" s="77"/>
    </row>
    <row r="41" spans="1:52" ht="13.5" customHeight="1">
      <c r="AG41" s="35"/>
      <c r="AV41" s="77"/>
      <c r="AW41" s="77"/>
      <c r="AX41" s="77"/>
      <c r="AY41" s="77"/>
      <c r="AZ41" s="77"/>
    </row>
    <row r="42" spans="1:52" ht="13.5" customHeight="1">
      <c r="AG42" s="35"/>
      <c r="AV42" s="77"/>
      <c r="AW42" s="77"/>
      <c r="AX42" s="77"/>
      <c r="AY42" s="77"/>
      <c r="AZ42" s="77"/>
    </row>
    <row r="43" spans="1:52" ht="13.5" customHeight="1">
      <c r="AG43" s="35"/>
      <c r="AV43" s="77"/>
      <c r="AW43" s="77"/>
      <c r="AX43" s="77"/>
      <c r="AY43" s="77"/>
      <c r="AZ43" s="77"/>
    </row>
    <row r="44" spans="1:52" ht="13.5" customHeight="1">
      <c r="AG44" s="35"/>
    </row>
    <row r="45" spans="1:52" ht="13.5" customHeight="1">
      <c r="AG45" s="35"/>
    </row>
    <row r="46" spans="1:52" ht="13.5" customHeight="1">
      <c r="AG46" s="35"/>
    </row>
    <row r="47" spans="1:52" ht="13.5" customHeight="1">
      <c r="AG47" s="35"/>
    </row>
    <row r="48" spans="1:52" ht="13.5" customHeight="1">
      <c r="AG48" s="35"/>
    </row>
    <row r="49" spans="1:33" ht="13.5" customHeight="1">
      <c r="AG49" s="35"/>
    </row>
    <row r="50" spans="1:33" ht="13.5" customHeight="1">
      <c r="AG50" s="35"/>
    </row>
    <row r="51" spans="1:33" ht="13.5" customHeight="1">
      <c r="AG51" s="35"/>
    </row>
    <row r="52" spans="1:33" ht="13.5" customHeight="1">
      <c r="AG52" s="35"/>
    </row>
    <row r="53" spans="1:33" ht="13.5" customHeight="1">
      <c r="AG53" s="35"/>
    </row>
    <row r="54" spans="1:33" ht="13.5" customHeight="1">
      <c r="AG54" s="35"/>
    </row>
    <row r="55" spans="1:33" ht="13.5" customHeight="1">
      <c r="B55" s="81"/>
      <c r="D55" s="83"/>
      <c r="AG55" s="35"/>
    </row>
    <row r="56" spans="1:33" ht="13.5" customHeight="1">
      <c r="B56" s="137" t="s">
        <v>4</v>
      </c>
      <c r="C56" s="138"/>
      <c r="D56" s="139"/>
      <c r="E56" s="137" t="s">
        <v>4</v>
      </c>
      <c r="F56" s="138"/>
      <c r="G56" s="139"/>
      <c r="H56" s="137" t="s">
        <v>154</v>
      </c>
      <c r="I56" s="138"/>
      <c r="J56" s="139"/>
      <c r="K56" s="137" t="s">
        <v>153</v>
      </c>
      <c r="L56" s="138"/>
      <c r="M56" s="139"/>
      <c r="S56" s="81"/>
      <c r="Y56" s="81"/>
      <c r="Z56" s="81"/>
      <c r="AA56" s="81"/>
      <c r="AB56" s="81"/>
      <c r="AC56" s="81"/>
      <c r="AD56" s="81"/>
      <c r="AE56" s="81"/>
      <c r="AG56" s="35"/>
    </row>
    <row r="57" spans="1:33" ht="13.5" customHeight="1">
      <c r="B57" s="140"/>
      <c r="C57" s="141"/>
      <c r="D57" s="141"/>
      <c r="E57" s="140"/>
      <c r="F57" s="141"/>
      <c r="G57" s="141"/>
      <c r="H57" s="140"/>
      <c r="I57" s="141"/>
      <c r="J57" s="141"/>
      <c r="K57" s="140"/>
      <c r="L57" s="141"/>
      <c r="M57" s="142"/>
      <c r="S57" s="91"/>
      <c r="AG57" s="35"/>
    </row>
    <row r="58" spans="1:33" ht="13.5" customHeight="1">
      <c r="B58" s="143"/>
      <c r="C58" s="144"/>
      <c r="D58" s="144"/>
      <c r="E58" s="143"/>
      <c r="F58" s="144"/>
      <c r="G58" s="144"/>
      <c r="H58" s="143"/>
      <c r="I58" s="144"/>
      <c r="J58" s="144"/>
      <c r="K58" s="143"/>
      <c r="L58" s="144"/>
      <c r="M58" s="145"/>
      <c r="S58" s="91"/>
      <c r="AG58" s="35"/>
    </row>
    <row r="59" spans="1:33" ht="13.5" customHeight="1">
      <c r="B59" s="146"/>
      <c r="C59" s="147"/>
      <c r="D59" s="147"/>
      <c r="E59" s="146"/>
      <c r="F59" s="147"/>
      <c r="G59" s="147"/>
      <c r="H59" s="146"/>
      <c r="I59" s="147"/>
      <c r="J59" s="147"/>
      <c r="K59" s="146"/>
      <c r="L59" s="147"/>
      <c r="M59" s="148"/>
      <c r="X59" s="92"/>
      <c r="Y59" s="92"/>
      <c r="Z59" s="92"/>
      <c r="AA59" s="92"/>
      <c r="AB59" s="92"/>
      <c r="AC59" s="92"/>
      <c r="AD59" s="92"/>
      <c r="AE59" s="92"/>
      <c r="AG59" s="35"/>
    </row>
    <row r="60" spans="1:33" ht="13.5" customHeight="1">
      <c r="X60" s="290" t="e">
        <f>MAX(改訂日)</f>
        <v>#NAME?</v>
      </c>
      <c r="Y60" s="291"/>
      <c r="Z60" s="291"/>
      <c r="AA60" s="291"/>
      <c r="AB60" s="291"/>
      <c r="AC60" s="292" t="e">
        <f>MAX(改訂番号)</f>
        <v>#NAME?</v>
      </c>
      <c r="AD60" s="293"/>
      <c r="AE60" s="293"/>
      <c r="AG60" s="35"/>
    </row>
    <row r="61" spans="1:33" ht="13.5" customHeight="1">
      <c r="X61" s="92"/>
      <c r="Y61" s="92"/>
      <c r="Z61" s="92"/>
      <c r="AA61" s="92"/>
      <c r="AB61" s="92"/>
      <c r="AC61" s="92"/>
      <c r="AD61" s="92"/>
      <c r="AE61" s="92"/>
      <c r="AG61" s="35"/>
    </row>
    <row r="62" spans="1:33" ht="13.5" customHeight="1">
      <c r="AG62" s="35"/>
    </row>
    <row r="63" spans="1:33" ht="13.5" customHeight="1">
      <c r="A63" s="36"/>
      <c r="B63" s="36"/>
      <c r="C63" s="37"/>
      <c r="D63" s="38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5"/>
    </row>
  </sheetData>
  <mergeCells count="4">
    <mergeCell ref="B2:X4"/>
    <mergeCell ref="X60:AB60"/>
    <mergeCell ref="AC60:AE60"/>
    <mergeCell ref="A5:AF6"/>
  </mergeCells>
  <phoneticPr fontId="4"/>
  <pageMargins left="0.39370078740157483" right="0.39370078740157483" top="0.39370078740157483" bottom="0.39370078740157483" header="0.51181102362204722" footer="0.11811023622047245"/>
  <pageSetup paperSize="9" orientation="portrait" useFirstPageNumber="1" verticalDpi="300" copies="3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4"/>
  <dimension ref="A1:AZ44"/>
  <sheetViews>
    <sheetView showGridLines="0" workbookViewId="0">
      <selection activeCell="Q34" sqref="Q34"/>
    </sheetView>
  </sheetViews>
  <sheetFormatPr defaultColWidth="3.140625" defaultRowHeight="13.5" customHeight="1"/>
  <cols>
    <col min="1" max="2" width="3.140625" style="78" customWidth="1"/>
    <col min="3" max="3" width="3.140625" style="86" customWidth="1"/>
    <col min="4" max="4" width="3.140625" style="90" customWidth="1"/>
    <col min="5" max="6" width="3.140625" style="78" customWidth="1"/>
    <col min="7" max="7" width="3" style="78" customWidth="1"/>
    <col min="8" max="45" width="3.140625" style="78" customWidth="1"/>
    <col min="46" max="46" width="3.7109375" style="78" customWidth="1"/>
    <col min="47" max="16384" width="3.140625" style="78"/>
  </cols>
  <sheetData>
    <row r="1" spans="1:52" ht="13.5" customHeight="1">
      <c r="A1" s="93"/>
      <c r="B1" s="93"/>
      <c r="C1" s="300" t="str">
        <f>IF(顧客名&lt;&gt;"",顧客名&amp;" 御中","")</f>
        <v>○✕○✕株式会社 御中</v>
      </c>
      <c r="D1" s="300"/>
      <c r="E1" s="300"/>
      <c r="F1" s="300"/>
      <c r="G1" s="300"/>
      <c r="H1" s="300"/>
      <c r="I1" s="300"/>
      <c r="J1" s="300"/>
      <c r="K1" s="300"/>
      <c r="L1" s="300"/>
      <c r="M1" s="300"/>
      <c r="N1" s="300"/>
      <c r="O1" s="300"/>
      <c r="P1" s="300"/>
      <c r="Q1" s="300"/>
      <c r="R1" s="300"/>
      <c r="S1" s="300"/>
      <c r="T1" s="300"/>
      <c r="U1" s="300"/>
      <c r="V1" s="300"/>
      <c r="W1" s="300"/>
      <c r="X1" s="300"/>
      <c r="Y1" s="300"/>
      <c r="Z1" s="300"/>
      <c r="AA1" s="300"/>
      <c r="AB1" s="300"/>
      <c r="AC1" s="300"/>
      <c r="AD1" s="300"/>
      <c r="AE1" s="300"/>
      <c r="AF1" s="300"/>
      <c r="AG1" s="300"/>
      <c r="AH1" s="300"/>
      <c r="AI1" s="300"/>
      <c r="AJ1" s="300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39"/>
      <c r="AW1" s="2"/>
      <c r="AX1" s="2"/>
      <c r="AY1" s="2"/>
      <c r="AZ1" s="77"/>
    </row>
    <row r="2" spans="1:52" ht="13.5" customHeight="1">
      <c r="A2" s="93"/>
      <c r="B2" s="93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  <c r="Z2" s="300"/>
      <c r="AA2" s="300"/>
      <c r="AB2" s="300"/>
      <c r="AC2" s="300"/>
      <c r="AD2" s="300"/>
      <c r="AE2" s="300"/>
      <c r="AF2" s="300"/>
      <c r="AG2" s="300"/>
      <c r="AH2" s="300"/>
      <c r="AI2" s="300"/>
      <c r="AJ2" s="300"/>
      <c r="AK2" s="93"/>
      <c r="AL2" s="93"/>
      <c r="AM2" s="93"/>
      <c r="AN2" s="93"/>
      <c r="AO2" s="93"/>
      <c r="AP2" s="93"/>
      <c r="AQ2" s="93"/>
      <c r="AR2" s="93"/>
      <c r="AS2" s="93"/>
      <c r="AT2" s="93"/>
      <c r="AU2" s="93"/>
      <c r="AV2" s="39"/>
      <c r="AW2" s="2"/>
      <c r="AX2" s="2"/>
      <c r="AY2" s="2"/>
      <c r="AZ2" s="77"/>
    </row>
    <row r="3" spans="1:52" ht="13.5" customHeight="1">
      <c r="A3" s="93"/>
      <c r="B3" s="93"/>
      <c r="C3" s="300"/>
      <c r="D3" s="300"/>
      <c r="E3" s="300"/>
      <c r="F3" s="300"/>
      <c r="G3" s="300"/>
      <c r="H3" s="300"/>
      <c r="I3" s="300"/>
      <c r="J3" s="300"/>
      <c r="K3" s="300"/>
      <c r="L3" s="300"/>
      <c r="M3" s="300"/>
      <c r="N3" s="300"/>
      <c r="O3" s="300"/>
      <c r="P3" s="300"/>
      <c r="Q3" s="300"/>
      <c r="R3" s="300"/>
      <c r="S3" s="300"/>
      <c r="T3" s="300"/>
      <c r="U3" s="300"/>
      <c r="V3" s="300"/>
      <c r="W3" s="300"/>
      <c r="X3" s="300"/>
      <c r="Y3" s="300"/>
      <c r="Z3" s="300"/>
      <c r="AA3" s="300"/>
      <c r="AB3" s="300"/>
      <c r="AC3" s="300"/>
      <c r="AD3" s="300"/>
      <c r="AE3" s="300"/>
      <c r="AF3" s="300"/>
      <c r="AG3" s="300"/>
      <c r="AH3" s="300"/>
      <c r="AI3" s="300"/>
      <c r="AJ3" s="300"/>
      <c r="AK3" s="93"/>
      <c r="AL3" s="93"/>
      <c r="AM3" s="93"/>
      <c r="AN3" s="93"/>
      <c r="AO3" s="93"/>
      <c r="AP3" s="93"/>
      <c r="AQ3" s="93"/>
      <c r="AR3" s="93"/>
      <c r="AS3" s="93"/>
      <c r="AT3" s="93"/>
      <c r="AU3" s="93"/>
      <c r="AV3" s="39"/>
      <c r="AW3" s="2"/>
      <c r="AX3" s="2"/>
      <c r="AY3" s="2"/>
      <c r="AZ3" s="77"/>
    </row>
    <row r="4" spans="1:52" ht="13.5" customHeight="1">
      <c r="A4" s="299" t="str">
        <f>設計書</f>
        <v>○✕システム [○△□プロジェクト]  設計書</v>
      </c>
      <c r="B4" s="299"/>
      <c r="C4" s="299"/>
      <c r="D4" s="299"/>
      <c r="E4" s="299"/>
      <c r="F4" s="299"/>
      <c r="G4" s="299"/>
      <c r="H4" s="299"/>
      <c r="I4" s="299"/>
      <c r="J4" s="299"/>
      <c r="K4" s="299"/>
      <c r="L4" s="299"/>
      <c r="M4" s="299"/>
      <c r="N4" s="299"/>
      <c r="O4" s="299"/>
      <c r="P4" s="299"/>
      <c r="Q4" s="299"/>
      <c r="R4" s="299"/>
      <c r="S4" s="299"/>
      <c r="T4" s="299"/>
      <c r="U4" s="299"/>
      <c r="V4" s="299"/>
      <c r="W4" s="299"/>
      <c r="X4" s="299"/>
      <c r="Y4" s="299"/>
      <c r="Z4" s="299"/>
      <c r="AA4" s="299"/>
      <c r="AB4" s="299"/>
      <c r="AC4" s="299"/>
      <c r="AD4" s="299"/>
      <c r="AE4" s="299"/>
      <c r="AF4" s="299"/>
      <c r="AG4" s="299"/>
      <c r="AH4" s="299"/>
      <c r="AI4" s="299"/>
      <c r="AJ4" s="299"/>
      <c r="AK4" s="299"/>
      <c r="AL4" s="299"/>
      <c r="AM4" s="299"/>
      <c r="AN4" s="299"/>
      <c r="AO4" s="299"/>
      <c r="AP4" s="299"/>
      <c r="AQ4" s="299"/>
      <c r="AR4" s="299"/>
      <c r="AS4" s="299"/>
      <c r="AT4" s="299"/>
      <c r="AU4" s="299"/>
      <c r="AV4" s="40"/>
      <c r="AW4" s="128"/>
      <c r="AX4" s="128"/>
      <c r="AY4" s="128"/>
      <c r="AZ4" s="77"/>
    </row>
    <row r="5" spans="1:52" ht="13.5" customHeight="1">
      <c r="A5" s="299"/>
      <c r="B5" s="299"/>
      <c r="C5" s="299"/>
      <c r="D5" s="299"/>
      <c r="E5" s="299"/>
      <c r="F5" s="299"/>
      <c r="G5" s="299"/>
      <c r="H5" s="299"/>
      <c r="I5" s="299"/>
      <c r="J5" s="299"/>
      <c r="K5" s="299"/>
      <c r="L5" s="299"/>
      <c r="M5" s="299"/>
      <c r="N5" s="299"/>
      <c r="O5" s="299"/>
      <c r="P5" s="299"/>
      <c r="Q5" s="299"/>
      <c r="R5" s="299"/>
      <c r="S5" s="299"/>
      <c r="T5" s="299"/>
      <c r="U5" s="299"/>
      <c r="V5" s="299"/>
      <c r="W5" s="299"/>
      <c r="X5" s="299"/>
      <c r="Y5" s="299"/>
      <c r="Z5" s="299"/>
      <c r="AA5" s="299"/>
      <c r="AB5" s="299"/>
      <c r="AC5" s="299"/>
      <c r="AD5" s="299"/>
      <c r="AE5" s="299"/>
      <c r="AF5" s="299"/>
      <c r="AG5" s="299"/>
      <c r="AH5" s="299"/>
      <c r="AI5" s="299"/>
      <c r="AJ5" s="299"/>
      <c r="AK5" s="299"/>
      <c r="AL5" s="299"/>
      <c r="AM5" s="299"/>
      <c r="AN5" s="299"/>
      <c r="AO5" s="299"/>
      <c r="AP5" s="299"/>
      <c r="AQ5" s="299"/>
      <c r="AR5" s="299"/>
      <c r="AS5" s="299"/>
      <c r="AT5" s="299"/>
      <c r="AU5" s="299"/>
      <c r="AV5" s="39"/>
      <c r="AW5" s="2"/>
      <c r="AX5" s="2"/>
      <c r="AY5" s="2"/>
      <c r="AZ5" s="77"/>
    </row>
    <row r="6" spans="1:52" ht="13.5" customHeight="1">
      <c r="A6" s="93"/>
      <c r="B6" s="93"/>
      <c r="C6" s="94"/>
      <c r="D6" s="95"/>
      <c r="E6" s="93"/>
      <c r="F6" s="77"/>
      <c r="G6" s="77"/>
      <c r="H6" s="77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93"/>
      <c r="AP6" s="93"/>
      <c r="AQ6" s="93"/>
      <c r="AR6" s="93"/>
      <c r="AS6" s="93"/>
      <c r="AT6" s="93"/>
      <c r="AU6" s="93"/>
      <c r="AV6" s="39"/>
      <c r="AW6" s="2"/>
      <c r="AX6" s="2"/>
      <c r="AY6" s="2"/>
      <c r="AZ6" s="77"/>
    </row>
    <row r="7" spans="1:52" ht="13.5" customHeight="1">
      <c r="A7" s="93"/>
      <c r="B7" s="93"/>
      <c r="C7" s="94"/>
      <c r="D7" s="95"/>
      <c r="E7" s="93"/>
      <c r="F7" s="96"/>
      <c r="G7" s="96"/>
      <c r="H7" s="96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39"/>
      <c r="AW7" s="2"/>
      <c r="AX7" s="2"/>
      <c r="AY7" s="2"/>
      <c r="AZ7" s="77"/>
    </row>
    <row r="8" spans="1:52" ht="13.5" customHeight="1">
      <c r="A8" s="93"/>
      <c r="B8" s="93"/>
      <c r="C8" s="97"/>
      <c r="D8" s="98"/>
      <c r="E8" s="96"/>
      <c r="F8" s="96"/>
      <c r="G8" s="93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100"/>
      <c r="U8" s="100"/>
      <c r="V8" s="77"/>
      <c r="W8" s="77"/>
      <c r="X8" s="77"/>
      <c r="Y8" s="77"/>
      <c r="Z8" s="77"/>
      <c r="AA8" s="96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39"/>
      <c r="AW8" s="2"/>
      <c r="AX8" s="2"/>
      <c r="AY8" s="2"/>
      <c r="AZ8" s="77"/>
    </row>
    <row r="9" spans="1:52" ht="13.5" customHeight="1">
      <c r="A9" s="93"/>
      <c r="B9" s="93"/>
      <c r="C9" s="97"/>
      <c r="D9" s="98"/>
      <c r="E9" s="96"/>
      <c r="F9" s="96"/>
      <c r="G9" s="93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100"/>
      <c r="U9" s="100"/>
      <c r="V9" s="77"/>
      <c r="W9" s="77"/>
      <c r="X9" s="77"/>
      <c r="Y9" s="77"/>
      <c r="Z9" s="77"/>
      <c r="AA9" s="96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39"/>
      <c r="AW9" s="2"/>
      <c r="AX9" s="2"/>
      <c r="AY9" s="2"/>
      <c r="AZ9" s="77"/>
    </row>
    <row r="10" spans="1:52" ht="13.5" customHeight="1">
      <c r="A10" s="96"/>
      <c r="B10" s="96"/>
      <c r="C10" s="101"/>
      <c r="D10" s="98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  <c r="AE10" s="96"/>
      <c r="AF10" s="96"/>
      <c r="AG10" s="96"/>
      <c r="AH10" s="96"/>
      <c r="AI10" s="96"/>
      <c r="AJ10" s="96"/>
      <c r="AK10" s="96"/>
      <c r="AL10" s="96"/>
      <c r="AM10" s="96"/>
      <c r="AN10" s="96"/>
      <c r="AO10" s="96"/>
      <c r="AP10" s="96"/>
      <c r="AQ10" s="96"/>
      <c r="AR10" s="96"/>
      <c r="AS10" s="96"/>
      <c r="AT10" s="96"/>
      <c r="AU10" s="96"/>
      <c r="AV10" s="39"/>
      <c r="AW10" s="2"/>
      <c r="AX10" s="2"/>
      <c r="AY10" s="2"/>
      <c r="AZ10" s="77"/>
    </row>
    <row r="11" spans="1:52" ht="13.5" customHeight="1">
      <c r="A11" s="96"/>
      <c r="B11" s="96"/>
      <c r="C11" s="101"/>
      <c r="D11" s="98"/>
      <c r="E11" s="96"/>
      <c r="F11" s="96"/>
      <c r="G11" s="96"/>
      <c r="H11" s="102"/>
      <c r="I11" s="96"/>
      <c r="J11" s="96"/>
      <c r="K11" s="96"/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6"/>
      <c r="AL11" s="96"/>
      <c r="AM11" s="96"/>
      <c r="AN11" s="96"/>
      <c r="AO11" s="96"/>
      <c r="AP11" s="96"/>
      <c r="AQ11" s="96"/>
      <c r="AR11" s="96"/>
      <c r="AS11" s="96"/>
      <c r="AT11" s="96"/>
      <c r="AU11" s="96"/>
      <c r="AV11" s="39"/>
      <c r="AW11" s="2"/>
      <c r="AX11" s="2"/>
      <c r="AY11" s="2"/>
      <c r="AZ11" s="77"/>
    </row>
    <row r="12" spans="1:52" ht="13.5" customHeight="1">
      <c r="A12" s="96"/>
      <c r="B12" s="96"/>
      <c r="C12" s="101"/>
      <c r="D12" s="98"/>
      <c r="E12" s="96"/>
      <c r="F12" s="96"/>
      <c r="G12" s="96"/>
      <c r="H12" s="102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39"/>
      <c r="AW12" s="2"/>
      <c r="AX12" s="2"/>
      <c r="AY12" s="2"/>
      <c r="AZ12" s="77"/>
    </row>
    <row r="13" spans="1:52" ht="13.5" customHeight="1">
      <c r="A13" s="96"/>
      <c r="B13" s="96"/>
      <c r="C13" s="101"/>
      <c r="D13" s="98"/>
      <c r="E13" s="96"/>
      <c r="F13" s="96"/>
      <c r="G13" s="96"/>
      <c r="H13" s="102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96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39"/>
      <c r="AW13" s="2"/>
      <c r="AX13" s="2"/>
      <c r="AY13" s="2"/>
      <c r="AZ13" s="77"/>
    </row>
    <row r="14" spans="1:52" ht="13.5" customHeight="1">
      <c r="A14" s="96"/>
      <c r="B14" s="96"/>
      <c r="C14" s="101"/>
      <c r="D14" s="98"/>
      <c r="E14" s="96"/>
      <c r="F14" s="96"/>
      <c r="G14" s="96"/>
      <c r="H14" s="102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39"/>
      <c r="AW14" s="2"/>
      <c r="AX14" s="2"/>
      <c r="AY14" s="2"/>
      <c r="AZ14" s="77"/>
    </row>
    <row r="15" spans="1:52" ht="13.5" customHeight="1">
      <c r="A15" s="96"/>
      <c r="B15" s="96"/>
      <c r="C15" s="101"/>
      <c r="D15" s="98"/>
      <c r="E15" s="96"/>
      <c r="F15" s="96"/>
      <c r="G15" s="96"/>
      <c r="H15" s="102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6"/>
      <c r="W15" s="96"/>
      <c r="X15" s="96"/>
      <c r="Y15" s="96"/>
      <c r="Z15" s="96"/>
      <c r="AA15" s="96"/>
      <c r="AB15" s="96"/>
      <c r="AC15" s="96"/>
      <c r="AD15" s="96"/>
      <c r="AE15" s="96"/>
      <c r="AF15" s="96"/>
      <c r="AG15" s="96"/>
      <c r="AH15" s="96"/>
      <c r="AI15" s="96"/>
      <c r="AJ15" s="96"/>
      <c r="AK15" s="96"/>
      <c r="AL15" s="96"/>
      <c r="AM15" s="96"/>
      <c r="AN15" s="96"/>
      <c r="AO15" s="96"/>
      <c r="AP15" s="96"/>
      <c r="AQ15" s="96"/>
      <c r="AR15" s="96"/>
      <c r="AS15" s="96"/>
      <c r="AT15" s="96"/>
      <c r="AU15" s="96"/>
      <c r="AV15" s="39"/>
      <c r="AW15" s="2"/>
      <c r="AX15" s="2"/>
      <c r="AY15" s="2"/>
      <c r="AZ15" s="77"/>
    </row>
    <row r="16" spans="1:52" ht="13.5" customHeight="1">
      <c r="A16" s="96"/>
      <c r="B16" s="96"/>
      <c r="C16" s="101"/>
      <c r="D16" s="98"/>
      <c r="E16" s="96"/>
      <c r="F16" s="96"/>
      <c r="G16" s="96"/>
      <c r="H16" s="102"/>
      <c r="I16" s="96"/>
      <c r="J16" s="96"/>
      <c r="K16" s="96"/>
      <c r="L16" s="96"/>
      <c r="M16" s="96"/>
      <c r="N16" s="96"/>
      <c r="O16" s="96"/>
      <c r="P16" s="96"/>
      <c r="Q16" s="96"/>
      <c r="R16" s="96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  <c r="AS16" s="96"/>
      <c r="AT16" s="96"/>
      <c r="AU16" s="96"/>
      <c r="AV16" s="39"/>
      <c r="AW16" s="2"/>
      <c r="AX16" s="2"/>
      <c r="AY16" s="2"/>
      <c r="AZ16" s="77"/>
    </row>
    <row r="17" spans="1:52" ht="13.5" customHeight="1">
      <c r="A17" s="96"/>
      <c r="B17" s="96"/>
      <c r="C17" s="101"/>
      <c r="D17" s="98"/>
      <c r="E17" s="96"/>
      <c r="F17" s="96"/>
      <c r="G17" s="96"/>
      <c r="H17" s="102"/>
      <c r="I17" s="96"/>
      <c r="J17" s="96"/>
      <c r="K17" s="77"/>
      <c r="L17" s="77"/>
      <c r="M17" s="77"/>
      <c r="N17" s="96"/>
      <c r="O17" s="96"/>
      <c r="P17" s="96"/>
      <c r="Q17" s="96"/>
      <c r="R17" s="96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39"/>
      <c r="AW17" s="2"/>
      <c r="AX17" s="2"/>
      <c r="AY17" s="2"/>
      <c r="AZ17" s="77"/>
    </row>
    <row r="18" spans="1:52" ht="13.5" customHeight="1">
      <c r="A18" s="96"/>
      <c r="B18" s="96"/>
      <c r="C18" s="101"/>
      <c r="D18" s="98"/>
      <c r="E18" s="96"/>
      <c r="F18" s="96"/>
      <c r="G18" s="96"/>
      <c r="H18" s="102"/>
      <c r="I18" s="96"/>
      <c r="J18" s="96"/>
      <c r="K18" s="96"/>
      <c r="L18" s="96"/>
      <c r="M18" s="96"/>
      <c r="N18" s="77"/>
      <c r="O18" s="77"/>
      <c r="P18" s="77"/>
      <c r="Q18" s="77"/>
      <c r="R18" s="96"/>
      <c r="S18" s="96"/>
      <c r="T18" s="96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  <c r="AI18" s="96"/>
      <c r="AJ18" s="96"/>
      <c r="AK18" s="96"/>
      <c r="AL18" s="96"/>
      <c r="AM18" s="96"/>
      <c r="AN18" s="96"/>
      <c r="AO18" s="96"/>
      <c r="AP18" s="96"/>
      <c r="AQ18" s="96"/>
      <c r="AR18" s="96"/>
      <c r="AS18" s="96"/>
      <c r="AT18" s="96"/>
      <c r="AU18" s="96"/>
      <c r="AV18" s="39"/>
      <c r="AW18" s="2"/>
      <c r="AX18" s="2"/>
      <c r="AY18" s="2"/>
      <c r="AZ18" s="77"/>
    </row>
    <row r="19" spans="1:52" ht="13.5" customHeight="1">
      <c r="A19" s="96"/>
      <c r="B19" s="96"/>
      <c r="C19" s="101"/>
      <c r="D19" s="98"/>
      <c r="E19" s="96"/>
      <c r="F19" s="96"/>
      <c r="G19" s="96"/>
      <c r="H19" s="102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39"/>
      <c r="AW19" s="2"/>
      <c r="AX19" s="2"/>
      <c r="AY19" s="2"/>
      <c r="AZ19" s="77"/>
    </row>
    <row r="20" spans="1:52" ht="13.5" customHeight="1">
      <c r="A20" s="96"/>
      <c r="B20" s="96"/>
      <c r="C20" s="101"/>
      <c r="D20" s="98"/>
      <c r="E20" s="96"/>
      <c r="F20" s="96"/>
      <c r="G20" s="96"/>
      <c r="H20" s="102"/>
      <c r="I20" s="96"/>
      <c r="J20" s="96"/>
      <c r="K20" s="96"/>
      <c r="L20" s="96"/>
      <c r="M20" s="96"/>
      <c r="N20" s="96"/>
      <c r="O20" s="77"/>
      <c r="P20" s="77"/>
      <c r="Q20" s="77"/>
      <c r="R20" s="96"/>
      <c r="S20" s="96"/>
      <c r="T20" s="96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96"/>
      <c r="AF20" s="96"/>
      <c r="AG20" s="96"/>
      <c r="AH20" s="96"/>
      <c r="AI20" s="96"/>
      <c r="AJ20" s="96"/>
      <c r="AK20" s="96"/>
      <c r="AL20" s="96"/>
      <c r="AM20" s="96"/>
      <c r="AN20" s="96"/>
      <c r="AO20" s="96"/>
      <c r="AP20" s="96"/>
      <c r="AQ20" s="96"/>
      <c r="AR20" s="96"/>
      <c r="AS20" s="96"/>
      <c r="AT20" s="96"/>
      <c r="AU20" s="96"/>
      <c r="AV20" s="39"/>
      <c r="AW20" s="2"/>
      <c r="AX20" s="2"/>
      <c r="AY20" s="2"/>
      <c r="AZ20" s="77"/>
    </row>
    <row r="21" spans="1:52" ht="13.5" customHeight="1">
      <c r="A21" s="96"/>
      <c r="B21" s="96"/>
      <c r="C21" s="101"/>
      <c r="D21" s="98"/>
      <c r="E21" s="96"/>
      <c r="F21" s="96"/>
      <c r="G21" s="96"/>
      <c r="H21" s="102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39"/>
      <c r="AW21" s="2"/>
      <c r="AX21" s="2"/>
      <c r="AY21" s="2"/>
      <c r="AZ21" s="77"/>
    </row>
    <row r="22" spans="1:52" ht="13.5" customHeight="1">
      <c r="A22" s="96"/>
      <c r="B22" s="96"/>
      <c r="C22" s="101"/>
      <c r="D22" s="98"/>
      <c r="E22" s="96"/>
      <c r="F22" s="96"/>
      <c r="G22" s="96"/>
      <c r="H22" s="102"/>
      <c r="I22" s="96"/>
      <c r="J22" s="96"/>
      <c r="K22" s="96"/>
      <c r="L22" s="96"/>
      <c r="M22" s="96"/>
      <c r="N22" s="77"/>
      <c r="O22" s="77"/>
      <c r="P22" s="77"/>
      <c r="Q22" s="77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39"/>
      <c r="AW22" s="2"/>
      <c r="AX22" s="2"/>
      <c r="AY22" s="2"/>
      <c r="AZ22" s="77"/>
    </row>
    <row r="23" spans="1:52" ht="13.5" customHeight="1">
      <c r="A23" s="96"/>
      <c r="B23" s="96"/>
      <c r="C23" s="101"/>
      <c r="D23" s="98"/>
      <c r="E23" s="96"/>
      <c r="F23" s="96"/>
      <c r="G23" s="96"/>
      <c r="H23" s="102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39"/>
      <c r="AW23" s="2"/>
      <c r="AX23" s="2"/>
      <c r="AY23" s="2"/>
      <c r="AZ23" s="77"/>
    </row>
    <row r="24" spans="1:52" ht="13.5" customHeight="1">
      <c r="A24" s="96"/>
      <c r="B24" s="96"/>
      <c r="C24" s="101"/>
      <c r="D24" s="98"/>
      <c r="E24" s="96"/>
      <c r="F24" s="96"/>
      <c r="G24" s="96"/>
      <c r="H24" s="102"/>
      <c r="I24" s="96"/>
      <c r="J24" s="96"/>
      <c r="K24" s="96"/>
      <c r="L24" s="96"/>
      <c r="M24" s="96"/>
      <c r="N24" s="77"/>
      <c r="O24" s="77"/>
      <c r="P24" s="77"/>
      <c r="Q24" s="77"/>
      <c r="R24" s="96"/>
      <c r="S24" s="96"/>
      <c r="T24" s="96"/>
      <c r="U24" s="96"/>
      <c r="V24" s="96"/>
      <c r="W24" s="96"/>
      <c r="X24" s="96"/>
      <c r="Y24" s="96"/>
      <c r="Z24" s="96"/>
      <c r="AA24" s="96"/>
      <c r="AB24" s="96"/>
      <c r="AC24" s="96"/>
      <c r="AD24" s="96"/>
      <c r="AE24" s="96"/>
      <c r="AF24" s="96"/>
      <c r="AG24" s="96"/>
      <c r="AH24" s="96"/>
      <c r="AI24" s="96"/>
      <c r="AJ24" s="96"/>
      <c r="AK24" s="96"/>
      <c r="AL24" s="96"/>
      <c r="AM24" s="96"/>
      <c r="AN24" s="96"/>
      <c r="AO24" s="96"/>
      <c r="AP24" s="96"/>
      <c r="AQ24" s="96"/>
      <c r="AR24" s="96"/>
      <c r="AS24" s="96"/>
      <c r="AT24" s="96"/>
      <c r="AU24" s="96"/>
      <c r="AV24" s="39"/>
      <c r="AW24" s="2"/>
      <c r="AX24" s="2"/>
      <c r="AY24" s="2"/>
      <c r="AZ24" s="77"/>
    </row>
    <row r="25" spans="1:52" ht="13.5" customHeight="1">
      <c r="A25" s="96"/>
      <c r="B25" s="96"/>
      <c r="C25" s="101"/>
      <c r="D25" s="98"/>
      <c r="E25" s="96"/>
      <c r="F25" s="96"/>
      <c r="G25" s="96"/>
      <c r="H25" s="102"/>
      <c r="I25" s="103"/>
      <c r="J25" s="103"/>
      <c r="K25" s="103"/>
      <c r="L25" s="103"/>
      <c r="M25" s="103"/>
      <c r="N25" s="103"/>
      <c r="O25" s="103"/>
      <c r="P25" s="103"/>
      <c r="Q25" s="103"/>
      <c r="R25" s="96"/>
      <c r="S25" s="96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39"/>
      <c r="AW25" s="2"/>
      <c r="AX25" s="2"/>
      <c r="AY25" s="2"/>
      <c r="AZ25" s="77"/>
    </row>
    <row r="26" spans="1:52" ht="13.5" customHeight="1">
      <c r="A26" s="96"/>
      <c r="B26" s="96"/>
      <c r="C26" s="101"/>
      <c r="D26" s="98"/>
      <c r="E26" s="96"/>
      <c r="F26" s="96"/>
      <c r="G26" s="96"/>
      <c r="H26" s="102"/>
      <c r="I26" s="96"/>
      <c r="J26" s="96"/>
      <c r="K26" s="96"/>
      <c r="L26" s="96"/>
      <c r="M26" s="96"/>
      <c r="N26" s="77"/>
      <c r="O26" s="77"/>
      <c r="P26" s="77"/>
      <c r="Q26" s="77"/>
      <c r="R26" s="96"/>
      <c r="S26" s="96"/>
      <c r="T26" s="96"/>
      <c r="U26" s="96"/>
      <c r="V26" s="96"/>
      <c r="W26" s="96"/>
      <c r="X26" s="96"/>
      <c r="Y26" s="96"/>
      <c r="Z26" s="96"/>
      <c r="AA26" s="96"/>
      <c r="AB26" s="96"/>
      <c r="AC26" s="96"/>
      <c r="AD26" s="96"/>
      <c r="AE26" s="96"/>
      <c r="AF26" s="96"/>
      <c r="AG26" s="96"/>
      <c r="AH26" s="96"/>
      <c r="AI26" s="96"/>
      <c r="AJ26" s="96"/>
      <c r="AK26" s="96"/>
      <c r="AL26" s="96"/>
      <c r="AM26" s="96"/>
      <c r="AN26" s="96"/>
      <c r="AO26" s="96"/>
      <c r="AP26" s="96"/>
      <c r="AQ26" s="96"/>
      <c r="AR26" s="96"/>
      <c r="AS26" s="96"/>
      <c r="AT26" s="96"/>
      <c r="AU26" s="96"/>
      <c r="AV26" s="39"/>
      <c r="AW26" s="2"/>
      <c r="AX26" s="2"/>
      <c r="AY26" s="2"/>
      <c r="AZ26" s="77"/>
    </row>
    <row r="27" spans="1:52" ht="13.5" customHeight="1">
      <c r="A27" s="96"/>
      <c r="B27" s="96"/>
      <c r="C27" s="101"/>
      <c r="D27" s="98"/>
      <c r="E27" s="96"/>
      <c r="F27" s="96"/>
      <c r="G27" s="96"/>
      <c r="H27" s="102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W27" s="96"/>
      <c r="X27" s="96"/>
      <c r="Y27" s="96"/>
      <c r="Z27" s="96"/>
      <c r="AA27" s="96"/>
      <c r="AB27" s="96"/>
      <c r="AC27" s="96"/>
      <c r="AD27" s="96"/>
      <c r="AE27" s="96"/>
      <c r="AF27" s="96"/>
      <c r="AG27" s="96"/>
      <c r="AH27" s="96"/>
      <c r="AI27" s="96"/>
      <c r="AJ27" s="96"/>
      <c r="AK27" s="96"/>
      <c r="AL27" s="96"/>
      <c r="AM27" s="96"/>
      <c r="AN27" s="96"/>
      <c r="AO27" s="96"/>
      <c r="AP27" s="96"/>
      <c r="AQ27" s="96"/>
      <c r="AR27" s="96"/>
      <c r="AS27" s="96"/>
      <c r="AT27" s="96"/>
      <c r="AU27" s="96"/>
      <c r="AV27" s="39"/>
      <c r="AW27" s="2"/>
      <c r="AX27" s="2"/>
      <c r="AY27" s="2"/>
      <c r="AZ27" s="77"/>
    </row>
    <row r="28" spans="1:52" ht="13.5" customHeight="1">
      <c r="A28" s="96"/>
      <c r="B28" s="96"/>
      <c r="C28" s="101"/>
      <c r="D28" s="98"/>
      <c r="E28" s="96"/>
      <c r="F28" s="96"/>
      <c r="G28" s="96"/>
      <c r="H28" s="102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  <c r="AJ28" s="96"/>
      <c r="AK28" s="96"/>
      <c r="AL28" s="96"/>
      <c r="AM28" s="96"/>
      <c r="AN28" s="96"/>
      <c r="AO28" s="96"/>
      <c r="AP28" s="96"/>
      <c r="AQ28" s="96"/>
      <c r="AR28" s="96"/>
      <c r="AS28" s="96"/>
      <c r="AT28" s="96"/>
      <c r="AU28" s="96"/>
      <c r="AV28" s="39"/>
      <c r="AW28" s="2"/>
      <c r="AX28" s="2"/>
      <c r="AY28" s="2"/>
      <c r="AZ28" s="77"/>
    </row>
    <row r="29" spans="1:52" ht="13.5" customHeight="1">
      <c r="A29" s="96"/>
      <c r="B29" s="96"/>
      <c r="C29" s="101"/>
      <c r="D29" s="98"/>
      <c r="E29" s="96"/>
      <c r="F29" s="96"/>
      <c r="G29" s="96"/>
      <c r="H29" s="102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39"/>
      <c r="AW29" s="2"/>
      <c r="AX29" s="2"/>
      <c r="AY29" s="2"/>
      <c r="AZ29" s="77"/>
    </row>
    <row r="30" spans="1:52" ht="13.5" customHeight="1">
      <c r="A30" s="96"/>
      <c r="B30" s="96"/>
      <c r="C30" s="101"/>
      <c r="D30" s="98"/>
      <c r="E30" s="96"/>
      <c r="F30" s="96"/>
      <c r="G30" s="96"/>
      <c r="H30" s="102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39"/>
      <c r="AW30" s="2"/>
      <c r="AX30" s="2"/>
      <c r="AY30" s="2"/>
      <c r="AZ30" s="77"/>
    </row>
    <row r="31" spans="1:52" ht="13.5" customHeight="1">
      <c r="A31" s="96"/>
      <c r="B31" s="96"/>
      <c r="C31" s="101"/>
      <c r="D31" s="98"/>
      <c r="E31" s="96"/>
      <c r="F31" s="96"/>
      <c r="G31" s="96"/>
      <c r="H31" s="102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39"/>
      <c r="AW31" s="2"/>
      <c r="AX31" s="2"/>
      <c r="AY31" s="2"/>
      <c r="AZ31" s="77"/>
    </row>
    <row r="32" spans="1:52" ht="13.5" customHeight="1">
      <c r="A32" s="96"/>
      <c r="B32" s="96"/>
      <c r="C32" s="101"/>
      <c r="D32" s="98"/>
      <c r="E32" s="96"/>
      <c r="F32" s="96"/>
      <c r="G32" s="96"/>
      <c r="H32" s="102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96"/>
      <c r="AV32" s="39"/>
      <c r="AW32" s="2"/>
      <c r="AX32" s="2"/>
      <c r="AY32" s="2"/>
      <c r="AZ32" s="77"/>
    </row>
    <row r="33" spans="1:52" ht="13.5" customHeight="1">
      <c r="A33" s="96"/>
      <c r="B33" s="96"/>
      <c r="C33" s="101"/>
      <c r="D33" s="98"/>
      <c r="E33" s="96"/>
      <c r="F33" s="96"/>
      <c r="G33" s="96"/>
      <c r="H33" s="102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77"/>
      <c r="AG33" s="96"/>
      <c r="AH33" s="77"/>
      <c r="AI33" s="96"/>
      <c r="AJ33" s="96"/>
      <c r="AK33" s="77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39"/>
      <c r="AW33" s="2"/>
      <c r="AX33" s="2"/>
      <c r="AY33" s="2"/>
      <c r="AZ33" s="77"/>
    </row>
    <row r="34" spans="1:52" ht="13.5" customHeight="1">
      <c r="A34" s="96"/>
      <c r="B34" s="96"/>
      <c r="C34" s="101"/>
      <c r="D34" s="98"/>
      <c r="E34" s="96"/>
      <c r="F34" s="96"/>
      <c r="G34" s="96"/>
      <c r="H34" s="102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77"/>
      <c r="AG34" s="96"/>
      <c r="AH34" s="77"/>
      <c r="AI34" s="96"/>
      <c r="AJ34" s="96"/>
      <c r="AK34" s="77"/>
      <c r="AL34" s="96"/>
      <c r="AM34" s="96"/>
      <c r="AN34" s="96"/>
      <c r="AO34" s="96"/>
      <c r="AP34" s="96"/>
      <c r="AQ34" s="96"/>
      <c r="AR34" s="96"/>
      <c r="AS34" s="96"/>
      <c r="AT34" s="96"/>
      <c r="AU34" s="96"/>
      <c r="AV34" s="39"/>
      <c r="AW34" s="2"/>
      <c r="AX34" s="2"/>
      <c r="AY34" s="2"/>
      <c r="AZ34" s="77"/>
    </row>
    <row r="35" spans="1:52" ht="13.5" customHeight="1">
      <c r="A35" s="96"/>
      <c r="B35" s="96"/>
      <c r="C35" s="101"/>
      <c r="D35" s="98"/>
      <c r="E35" s="77"/>
      <c r="F35" s="96"/>
      <c r="G35" s="96"/>
      <c r="H35" s="102"/>
      <c r="I35" s="77"/>
      <c r="J35" s="77"/>
      <c r="K35" s="77"/>
      <c r="L35" s="77"/>
      <c r="M35" s="77"/>
      <c r="N35" s="77"/>
      <c r="O35" s="77"/>
      <c r="P35" s="77"/>
      <c r="Q35" s="96"/>
      <c r="R35" s="96"/>
      <c r="S35" s="96"/>
      <c r="T35" s="96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96"/>
      <c r="AF35" s="77"/>
      <c r="AG35" s="96"/>
      <c r="AH35" s="77"/>
      <c r="AI35" s="96"/>
      <c r="AJ35" s="96"/>
      <c r="AK35" s="77"/>
      <c r="AL35" s="96"/>
      <c r="AM35" s="96"/>
      <c r="AN35" s="96"/>
      <c r="AO35" s="96"/>
      <c r="AP35" s="96"/>
      <c r="AQ35" s="96"/>
      <c r="AR35" s="96"/>
      <c r="AS35" s="96"/>
      <c r="AT35" s="96"/>
      <c r="AU35" s="96"/>
      <c r="AV35" s="39"/>
      <c r="AW35" s="2"/>
      <c r="AX35" s="2"/>
      <c r="AY35" s="2"/>
      <c r="AZ35" s="77"/>
    </row>
    <row r="36" spans="1:52" ht="13.5" customHeight="1">
      <c r="A36" s="96"/>
      <c r="B36" s="96"/>
      <c r="C36" s="101"/>
      <c r="D36" s="98"/>
      <c r="E36" s="77"/>
      <c r="F36" s="96"/>
      <c r="G36" s="96"/>
      <c r="H36" s="102"/>
      <c r="I36" s="77"/>
      <c r="J36" s="77"/>
      <c r="K36" s="77"/>
      <c r="L36" s="77"/>
      <c r="M36" s="77"/>
      <c r="N36" s="77"/>
      <c r="O36" s="77"/>
      <c r="P36" s="77"/>
      <c r="Q36" s="96"/>
      <c r="R36" s="96"/>
      <c r="S36" s="96"/>
      <c r="T36" s="96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96"/>
      <c r="AF36" s="96"/>
      <c r="AG36" s="96"/>
      <c r="AH36" s="96"/>
      <c r="AI36" s="96"/>
      <c r="AJ36" s="96"/>
      <c r="AK36" s="96"/>
      <c r="AL36" s="96"/>
      <c r="AM36" s="96"/>
      <c r="AN36" s="96"/>
      <c r="AO36" s="96"/>
      <c r="AP36" s="96"/>
      <c r="AQ36" s="96"/>
      <c r="AR36" s="96"/>
      <c r="AS36" s="96"/>
      <c r="AT36" s="96"/>
      <c r="AU36" s="96"/>
      <c r="AV36" s="39"/>
      <c r="AW36" s="2"/>
      <c r="AX36" s="2"/>
      <c r="AY36" s="2"/>
      <c r="AZ36" s="77"/>
    </row>
    <row r="37" spans="1:52" ht="13.5" customHeight="1">
      <c r="A37" s="96"/>
      <c r="B37" s="96"/>
      <c r="C37" s="101"/>
      <c r="D37" s="98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77"/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41"/>
      <c r="AY37" s="104"/>
      <c r="AZ37" s="77"/>
    </row>
    <row r="38" spans="1:52" ht="13.5" customHeight="1">
      <c r="A38" s="96"/>
      <c r="B38" s="96"/>
      <c r="C38" s="101"/>
      <c r="D38" s="98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77"/>
      <c r="AJ38" s="77"/>
      <c r="AK38" s="77"/>
      <c r="AL38" s="77"/>
      <c r="AM38" s="77"/>
      <c r="AN38" s="96"/>
      <c r="AO38" s="96"/>
      <c r="AP38" s="96"/>
      <c r="AQ38" s="96"/>
      <c r="AR38" s="96"/>
      <c r="AS38" s="96"/>
      <c r="AT38" s="96"/>
      <c r="AU38" s="96"/>
      <c r="AV38" s="39"/>
      <c r="AW38" s="2"/>
      <c r="AX38" s="2"/>
      <c r="AY38" s="2"/>
      <c r="AZ38" s="77"/>
    </row>
    <row r="39" spans="1:52" ht="13.5" customHeight="1">
      <c r="A39" s="77"/>
      <c r="B39" s="137" t="s">
        <v>4</v>
      </c>
      <c r="C39" s="138"/>
      <c r="D39" s="139"/>
      <c r="E39" s="137" t="s">
        <v>4</v>
      </c>
      <c r="F39" s="138"/>
      <c r="G39" s="139"/>
      <c r="H39" s="137" t="s">
        <v>154</v>
      </c>
      <c r="I39" s="138"/>
      <c r="J39" s="139"/>
      <c r="K39" s="137" t="s">
        <v>153</v>
      </c>
      <c r="L39" s="138"/>
      <c r="M39" s="139"/>
      <c r="N39" s="128"/>
      <c r="O39" s="128"/>
      <c r="P39" s="128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106"/>
      <c r="AI39" s="77"/>
      <c r="AJ39" s="77"/>
      <c r="AK39" s="77"/>
      <c r="AL39" s="77"/>
      <c r="AM39" s="77"/>
      <c r="AN39" s="77"/>
      <c r="AO39" s="77"/>
      <c r="AP39" s="77"/>
      <c r="AQ39" s="77"/>
      <c r="AR39" s="77"/>
      <c r="AS39" s="77"/>
      <c r="AT39" s="77"/>
      <c r="AU39" s="77"/>
      <c r="AV39" s="41"/>
      <c r="AW39" s="77"/>
      <c r="AX39" s="77"/>
      <c r="AY39" s="77"/>
      <c r="AZ39" s="77"/>
    </row>
    <row r="40" spans="1:52" ht="13.5" customHeight="1">
      <c r="A40" s="77"/>
      <c r="B40" s="140"/>
      <c r="C40" s="141"/>
      <c r="D40" s="141"/>
      <c r="E40" s="140"/>
      <c r="F40" s="141"/>
      <c r="G40" s="141"/>
      <c r="H40" s="140"/>
      <c r="I40" s="141"/>
      <c r="J40" s="141"/>
      <c r="K40" s="140"/>
      <c r="L40" s="141"/>
      <c r="M40" s="142"/>
      <c r="N40" s="128"/>
      <c r="O40" s="128"/>
      <c r="P40" s="128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106"/>
      <c r="AI40" s="77"/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7"/>
      <c r="AV40" s="41"/>
      <c r="AW40" s="77"/>
      <c r="AX40" s="77"/>
      <c r="AY40" s="77"/>
      <c r="AZ40" s="77"/>
    </row>
    <row r="41" spans="1:52" ht="13.5" customHeight="1">
      <c r="A41" s="77"/>
      <c r="B41" s="143"/>
      <c r="C41" s="144"/>
      <c r="D41" s="144"/>
      <c r="E41" s="143"/>
      <c r="F41" s="144"/>
      <c r="G41" s="144"/>
      <c r="H41" s="143"/>
      <c r="I41" s="144"/>
      <c r="J41" s="144"/>
      <c r="K41" s="143"/>
      <c r="L41" s="144"/>
      <c r="M41" s="145"/>
      <c r="N41" s="128"/>
      <c r="O41" s="128"/>
      <c r="P41" s="128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  <c r="AO41" s="77"/>
      <c r="AP41" s="77"/>
      <c r="AQ41" s="77"/>
      <c r="AR41" s="77"/>
      <c r="AS41" s="77"/>
      <c r="AT41" s="77"/>
      <c r="AU41" s="77"/>
      <c r="AV41" s="41"/>
      <c r="AW41" s="77"/>
      <c r="AX41" s="77"/>
      <c r="AY41" s="77"/>
      <c r="AZ41" s="77"/>
    </row>
    <row r="42" spans="1:52" ht="13.5" customHeight="1">
      <c r="A42" s="77"/>
      <c r="B42" s="146"/>
      <c r="C42" s="147"/>
      <c r="D42" s="147"/>
      <c r="E42" s="146"/>
      <c r="F42" s="147"/>
      <c r="G42" s="147"/>
      <c r="H42" s="146"/>
      <c r="I42" s="147"/>
      <c r="J42" s="147"/>
      <c r="K42" s="146"/>
      <c r="L42" s="147"/>
      <c r="M42" s="148"/>
      <c r="N42" s="128"/>
      <c r="O42" s="128"/>
      <c r="P42" s="128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295" t="e">
        <f>MAX(改訂日)</f>
        <v>#NAME?</v>
      </c>
      <c r="AN42" s="296"/>
      <c r="AO42" s="296"/>
      <c r="AP42" s="296"/>
      <c r="AQ42" s="296"/>
      <c r="AR42" s="297" t="e">
        <f>MAX(改訂番号)</f>
        <v>#NAME?</v>
      </c>
      <c r="AS42" s="298"/>
      <c r="AT42" s="298"/>
      <c r="AU42" s="77"/>
      <c r="AV42" s="41"/>
      <c r="AW42" s="77"/>
      <c r="AX42" s="77"/>
      <c r="AY42" s="77"/>
      <c r="AZ42" s="77"/>
    </row>
    <row r="43" spans="1:52" ht="13.5" customHeight="1">
      <c r="A43" s="77"/>
      <c r="B43" s="77"/>
      <c r="C43" s="101"/>
      <c r="D43" s="105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  <c r="AO43" s="77"/>
      <c r="AP43" s="77"/>
      <c r="AQ43" s="77"/>
      <c r="AR43" s="77"/>
      <c r="AS43" s="77"/>
      <c r="AT43" s="77"/>
      <c r="AU43" s="77"/>
      <c r="AV43" s="41"/>
      <c r="AW43" s="77"/>
      <c r="AX43" s="77"/>
      <c r="AY43" s="77"/>
      <c r="AZ43" s="77"/>
    </row>
    <row r="44" spans="1:52" ht="13.5" customHeight="1">
      <c r="A44" s="41"/>
      <c r="B44" s="41"/>
      <c r="C44" s="42"/>
      <c r="D44" s="43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</row>
  </sheetData>
  <mergeCells count="4">
    <mergeCell ref="AM42:AQ42"/>
    <mergeCell ref="AR42:AT42"/>
    <mergeCell ref="A4:AU5"/>
    <mergeCell ref="C1:AJ3"/>
  </mergeCells>
  <phoneticPr fontId="4"/>
  <pageMargins left="0.39370078740157483" right="0.39370078740157483" top="0.39370078740157483" bottom="0.39370078740157483" header="0.51181102362204722" footer="0.11811023622047245"/>
  <pageSetup paperSize="9" scale="91" orientation="landscape" useFirstPageNumber="1" verticalDpi="300" copies="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Z344"/>
  <sheetViews>
    <sheetView showGridLines="0" tabSelected="1" zoomScale="85" zoomScaleNormal="85" workbookViewId="0">
      <selection sqref="A1:C1"/>
    </sheetView>
  </sheetViews>
  <sheetFormatPr defaultColWidth="3.140625" defaultRowHeight="13.5" customHeight="1"/>
  <cols>
    <col min="1" max="2" width="3.140625" style="129" customWidth="1"/>
    <col min="3" max="3" width="3.140625" style="127" customWidth="1"/>
    <col min="4" max="4" width="3.140625" style="66" customWidth="1"/>
    <col min="5" max="28" width="3.140625" style="129" customWidth="1"/>
    <col min="29" max="29" width="3.140625" style="195" customWidth="1"/>
    <col min="30" max="49" width="3.140625" style="129" customWidth="1"/>
    <col min="50" max="16384" width="3.140625" style="129"/>
  </cols>
  <sheetData>
    <row r="1" spans="1:52" s="195" customFormat="1" ht="13.5" customHeight="1">
      <c r="A1" s="240" t="s">
        <v>40</v>
      </c>
      <c r="B1" s="241"/>
      <c r="C1" s="242"/>
      <c r="D1" s="243" t="str">
        <f>システム名</f>
        <v>○✕システム</v>
      </c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5"/>
      <c r="P1" s="246" t="s">
        <v>0</v>
      </c>
      <c r="Q1" s="241"/>
      <c r="R1" s="242"/>
      <c r="S1" s="247" t="str">
        <f>IF(顧客名&lt;&gt;"",顧客名,"")</f>
        <v>○✕○✕株式会社</v>
      </c>
      <c r="T1" s="248"/>
      <c r="U1" s="248"/>
      <c r="V1" s="248"/>
      <c r="W1" s="248"/>
      <c r="X1" s="248"/>
      <c r="Y1" s="248"/>
      <c r="Z1" s="248"/>
      <c r="AA1" s="248"/>
      <c r="AB1" s="248"/>
      <c r="AC1" s="248"/>
      <c r="AD1" s="248"/>
      <c r="AE1" s="248"/>
      <c r="AF1" s="249"/>
      <c r="AG1" s="250" t="s">
        <v>35</v>
      </c>
      <c r="AH1" s="250"/>
      <c r="AI1" s="250"/>
      <c r="AJ1" s="251">
        <f>作成日</f>
        <v>44287</v>
      </c>
      <c r="AK1" s="252"/>
      <c r="AL1" s="252"/>
      <c r="AM1" s="252"/>
      <c r="AN1" s="252"/>
      <c r="AO1" s="250" t="s">
        <v>36</v>
      </c>
      <c r="AP1" s="250"/>
      <c r="AQ1" s="250"/>
      <c r="AR1" s="253" t="str">
        <f>作成者</f>
        <v>小泉　文平</v>
      </c>
      <c r="AS1" s="254"/>
      <c r="AT1" s="254"/>
      <c r="AU1" s="254"/>
      <c r="AV1" s="255"/>
      <c r="AW1" s="237"/>
      <c r="AX1" s="256"/>
      <c r="AY1" s="257"/>
      <c r="AZ1" s="237"/>
    </row>
    <row r="2" spans="1:52" s="195" customFormat="1" ht="13.5" customHeight="1">
      <c r="A2" s="258" t="s">
        <v>30</v>
      </c>
      <c r="B2" s="259"/>
      <c r="C2" s="260"/>
      <c r="D2" s="261" t="s">
        <v>257</v>
      </c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3"/>
      <c r="P2" s="264" t="s">
        <v>2</v>
      </c>
      <c r="Q2" s="259"/>
      <c r="R2" s="260"/>
      <c r="S2" s="265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7"/>
      <c r="AG2" s="268" t="s">
        <v>34</v>
      </c>
      <c r="AH2" s="268"/>
      <c r="AI2" s="268"/>
      <c r="AJ2" s="269"/>
      <c r="AK2" s="270"/>
      <c r="AL2" s="270"/>
      <c r="AM2" s="270"/>
      <c r="AN2" s="270"/>
      <c r="AO2" s="268" t="s">
        <v>33</v>
      </c>
      <c r="AP2" s="268"/>
      <c r="AQ2" s="268"/>
      <c r="AR2" s="271"/>
      <c r="AS2" s="272"/>
      <c r="AT2" s="272"/>
      <c r="AU2" s="272"/>
      <c r="AV2" s="273"/>
      <c r="AW2" s="237"/>
      <c r="AX2" s="257"/>
      <c r="AY2" s="257"/>
      <c r="AZ2" s="237"/>
    </row>
    <row r="3" spans="1:52" s="195" customFormat="1" ht="13.5" customHeight="1">
      <c r="A3" s="5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60"/>
      <c r="AW3" s="237"/>
      <c r="AX3" s="237"/>
      <c r="AY3" s="237"/>
      <c r="AZ3" s="237"/>
    </row>
    <row r="4" spans="1:52" s="195" customFormat="1" ht="13.5" customHeight="1">
      <c r="A4" s="3"/>
      <c r="B4" s="301" t="s">
        <v>264</v>
      </c>
      <c r="C4" s="301"/>
      <c r="D4" s="302" t="s">
        <v>265</v>
      </c>
      <c r="E4" s="302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2"/>
      <c r="S4" s="302"/>
      <c r="T4" s="302"/>
      <c r="U4" s="302"/>
      <c r="V4" s="302"/>
      <c r="W4" s="302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 s="7"/>
      <c r="AW4" s="237"/>
      <c r="AX4" s="237"/>
      <c r="AY4" s="237"/>
      <c r="AZ4" s="237"/>
    </row>
    <row r="5" spans="1:52" s="195" customFormat="1" ht="13.5" customHeight="1">
      <c r="A5" s="111"/>
      <c r="B5" s="301" t="s">
        <v>266</v>
      </c>
      <c r="C5" s="301"/>
      <c r="D5" s="302" t="s">
        <v>267</v>
      </c>
      <c r="E5" s="302"/>
      <c r="F5" s="302"/>
      <c r="G5" s="302"/>
      <c r="H5" s="302"/>
      <c r="I5" s="302"/>
      <c r="J5" s="302"/>
      <c r="K5" s="302"/>
      <c r="L5" s="302"/>
      <c r="M5" s="302"/>
      <c r="N5" s="302"/>
      <c r="O5" s="302"/>
      <c r="P5" s="302"/>
      <c r="Q5" s="302"/>
      <c r="R5" s="302"/>
      <c r="S5" s="302"/>
      <c r="T5" s="302"/>
      <c r="U5" s="302"/>
      <c r="V5" s="302"/>
      <c r="W5" s="302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 s="112"/>
      <c r="AW5" s="237"/>
      <c r="AX5" s="237"/>
      <c r="AY5" s="237"/>
      <c r="AZ5" s="237"/>
    </row>
    <row r="6" spans="1:52" s="195" customFormat="1" ht="13.5" customHeight="1">
      <c r="A6" s="111"/>
      <c r="B6" s="301" t="s">
        <v>268</v>
      </c>
      <c r="C6" s="301"/>
      <c r="D6" s="302" t="s">
        <v>269</v>
      </c>
      <c r="E6" s="302"/>
      <c r="F6" s="302"/>
      <c r="G6" s="302"/>
      <c r="H6" s="302"/>
      <c r="I6" s="302"/>
      <c r="J6" s="302"/>
      <c r="K6" s="302"/>
      <c r="L6" s="302"/>
      <c r="M6" s="302"/>
      <c r="N6" s="302"/>
      <c r="O6" s="302"/>
      <c r="P6" s="302"/>
      <c r="Q6" s="302"/>
      <c r="R6" s="302"/>
      <c r="S6" s="302"/>
      <c r="T6" s="302"/>
      <c r="U6" s="302"/>
      <c r="V6" s="302"/>
      <c r="W6" s="302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 s="112"/>
      <c r="AW6" s="237"/>
      <c r="AX6" s="237"/>
      <c r="AY6" s="237"/>
      <c r="AZ6" s="237"/>
    </row>
    <row r="7" spans="1:52" s="195" customFormat="1" ht="13.5" customHeight="1">
      <c r="A7" s="111"/>
      <c r="B7" s="301" t="s">
        <v>270</v>
      </c>
      <c r="C7" s="301"/>
      <c r="D7" s="302" t="s">
        <v>271</v>
      </c>
      <c r="E7" s="302"/>
      <c r="F7" s="302"/>
      <c r="G7" s="302"/>
      <c r="H7" s="302"/>
      <c r="I7" s="302"/>
      <c r="J7" s="302"/>
      <c r="K7" s="302"/>
      <c r="L7" s="302"/>
      <c r="M7" s="302"/>
      <c r="N7" s="302"/>
      <c r="O7" s="302"/>
      <c r="P7" s="302"/>
      <c r="Q7" s="302"/>
      <c r="R7" s="302"/>
      <c r="S7" s="302"/>
      <c r="T7" s="302"/>
      <c r="U7" s="302"/>
      <c r="V7" s="302"/>
      <c r="W7" s="302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 s="112"/>
      <c r="AW7" s="237"/>
      <c r="AX7" s="237"/>
      <c r="AY7" s="237"/>
      <c r="AZ7" s="237"/>
    </row>
    <row r="8" spans="1:52" s="195" customFormat="1" ht="13.5" customHeight="1">
      <c r="A8" s="111"/>
      <c r="B8" s="301" t="s">
        <v>272</v>
      </c>
      <c r="C8" s="301"/>
      <c r="D8" s="302" t="s">
        <v>273</v>
      </c>
      <c r="E8" s="302"/>
      <c r="F8" s="302"/>
      <c r="G8" s="302"/>
      <c r="H8" s="302"/>
      <c r="I8" s="302"/>
      <c r="J8" s="302"/>
      <c r="K8" s="302"/>
      <c r="L8" s="302"/>
      <c r="M8" s="302"/>
      <c r="N8" s="302"/>
      <c r="O8" s="302"/>
      <c r="P8" s="302"/>
      <c r="Q8" s="302"/>
      <c r="R8" s="302"/>
      <c r="S8" s="302"/>
      <c r="T8" s="302"/>
      <c r="U8" s="302"/>
      <c r="V8" s="302"/>
      <c r="W8" s="302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 s="112"/>
      <c r="AW8" s="237"/>
      <c r="AX8" s="237"/>
      <c r="AY8" s="237"/>
      <c r="AZ8" s="237"/>
    </row>
    <row r="9" spans="1:52" s="195" customFormat="1" ht="13.5" customHeight="1">
      <c r="A9" s="111"/>
      <c r="B9" s="301" t="s">
        <v>274</v>
      </c>
      <c r="C9" s="301"/>
      <c r="D9" s="302" t="s">
        <v>275</v>
      </c>
      <c r="E9" s="302"/>
      <c r="F9" s="302"/>
      <c r="G9" s="302"/>
      <c r="H9" s="302"/>
      <c r="I9" s="302"/>
      <c r="J9" s="302"/>
      <c r="K9" s="302"/>
      <c r="L9" s="302"/>
      <c r="M9" s="302"/>
      <c r="N9" s="302"/>
      <c r="O9" s="302"/>
      <c r="P9" s="302"/>
      <c r="Q9" s="302"/>
      <c r="R9" s="302"/>
      <c r="S9" s="302"/>
      <c r="T9" s="302"/>
      <c r="U9" s="302"/>
      <c r="V9" s="302"/>
      <c r="W9" s="302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 s="112"/>
      <c r="AW9" s="237"/>
      <c r="AX9" s="237"/>
      <c r="AY9" s="237"/>
      <c r="AZ9" s="237"/>
    </row>
    <row r="10" spans="1:52" s="195" customFormat="1" ht="13.5" customHeight="1">
      <c r="A10" s="111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 s="112"/>
      <c r="AW10" s="237"/>
      <c r="AX10" s="237"/>
      <c r="AY10" s="237"/>
      <c r="AZ10" s="237"/>
    </row>
    <row r="11" spans="1:52" s="195" customFormat="1" ht="13.5" customHeight="1">
      <c r="A11" s="1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 s="112"/>
      <c r="AW11" s="237"/>
      <c r="AX11" s="237"/>
      <c r="AY11" s="237"/>
      <c r="AZ11" s="237"/>
    </row>
    <row r="12" spans="1:52" s="195" customFormat="1" ht="13.5" customHeight="1">
      <c r="A12" s="111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 s="112"/>
      <c r="AW12" s="237"/>
      <c r="AX12" s="237"/>
      <c r="AY12" s="237"/>
      <c r="AZ12" s="237"/>
    </row>
    <row r="13" spans="1:52" s="195" customFormat="1" ht="13.5" customHeight="1">
      <c r="A13" s="111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 s="112"/>
      <c r="AW13" s="237"/>
      <c r="AX13" s="237"/>
      <c r="AY13" s="237"/>
      <c r="AZ13" s="237"/>
    </row>
    <row r="14" spans="1:52" s="195" customFormat="1" ht="13.5" customHeight="1">
      <c r="A14" s="111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 s="112"/>
      <c r="AW14" s="237"/>
      <c r="AX14" s="237"/>
      <c r="AY14" s="237"/>
      <c r="AZ14" s="237"/>
    </row>
    <row r="15" spans="1:52" s="195" customFormat="1" ht="13.5" customHeight="1">
      <c r="A15" s="111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 s="112"/>
      <c r="AW15" s="237"/>
      <c r="AX15" s="237"/>
      <c r="AY15" s="237"/>
      <c r="AZ15" s="237"/>
    </row>
    <row r="16" spans="1:52" s="195" customFormat="1" ht="13.5" customHeight="1">
      <c r="A16" s="111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 s="112"/>
      <c r="AW16" s="237"/>
      <c r="AX16" s="237"/>
      <c r="AY16" s="237"/>
      <c r="AZ16" s="237"/>
    </row>
    <row r="17" spans="1:52" s="195" customFormat="1" ht="13.5" customHeight="1">
      <c r="A17" s="111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 s="112"/>
      <c r="AW17" s="237"/>
      <c r="AX17" s="237"/>
      <c r="AY17" s="237"/>
      <c r="AZ17" s="237"/>
    </row>
    <row r="18" spans="1:52" s="195" customFormat="1" ht="13.5" customHeight="1">
      <c r="A18" s="111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 s="112"/>
      <c r="AW18" s="237"/>
      <c r="AX18" s="237"/>
      <c r="AY18" s="237"/>
      <c r="AZ18" s="237"/>
    </row>
    <row r="19" spans="1:52" s="195" customFormat="1" ht="13.5" customHeight="1">
      <c r="A19" s="111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 s="112"/>
      <c r="AW19" s="237"/>
      <c r="AX19" s="237"/>
      <c r="AY19" s="237"/>
      <c r="AZ19" s="237"/>
    </row>
    <row r="20" spans="1:52" s="195" customFormat="1" ht="13.5" customHeight="1">
      <c r="A20" s="111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 s="112"/>
      <c r="AW20" s="237"/>
      <c r="AX20" s="237"/>
      <c r="AY20" s="237"/>
      <c r="AZ20" s="237"/>
    </row>
    <row r="21" spans="1:52" s="195" customFormat="1" ht="13.5" customHeight="1">
      <c r="A21" s="11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 s="112"/>
      <c r="AW21" s="237"/>
      <c r="AX21" s="237"/>
      <c r="AY21" s="237"/>
      <c r="AZ21" s="237"/>
    </row>
    <row r="22" spans="1:52" s="195" customFormat="1" ht="13.5" customHeight="1">
      <c r="A22" s="111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 s="112"/>
      <c r="AW22" s="237"/>
      <c r="AX22" s="237"/>
      <c r="AY22" s="237"/>
      <c r="AZ22" s="237"/>
    </row>
    <row r="23" spans="1:52" s="195" customFormat="1" ht="13.5" customHeight="1">
      <c r="A23" s="111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 s="112"/>
      <c r="AW23" s="237"/>
      <c r="AX23" s="237"/>
      <c r="AY23" s="237"/>
      <c r="AZ23" s="237"/>
    </row>
    <row r="24" spans="1:52" s="195" customFormat="1" ht="13.5" customHeight="1">
      <c r="A24" s="111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 s="112"/>
      <c r="AW24" s="237"/>
      <c r="AX24" s="237"/>
      <c r="AY24" s="237"/>
      <c r="AZ24" s="237"/>
    </row>
    <row r="25" spans="1:52" s="195" customFormat="1" ht="13.5" customHeight="1">
      <c r="A25" s="111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 s="112"/>
      <c r="AW25" s="237"/>
      <c r="AX25" s="237"/>
      <c r="AY25" s="237"/>
      <c r="AZ25" s="237"/>
    </row>
    <row r="26" spans="1:52" s="195" customFormat="1" ht="13.5" customHeight="1">
      <c r="A26" s="111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 s="112"/>
      <c r="AW26" s="237"/>
      <c r="AX26" s="237"/>
      <c r="AY26" s="237"/>
      <c r="AZ26" s="237"/>
    </row>
    <row r="27" spans="1:52" s="195" customFormat="1" ht="13.5" customHeight="1">
      <c r="A27" s="111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 s="112"/>
      <c r="AW27" s="237"/>
      <c r="AX27" s="237"/>
      <c r="AY27" s="237"/>
      <c r="AZ27" s="237"/>
    </row>
    <row r="28" spans="1:52" s="195" customFormat="1" ht="13.5" customHeight="1">
      <c r="A28" s="111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 s="112"/>
      <c r="AW28" s="237"/>
      <c r="AX28" s="237"/>
      <c r="AY28" s="237"/>
      <c r="AZ28" s="237"/>
    </row>
    <row r="29" spans="1:52" s="195" customFormat="1" ht="13.5" customHeight="1">
      <c r="A29" s="111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 s="112"/>
      <c r="AW29" s="237"/>
      <c r="AX29" s="237"/>
      <c r="AY29" s="237"/>
      <c r="AZ29" s="237"/>
    </row>
    <row r="30" spans="1:52" s="195" customFormat="1" ht="13.5" customHeight="1">
      <c r="A30" s="111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 s="112"/>
      <c r="AW30" s="237"/>
      <c r="AX30" s="237"/>
      <c r="AY30" s="237"/>
      <c r="AZ30" s="237"/>
    </row>
    <row r="31" spans="1:52" s="195" customFormat="1" ht="13.5" customHeight="1">
      <c r="A31" s="11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 s="112"/>
      <c r="AW31" s="237"/>
      <c r="AX31" s="237"/>
      <c r="AY31" s="237"/>
      <c r="AZ31" s="237"/>
    </row>
    <row r="32" spans="1:52" s="195" customFormat="1" ht="13.5" customHeight="1">
      <c r="A32" s="111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 s="112"/>
      <c r="AW32" s="237"/>
      <c r="AX32" s="237"/>
      <c r="AY32" s="237"/>
      <c r="AZ32" s="237"/>
    </row>
    <row r="33" spans="1:52" s="195" customFormat="1" ht="13.5" customHeight="1">
      <c r="A33" s="111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 s="112"/>
      <c r="AW33" s="237"/>
      <c r="AX33" s="237"/>
      <c r="AY33" s="237"/>
      <c r="AZ33" s="237"/>
    </row>
    <row r="34" spans="1:52" s="195" customFormat="1" ht="13.5" customHeight="1">
      <c r="A34" s="111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 s="112"/>
      <c r="AW34" s="237"/>
      <c r="AX34" s="237"/>
      <c r="AY34" s="237"/>
      <c r="AZ34" s="237"/>
    </row>
    <row r="35" spans="1:52" s="195" customFormat="1" ht="13.5" customHeight="1">
      <c r="A35" s="111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 s="112"/>
      <c r="AW35" s="237"/>
      <c r="AX35" s="237"/>
      <c r="AY35" s="237"/>
      <c r="AZ35" s="237"/>
    </row>
    <row r="36" spans="1:52" s="195" customFormat="1" ht="13.5" customHeight="1">
      <c r="A36" s="111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 s="112"/>
      <c r="AW36" s="237"/>
      <c r="AX36" s="237"/>
      <c r="AY36" s="237"/>
      <c r="AZ36" s="237"/>
    </row>
    <row r="37" spans="1:52" s="195" customFormat="1" ht="13.5" customHeight="1">
      <c r="A37" s="111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 s="112"/>
      <c r="AW37" s="237"/>
      <c r="AX37" s="237"/>
      <c r="AY37" s="237"/>
      <c r="AZ37" s="237"/>
    </row>
    <row r="38" spans="1:52" s="195" customFormat="1" ht="13.5" customHeight="1">
      <c r="A38" s="111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 s="112"/>
      <c r="AW38" s="237"/>
      <c r="AX38" s="237"/>
      <c r="AY38" s="237"/>
      <c r="AZ38" s="237"/>
    </row>
    <row r="39" spans="1:52" s="195" customFormat="1" ht="13.5" customHeight="1">
      <c r="A39" s="111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 s="112"/>
      <c r="AW39" s="237"/>
      <c r="AX39" s="237"/>
      <c r="AY39" s="237"/>
      <c r="AZ39" s="237"/>
    </row>
    <row r="40" spans="1:52" s="195" customFormat="1" ht="13.5" customHeight="1">
      <c r="A40" s="111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 s="112"/>
      <c r="AW40" s="237"/>
      <c r="AX40" s="237"/>
      <c r="AY40" s="237"/>
      <c r="AZ40" s="237"/>
    </row>
    <row r="41" spans="1:52" s="195" customFormat="1" ht="13.5" customHeight="1">
      <c r="A41" s="11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 s="112"/>
      <c r="AW41" s="237"/>
      <c r="AX41" s="237"/>
      <c r="AY41" s="237"/>
      <c r="AZ41" s="237"/>
    </row>
    <row r="42" spans="1:52" s="195" customFormat="1" ht="13.5" customHeight="1">
      <c r="A42" s="111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 s="112"/>
      <c r="AW42" s="237"/>
      <c r="AX42" s="237"/>
      <c r="AY42" s="237"/>
      <c r="AZ42" s="237"/>
    </row>
    <row r="43" spans="1:52" s="195" customFormat="1" ht="13.5" customHeight="1" thickBot="1">
      <c r="A43" s="113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4"/>
      <c r="AW43" s="237"/>
      <c r="AX43" s="238" t="str">
        <f>HYPERLINK("#$A$1","目次へ")</f>
        <v>目次へ</v>
      </c>
      <c r="AY43" s="239"/>
      <c r="AZ43" s="237"/>
    </row>
    <row r="44" spans="1:52" s="195" customFormat="1" ht="13.5" customHeight="1">
      <c r="A44" s="240" t="s">
        <v>40</v>
      </c>
      <c r="B44" s="241"/>
      <c r="C44" s="242"/>
      <c r="D44" s="243" t="str">
        <f>システム名</f>
        <v>○✕システム</v>
      </c>
      <c r="E44" s="244"/>
      <c r="F44" s="244"/>
      <c r="G44" s="244"/>
      <c r="H44" s="244"/>
      <c r="I44" s="244"/>
      <c r="J44" s="244"/>
      <c r="K44" s="244"/>
      <c r="L44" s="244"/>
      <c r="M44" s="244"/>
      <c r="N44" s="244"/>
      <c r="O44" s="245"/>
      <c r="P44" s="246" t="s">
        <v>0</v>
      </c>
      <c r="Q44" s="241"/>
      <c r="R44" s="242"/>
      <c r="S44" s="247" t="str">
        <f>IF(顧客名&lt;&gt;"",顧客名,"")</f>
        <v>○✕○✕株式会社</v>
      </c>
      <c r="T44" s="248"/>
      <c r="U44" s="248"/>
      <c r="V44" s="248"/>
      <c r="W44" s="248"/>
      <c r="X44" s="248"/>
      <c r="Y44" s="248"/>
      <c r="Z44" s="248"/>
      <c r="AA44" s="248"/>
      <c r="AB44" s="248"/>
      <c r="AC44" s="248"/>
      <c r="AD44" s="248"/>
      <c r="AE44" s="248"/>
      <c r="AF44" s="249"/>
      <c r="AG44" s="250" t="s">
        <v>35</v>
      </c>
      <c r="AH44" s="250"/>
      <c r="AI44" s="250"/>
      <c r="AJ44" s="251">
        <f>作成日</f>
        <v>44287</v>
      </c>
      <c r="AK44" s="252"/>
      <c r="AL44" s="252"/>
      <c r="AM44" s="252"/>
      <c r="AN44" s="252"/>
      <c r="AO44" s="250" t="s">
        <v>36</v>
      </c>
      <c r="AP44" s="250"/>
      <c r="AQ44" s="250"/>
      <c r="AR44" s="253" t="str">
        <f>作成者</f>
        <v>小泉　文平</v>
      </c>
      <c r="AS44" s="254"/>
      <c r="AT44" s="254"/>
      <c r="AU44" s="254"/>
      <c r="AV44" s="255"/>
      <c r="AW44" s="237"/>
      <c r="AX44" s="256"/>
      <c r="AY44" s="257"/>
      <c r="AZ44" s="237"/>
    </row>
    <row r="45" spans="1:52" s="195" customFormat="1" ht="13.5" customHeight="1">
      <c r="A45" s="258" t="s">
        <v>30</v>
      </c>
      <c r="B45" s="259"/>
      <c r="C45" s="260"/>
      <c r="D45" s="261" t="s">
        <v>276</v>
      </c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3"/>
      <c r="P45" s="264" t="s">
        <v>2</v>
      </c>
      <c r="Q45" s="259"/>
      <c r="R45" s="260"/>
      <c r="S45" s="265"/>
      <c r="T45" s="266"/>
      <c r="U45" s="266"/>
      <c r="V45" s="266"/>
      <c r="W45" s="266"/>
      <c r="X45" s="266"/>
      <c r="Y45" s="266"/>
      <c r="Z45" s="266"/>
      <c r="AA45" s="266"/>
      <c r="AB45" s="266"/>
      <c r="AC45" s="266"/>
      <c r="AD45" s="266"/>
      <c r="AE45" s="266"/>
      <c r="AF45" s="267"/>
      <c r="AG45" s="268" t="s">
        <v>34</v>
      </c>
      <c r="AH45" s="268"/>
      <c r="AI45" s="268"/>
      <c r="AJ45" s="269"/>
      <c r="AK45" s="270"/>
      <c r="AL45" s="270"/>
      <c r="AM45" s="270"/>
      <c r="AN45" s="270"/>
      <c r="AO45" s="268" t="s">
        <v>33</v>
      </c>
      <c r="AP45" s="268"/>
      <c r="AQ45" s="268"/>
      <c r="AR45" s="271"/>
      <c r="AS45" s="272"/>
      <c r="AT45" s="272"/>
      <c r="AU45" s="272"/>
      <c r="AV45" s="273"/>
      <c r="AW45" s="237"/>
      <c r="AX45" s="257"/>
      <c r="AY45" s="257"/>
      <c r="AZ45" s="237"/>
    </row>
    <row r="46" spans="1:52" s="195" customFormat="1" ht="13.5" customHeight="1">
      <c r="A46" s="5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60"/>
      <c r="AW46" s="237"/>
      <c r="AX46" s="237"/>
      <c r="AY46" s="237"/>
      <c r="AZ46" s="237"/>
    </row>
    <row r="47" spans="1:52" s="195" customFormat="1" ht="13.5" customHeight="1">
      <c r="A47" s="3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1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7"/>
      <c r="AW47" s="237"/>
      <c r="AX47" s="237"/>
      <c r="AY47" s="237"/>
      <c r="AZ47" s="237"/>
    </row>
    <row r="48" spans="1:52" s="195" customFormat="1" ht="13.5" customHeight="1">
      <c r="A48" s="111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112"/>
      <c r="AW48" s="237"/>
      <c r="AX48" s="237"/>
      <c r="AY48" s="237"/>
      <c r="AZ48" s="237"/>
    </row>
    <row r="49" spans="1:52" s="195" customFormat="1" ht="13.5" customHeight="1">
      <c r="A49" s="111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112"/>
      <c r="AW49" s="237"/>
      <c r="AX49" s="237"/>
      <c r="AY49" s="237"/>
      <c r="AZ49" s="237"/>
    </row>
    <row r="50" spans="1:52" s="195" customFormat="1" ht="13.5" customHeight="1">
      <c r="A50" s="111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112"/>
      <c r="AW50" s="237"/>
      <c r="AX50" s="237"/>
      <c r="AY50" s="237"/>
      <c r="AZ50" s="237"/>
    </row>
    <row r="51" spans="1:52" s="195" customFormat="1" ht="13.5" customHeight="1">
      <c r="A51" s="111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112"/>
      <c r="AW51" s="237"/>
      <c r="AX51" s="237"/>
      <c r="AY51" s="237"/>
      <c r="AZ51" s="237"/>
    </row>
    <row r="52" spans="1:52" s="195" customFormat="1" ht="13.5" customHeight="1">
      <c r="A52" s="111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112"/>
      <c r="AW52" s="237"/>
      <c r="AX52" s="237"/>
      <c r="AY52" s="237"/>
      <c r="AZ52" s="237"/>
    </row>
    <row r="53" spans="1:52" s="195" customFormat="1" ht="13.5" customHeight="1">
      <c r="A53" s="111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112"/>
      <c r="AW53" s="237"/>
      <c r="AX53" s="237"/>
      <c r="AY53" s="237"/>
      <c r="AZ53" s="237"/>
    </row>
    <row r="54" spans="1:52" s="195" customFormat="1" ht="13.5" customHeight="1">
      <c r="A54" s="111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112"/>
      <c r="AW54" s="237"/>
      <c r="AX54" s="237"/>
      <c r="AY54" s="237"/>
      <c r="AZ54" s="237"/>
    </row>
    <row r="55" spans="1:52" s="195" customFormat="1" ht="13.5" customHeight="1">
      <c r="A55" s="111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112"/>
      <c r="AW55" s="237"/>
      <c r="AX55" s="237"/>
      <c r="AY55" s="237"/>
      <c r="AZ55" s="237"/>
    </row>
    <row r="56" spans="1:52" s="195" customFormat="1" ht="13.5" customHeight="1">
      <c r="A56" s="111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112"/>
      <c r="AW56" s="237"/>
      <c r="AX56" s="237"/>
      <c r="AY56" s="237"/>
      <c r="AZ56" s="237"/>
    </row>
    <row r="57" spans="1:52" s="195" customFormat="1" ht="13.5" customHeight="1">
      <c r="A57" s="111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112"/>
      <c r="AW57" s="237"/>
      <c r="AX57" s="237"/>
      <c r="AY57" s="237"/>
      <c r="AZ57" s="237"/>
    </row>
    <row r="58" spans="1:52" s="195" customFormat="1" ht="13.5" customHeight="1">
      <c r="A58" s="111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112"/>
      <c r="AW58" s="237"/>
      <c r="AX58" s="237"/>
      <c r="AY58" s="237"/>
      <c r="AZ58" s="237"/>
    </row>
    <row r="59" spans="1:52" s="195" customFormat="1" ht="13.5" customHeight="1">
      <c r="A59" s="111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112"/>
      <c r="AW59" s="237"/>
      <c r="AX59" s="237"/>
      <c r="AY59" s="237"/>
      <c r="AZ59" s="237"/>
    </row>
    <row r="60" spans="1:52" s="195" customFormat="1" ht="13.5" customHeight="1">
      <c r="A60" s="111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112"/>
      <c r="AW60" s="237"/>
      <c r="AX60" s="237"/>
      <c r="AY60" s="237"/>
      <c r="AZ60" s="237"/>
    </row>
    <row r="61" spans="1:52" s="195" customFormat="1" ht="13.5" customHeight="1">
      <c r="A61" s="111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112"/>
      <c r="AW61" s="237"/>
      <c r="AX61" s="237"/>
      <c r="AY61" s="237"/>
      <c r="AZ61" s="237"/>
    </row>
    <row r="62" spans="1:52" s="195" customFormat="1" ht="13.5" customHeight="1">
      <c r="A62" s="111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112"/>
      <c r="AW62" s="237"/>
      <c r="AX62" s="237"/>
      <c r="AY62" s="237"/>
      <c r="AZ62" s="237"/>
    </row>
    <row r="63" spans="1:52" s="195" customFormat="1" ht="13.5" customHeight="1">
      <c r="A63" s="111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112"/>
      <c r="AW63" s="237"/>
      <c r="AX63" s="237"/>
      <c r="AY63" s="237"/>
      <c r="AZ63" s="237"/>
    </row>
    <row r="64" spans="1:52" s="195" customFormat="1" ht="13.5" customHeight="1">
      <c r="A64" s="111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112"/>
      <c r="AW64" s="237"/>
      <c r="AX64" s="237"/>
      <c r="AY64" s="237"/>
      <c r="AZ64" s="237"/>
    </row>
    <row r="65" spans="1:52" s="195" customFormat="1" ht="13.5" customHeight="1">
      <c r="A65" s="111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112"/>
      <c r="AW65" s="237"/>
      <c r="AX65" s="237"/>
      <c r="AY65" s="237"/>
      <c r="AZ65" s="237"/>
    </row>
    <row r="66" spans="1:52" s="195" customFormat="1" ht="13.5" customHeight="1">
      <c r="A66" s="111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112"/>
      <c r="AW66" s="237"/>
      <c r="AX66" s="237"/>
      <c r="AY66" s="237"/>
      <c r="AZ66" s="237"/>
    </row>
    <row r="67" spans="1:52" s="195" customFormat="1" ht="13.5" customHeight="1">
      <c r="A67" s="111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112"/>
      <c r="AW67" s="237"/>
      <c r="AX67" s="237"/>
      <c r="AY67" s="237"/>
      <c r="AZ67" s="237"/>
    </row>
    <row r="68" spans="1:52" s="195" customFormat="1" ht="13.5" customHeight="1">
      <c r="A68" s="111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112"/>
      <c r="AW68" s="237"/>
      <c r="AX68" s="237"/>
      <c r="AY68" s="237"/>
      <c r="AZ68" s="237"/>
    </row>
    <row r="69" spans="1:52" s="195" customFormat="1" ht="13.5" customHeight="1">
      <c r="A69" s="111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112"/>
      <c r="AW69" s="237"/>
      <c r="AX69" s="237"/>
      <c r="AY69" s="237"/>
      <c r="AZ69" s="237"/>
    </row>
    <row r="70" spans="1:52" s="195" customFormat="1" ht="13.5" customHeight="1">
      <c r="A70" s="111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112"/>
      <c r="AW70" s="237"/>
      <c r="AX70" s="237"/>
      <c r="AY70" s="237"/>
      <c r="AZ70" s="237"/>
    </row>
    <row r="71" spans="1:52" s="195" customFormat="1" ht="13.5" customHeight="1">
      <c r="A71" s="111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112"/>
      <c r="AW71" s="237"/>
      <c r="AX71" s="237"/>
      <c r="AY71" s="237"/>
      <c r="AZ71" s="237"/>
    </row>
    <row r="72" spans="1:52" s="195" customFormat="1" ht="13.5" customHeight="1">
      <c r="A72" s="111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112"/>
      <c r="AW72" s="237"/>
      <c r="AX72" s="237"/>
      <c r="AY72" s="237"/>
      <c r="AZ72" s="237"/>
    </row>
    <row r="73" spans="1:52" s="195" customFormat="1" ht="13.5" customHeight="1">
      <c r="A73" s="111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112"/>
      <c r="AW73" s="237"/>
      <c r="AX73" s="237"/>
      <c r="AY73" s="237"/>
      <c r="AZ73" s="237"/>
    </row>
    <row r="74" spans="1:52" s="195" customFormat="1" ht="13.5" customHeight="1">
      <c r="A74" s="111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112"/>
      <c r="AW74" s="237"/>
      <c r="AX74" s="237"/>
      <c r="AY74" s="237"/>
      <c r="AZ74" s="237"/>
    </row>
    <row r="75" spans="1:52" s="195" customFormat="1" ht="13.5" customHeight="1">
      <c r="A75" s="111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112"/>
      <c r="AW75" s="237"/>
      <c r="AX75" s="237"/>
      <c r="AY75" s="237"/>
      <c r="AZ75" s="237"/>
    </row>
    <row r="76" spans="1:52" s="195" customFormat="1" ht="13.5" customHeight="1">
      <c r="A76" s="111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112"/>
      <c r="AW76" s="237"/>
      <c r="AX76" s="237"/>
      <c r="AY76" s="237"/>
      <c r="AZ76" s="237"/>
    </row>
    <row r="77" spans="1:52" s="195" customFormat="1" ht="13.5" customHeight="1">
      <c r="A77" s="111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112"/>
      <c r="AW77" s="237"/>
      <c r="AX77" s="237"/>
      <c r="AY77" s="237"/>
      <c r="AZ77" s="237"/>
    </row>
    <row r="78" spans="1:52" s="195" customFormat="1" ht="13.5" customHeight="1">
      <c r="A78" s="111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112"/>
      <c r="AW78" s="237"/>
      <c r="AX78" s="237"/>
      <c r="AY78" s="237"/>
      <c r="AZ78" s="237"/>
    </row>
    <row r="79" spans="1:52" s="195" customFormat="1" ht="13.5" customHeight="1">
      <c r="A79" s="111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112"/>
      <c r="AW79" s="237"/>
      <c r="AX79" s="237"/>
      <c r="AY79" s="237"/>
      <c r="AZ79" s="237"/>
    </row>
    <row r="80" spans="1:52" s="195" customFormat="1" ht="13.5" customHeight="1">
      <c r="A80" s="111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112"/>
      <c r="AW80" s="237"/>
      <c r="AX80" s="237"/>
      <c r="AY80" s="237"/>
      <c r="AZ80" s="237"/>
    </row>
    <row r="81" spans="1:52" s="195" customFormat="1" ht="13.5" customHeight="1">
      <c r="A81" s="111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112"/>
      <c r="AW81" s="237"/>
      <c r="AX81" s="237"/>
      <c r="AY81" s="237"/>
      <c r="AZ81" s="237"/>
    </row>
    <row r="82" spans="1:52" s="195" customFormat="1" ht="13.5" customHeight="1">
      <c r="A82" s="111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112"/>
      <c r="AW82" s="237"/>
      <c r="AX82" s="237"/>
      <c r="AY82" s="237"/>
      <c r="AZ82" s="237"/>
    </row>
    <row r="83" spans="1:52" s="195" customFormat="1" ht="13.5" customHeight="1">
      <c r="A83" s="111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112"/>
      <c r="AW83" s="237"/>
      <c r="AX83" s="237"/>
      <c r="AY83" s="237"/>
      <c r="AZ83" s="237"/>
    </row>
    <row r="84" spans="1:52" s="195" customFormat="1" ht="13.5" customHeight="1">
      <c r="A84" s="111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112"/>
      <c r="AW84" s="237"/>
      <c r="AX84" s="237"/>
      <c r="AY84" s="237"/>
      <c r="AZ84" s="237"/>
    </row>
    <row r="85" spans="1:52" s="195" customFormat="1" ht="13.5" customHeight="1">
      <c r="A85" s="111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112"/>
      <c r="AW85" s="237"/>
      <c r="AX85" s="237"/>
      <c r="AY85" s="237"/>
      <c r="AZ85" s="237"/>
    </row>
    <row r="86" spans="1:52" s="195" customFormat="1" ht="13.5" customHeight="1" thickBot="1">
      <c r="A86" s="113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4"/>
      <c r="AW86" s="237"/>
      <c r="AX86" s="238" t="str">
        <f>HYPERLINK("#$A$1","目次へ")</f>
        <v>目次へ</v>
      </c>
      <c r="AY86" s="239"/>
      <c r="AZ86" s="237"/>
    </row>
    <row r="87" spans="1:52" s="195" customFormat="1" ht="13.5" customHeight="1">
      <c r="A87" s="240" t="s">
        <v>40</v>
      </c>
      <c r="B87" s="241"/>
      <c r="C87" s="242"/>
      <c r="D87" s="243" t="str">
        <f>システム名</f>
        <v>○✕システム</v>
      </c>
      <c r="E87" s="244"/>
      <c r="F87" s="244"/>
      <c r="G87" s="244"/>
      <c r="H87" s="244"/>
      <c r="I87" s="244"/>
      <c r="J87" s="244"/>
      <c r="K87" s="244"/>
      <c r="L87" s="244"/>
      <c r="M87" s="244"/>
      <c r="N87" s="244"/>
      <c r="O87" s="245"/>
      <c r="P87" s="246" t="s">
        <v>0</v>
      </c>
      <c r="Q87" s="241"/>
      <c r="R87" s="242"/>
      <c r="S87" s="247" t="str">
        <f>IF(顧客名&lt;&gt;"",顧客名,"")</f>
        <v>○✕○✕株式会社</v>
      </c>
      <c r="T87" s="248"/>
      <c r="U87" s="248"/>
      <c r="V87" s="248"/>
      <c r="W87" s="248"/>
      <c r="X87" s="248"/>
      <c r="Y87" s="248"/>
      <c r="Z87" s="248"/>
      <c r="AA87" s="248"/>
      <c r="AB87" s="248"/>
      <c r="AC87" s="248"/>
      <c r="AD87" s="248"/>
      <c r="AE87" s="248"/>
      <c r="AF87" s="249"/>
      <c r="AG87" s="250" t="s">
        <v>35</v>
      </c>
      <c r="AH87" s="250"/>
      <c r="AI87" s="250"/>
      <c r="AJ87" s="251">
        <f>作成日</f>
        <v>44287</v>
      </c>
      <c r="AK87" s="252"/>
      <c r="AL87" s="252"/>
      <c r="AM87" s="252"/>
      <c r="AN87" s="252"/>
      <c r="AO87" s="250" t="s">
        <v>36</v>
      </c>
      <c r="AP87" s="250"/>
      <c r="AQ87" s="250"/>
      <c r="AR87" s="253" t="str">
        <f>作成者</f>
        <v>小泉　文平</v>
      </c>
      <c r="AS87" s="254"/>
      <c r="AT87" s="254"/>
      <c r="AU87" s="254"/>
      <c r="AV87" s="255"/>
      <c r="AW87" s="237"/>
      <c r="AX87" s="256" t="s">
        <v>258</v>
      </c>
      <c r="AY87" s="257"/>
      <c r="AZ87" s="237"/>
    </row>
    <row r="88" spans="1:52" s="195" customFormat="1" ht="13.5" customHeight="1">
      <c r="A88" s="258" t="s">
        <v>30</v>
      </c>
      <c r="B88" s="259"/>
      <c r="C88" s="260"/>
      <c r="D88" s="261" t="s">
        <v>251</v>
      </c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3"/>
      <c r="P88" s="264" t="s">
        <v>2</v>
      </c>
      <c r="Q88" s="259"/>
      <c r="R88" s="260"/>
      <c r="S88" s="265" t="s">
        <v>245</v>
      </c>
      <c r="T88" s="266"/>
      <c r="U88" s="266"/>
      <c r="V88" s="266"/>
      <c r="W88" s="266"/>
      <c r="X88" s="266"/>
      <c r="Y88" s="266"/>
      <c r="Z88" s="266"/>
      <c r="AA88" s="266"/>
      <c r="AB88" s="266"/>
      <c r="AC88" s="266"/>
      <c r="AD88" s="266"/>
      <c r="AE88" s="266"/>
      <c r="AF88" s="267"/>
      <c r="AG88" s="268" t="s">
        <v>34</v>
      </c>
      <c r="AH88" s="268"/>
      <c r="AI88" s="268"/>
      <c r="AJ88" s="269"/>
      <c r="AK88" s="270"/>
      <c r="AL88" s="270"/>
      <c r="AM88" s="270"/>
      <c r="AN88" s="270"/>
      <c r="AO88" s="268" t="s">
        <v>33</v>
      </c>
      <c r="AP88" s="268"/>
      <c r="AQ88" s="268"/>
      <c r="AR88" s="271"/>
      <c r="AS88" s="272"/>
      <c r="AT88" s="272"/>
      <c r="AU88" s="272"/>
      <c r="AV88" s="273"/>
      <c r="AW88" s="237"/>
      <c r="AX88" s="257"/>
      <c r="AY88" s="257"/>
      <c r="AZ88" s="237"/>
    </row>
    <row r="89" spans="1:52" s="195" customFormat="1" ht="13.5" customHeight="1">
      <c r="A89" s="5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60"/>
      <c r="AW89" s="237"/>
      <c r="AX89" s="237"/>
      <c r="AY89" s="237"/>
      <c r="AZ89" s="237"/>
    </row>
    <row r="90" spans="1:52" s="195" customFormat="1" ht="13.5" customHeight="1">
      <c r="A90" s="3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1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7"/>
      <c r="AW90" s="237"/>
      <c r="AX90" s="237"/>
      <c r="AY90" s="237"/>
      <c r="AZ90" s="237"/>
    </row>
    <row r="91" spans="1:52" s="195" customFormat="1" ht="13.5" customHeight="1">
      <c r="A91" s="111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112"/>
      <c r="AW91" s="237"/>
      <c r="AX91" s="237"/>
      <c r="AY91" s="237"/>
      <c r="AZ91" s="237"/>
    </row>
    <row r="92" spans="1:52" s="195" customFormat="1" ht="13.5" customHeight="1">
      <c r="A92" s="111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112"/>
      <c r="AW92" s="237"/>
      <c r="AX92" s="237"/>
      <c r="AY92" s="237"/>
      <c r="AZ92" s="237"/>
    </row>
    <row r="93" spans="1:52" s="195" customFormat="1" ht="13.5" customHeight="1">
      <c r="A93" s="111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112"/>
      <c r="AW93" s="237"/>
      <c r="AX93" s="237"/>
      <c r="AY93" s="237"/>
      <c r="AZ93" s="237"/>
    </row>
    <row r="94" spans="1:52" s="195" customFormat="1" ht="13.5" customHeight="1">
      <c r="A94" s="111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112"/>
      <c r="AW94" s="237"/>
      <c r="AX94" s="237"/>
      <c r="AY94" s="237"/>
      <c r="AZ94" s="237"/>
    </row>
    <row r="95" spans="1:52" s="195" customFormat="1" ht="13.5" customHeight="1">
      <c r="A95" s="111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112"/>
      <c r="AW95" s="237"/>
      <c r="AX95" s="237"/>
      <c r="AY95" s="237"/>
      <c r="AZ95" s="237"/>
    </row>
    <row r="96" spans="1:52" s="195" customFormat="1" ht="13.5" customHeight="1">
      <c r="A96" s="111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112"/>
      <c r="AW96" s="237"/>
      <c r="AX96" s="237"/>
      <c r="AY96" s="237"/>
      <c r="AZ96" s="237"/>
    </row>
    <row r="97" spans="1:52" s="195" customFormat="1" ht="13.5" customHeight="1">
      <c r="A97" s="111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112"/>
      <c r="AW97" s="237"/>
      <c r="AX97" s="237"/>
      <c r="AY97" s="237"/>
      <c r="AZ97" s="237"/>
    </row>
    <row r="98" spans="1:52" s="195" customFormat="1" ht="13.5" customHeight="1">
      <c r="A98" s="111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112"/>
      <c r="AW98" s="237"/>
      <c r="AX98" s="237"/>
      <c r="AY98" s="237"/>
      <c r="AZ98" s="237"/>
    </row>
    <row r="99" spans="1:52" s="195" customFormat="1" ht="13.5" customHeight="1">
      <c r="A99" s="111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112"/>
      <c r="AW99" s="237"/>
      <c r="AX99" s="237"/>
      <c r="AY99" s="237"/>
      <c r="AZ99" s="237"/>
    </row>
    <row r="100" spans="1:52" s="195" customFormat="1" ht="13.5" customHeight="1">
      <c r="A100" s="111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112"/>
      <c r="AW100" s="237"/>
      <c r="AX100" s="237"/>
      <c r="AY100" s="237"/>
      <c r="AZ100" s="237"/>
    </row>
    <row r="101" spans="1:52" s="195" customFormat="1" ht="13.5" customHeight="1">
      <c r="A101" s="111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112"/>
      <c r="AW101" s="237"/>
      <c r="AX101" s="237"/>
      <c r="AY101" s="237"/>
      <c r="AZ101" s="237"/>
    </row>
    <row r="102" spans="1:52" s="195" customFormat="1" ht="13.5" customHeight="1">
      <c r="A102" s="111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112"/>
      <c r="AW102" s="237"/>
      <c r="AX102" s="237"/>
      <c r="AY102" s="237"/>
      <c r="AZ102" s="237"/>
    </row>
    <row r="103" spans="1:52" s="195" customFormat="1" ht="13.5" customHeight="1">
      <c r="A103" s="111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112"/>
      <c r="AW103" s="237"/>
      <c r="AX103" s="237"/>
      <c r="AY103" s="237"/>
      <c r="AZ103" s="237"/>
    </row>
    <row r="104" spans="1:52" s="195" customFormat="1" ht="13.5" customHeight="1">
      <c r="A104" s="111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112"/>
      <c r="AW104" s="237"/>
      <c r="AX104" s="237"/>
      <c r="AY104" s="237"/>
      <c r="AZ104" s="237"/>
    </row>
    <row r="105" spans="1:52" s="195" customFormat="1" ht="13.5" customHeight="1">
      <c r="A105" s="111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112"/>
      <c r="AW105" s="237"/>
      <c r="AX105" s="237"/>
      <c r="AY105" s="237"/>
      <c r="AZ105" s="237"/>
    </row>
    <row r="106" spans="1:52" s="195" customFormat="1" ht="13.5" customHeight="1">
      <c r="A106" s="111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112"/>
      <c r="AW106" s="237"/>
      <c r="AX106" s="237"/>
      <c r="AY106" s="237"/>
      <c r="AZ106" s="237"/>
    </row>
    <row r="107" spans="1:52" s="195" customFormat="1" ht="13.5" customHeight="1">
      <c r="A107" s="111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112"/>
      <c r="AW107" s="237"/>
      <c r="AX107" s="237"/>
      <c r="AY107" s="237"/>
      <c r="AZ107" s="237"/>
    </row>
    <row r="108" spans="1:52" s="195" customFormat="1" ht="13.5" customHeight="1">
      <c r="A108" s="111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112"/>
      <c r="AW108" s="237"/>
      <c r="AX108" s="237"/>
      <c r="AY108" s="237"/>
      <c r="AZ108" s="237"/>
    </row>
    <row r="109" spans="1:52" s="195" customFormat="1" ht="13.5" customHeight="1">
      <c r="A109" s="111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112"/>
      <c r="AW109" s="237"/>
      <c r="AX109" s="237"/>
      <c r="AY109" s="237"/>
      <c r="AZ109" s="237"/>
    </row>
    <row r="110" spans="1:52" s="195" customFormat="1" ht="13.5" customHeight="1">
      <c r="A110" s="111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112"/>
      <c r="AW110" s="237"/>
      <c r="AX110" s="237"/>
      <c r="AY110" s="237"/>
      <c r="AZ110" s="237"/>
    </row>
    <row r="111" spans="1:52" s="195" customFormat="1" ht="13.5" customHeight="1">
      <c r="A111" s="111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112"/>
      <c r="AW111" s="237"/>
      <c r="AX111" s="237"/>
      <c r="AY111" s="237"/>
      <c r="AZ111" s="237"/>
    </row>
    <row r="112" spans="1:52" s="195" customFormat="1" ht="13.5" customHeight="1">
      <c r="A112" s="111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112"/>
      <c r="AW112" s="237"/>
      <c r="AX112" s="237"/>
      <c r="AY112" s="237"/>
      <c r="AZ112" s="237"/>
    </row>
    <row r="113" spans="1:52" s="195" customFormat="1" ht="13.5" customHeight="1">
      <c r="A113" s="111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112"/>
      <c r="AW113" s="237"/>
      <c r="AX113" s="237"/>
      <c r="AY113" s="237"/>
      <c r="AZ113" s="237"/>
    </row>
    <row r="114" spans="1:52" s="195" customFormat="1" ht="13.5" customHeight="1">
      <c r="A114" s="111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112"/>
      <c r="AW114" s="237"/>
      <c r="AX114" s="237"/>
      <c r="AY114" s="237"/>
      <c r="AZ114" s="237"/>
    </row>
    <row r="115" spans="1:52" s="195" customFormat="1" ht="13.5" customHeight="1">
      <c r="A115" s="111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112"/>
      <c r="AW115" s="237"/>
      <c r="AX115" s="237"/>
      <c r="AY115" s="237"/>
      <c r="AZ115" s="237"/>
    </row>
    <row r="116" spans="1:52" s="195" customFormat="1" ht="13.5" customHeight="1">
      <c r="A116" s="111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112"/>
      <c r="AW116" s="237"/>
      <c r="AX116" s="237"/>
      <c r="AY116" s="237"/>
      <c r="AZ116" s="237"/>
    </row>
    <row r="117" spans="1:52" s="195" customFormat="1" ht="13.5" customHeight="1">
      <c r="A117" s="111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112"/>
      <c r="AW117" s="237"/>
      <c r="AX117" s="237"/>
      <c r="AY117" s="237"/>
      <c r="AZ117" s="237"/>
    </row>
    <row r="118" spans="1:52" s="195" customFormat="1" ht="13.5" customHeight="1">
      <c r="A118" s="111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112"/>
      <c r="AW118" s="237"/>
      <c r="AX118" s="237"/>
      <c r="AY118" s="237"/>
      <c r="AZ118" s="237"/>
    </row>
    <row r="119" spans="1:52" s="195" customFormat="1" ht="13.5" customHeight="1">
      <c r="A119" s="111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112"/>
      <c r="AW119" s="237"/>
      <c r="AX119" s="237"/>
      <c r="AY119" s="237"/>
      <c r="AZ119" s="237"/>
    </row>
    <row r="120" spans="1:52" s="195" customFormat="1" ht="13.5" customHeight="1">
      <c r="A120" s="111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112"/>
      <c r="AW120" s="237"/>
      <c r="AX120" s="237"/>
      <c r="AY120" s="237"/>
      <c r="AZ120" s="237"/>
    </row>
    <row r="121" spans="1:52" s="195" customFormat="1" ht="13.5" customHeight="1">
      <c r="A121" s="111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112"/>
      <c r="AW121" s="237"/>
      <c r="AX121" s="237"/>
      <c r="AY121" s="237"/>
      <c r="AZ121" s="237"/>
    </row>
    <row r="122" spans="1:52" s="195" customFormat="1" ht="13.5" customHeight="1">
      <c r="A122" s="111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112"/>
      <c r="AW122" s="237"/>
      <c r="AX122" s="237"/>
      <c r="AY122" s="237"/>
      <c r="AZ122" s="237"/>
    </row>
    <row r="123" spans="1:52" s="195" customFormat="1" ht="13.5" customHeight="1">
      <c r="A123" s="111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112"/>
      <c r="AW123" s="237"/>
      <c r="AX123" s="237"/>
      <c r="AY123" s="237"/>
      <c r="AZ123" s="237"/>
    </row>
    <row r="124" spans="1:52" s="195" customFormat="1" ht="13.5" customHeight="1">
      <c r="A124" s="111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112"/>
      <c r="AW124" s="237"/>
      <c r="AX124" s="237"/>
      <c r="AY124" s="237"/>
      <c r="AZ124" s="237"/>
    </row>
    <row r="125" spans="1:52" s="195" customFormat="1" ht="13.5" customHeight="1">
      <c r="A125" s="111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112"/>
      <c r="AW125" s="237"/>
      <c r="AX125" s="237"/>
      <c r="AY125" s="237"/>
      <c r="AZ125" s="237"/>
    </row>
    <row r="126" spans="1:52" s="195" customFormat="1" ht="13.5" customHeight="1">
      <c r="A126" s="111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112"/>
      <c r="AW126" s="237"/>
      <c r="AX126" s="237"/>
      <c r="AY126" s="237"/>
      <c r="AZ126" s="237"/>
    </row>
    <row r="127" spans="1:52" s="195" customFormat="1" ht="13.5" customHeight="1">
      <c r="A127" s="111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112"/>
      <c r="AW127" s="237"/>
      <c r="AX127" s="237"/>
      <c r="AY127" s="237"/>
      <c r="AZ127" s="237"/>
    </row>
    <row r="128" spans="1:52" s="195" customFormat="1" ht="13.5" customHeight="1">
      <c r="A128" s="111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112"/>
      <c r="AW128" s="237"/>
      <c r="AX128" s="237"/>
      <c r="AY128" s="237"/>
      <c r="AZ128" s="237"/>
    </row>
    <row r="129" spans="1:52" s="195" customFormat="1" ht="13.5" customHeight="1" thickBot="1">
      <c r="A129" s="113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4"/>
      <c r="AW129" s="237"/>
      <c r="AX129" s="238" t="str">
        <f>HYPERLINK("#$A$1","目次へ")</f>
        <v>目次へ</v>
      </c>
      <c r="AY129" s="239"/>
      <c r="AZ129" s="237"/>
    </row>
    <row r="130" spans="1:52" ht="13.5" customHeight="1">
      <c r="A130" s="240" t="s">
        <v>40</v>
      </c>
      <c r="B130" s="241"/>
      <c r="C130" s="242"/>
      <c r="D130" s="243" t="str">
        <f>システム名</f>
        <v>○✕システム</v>
      </c>
      <c r="E130" s="244"/>
      <c r="F130" s="244"/>
      <c r="G130" s="244"/>
      <c r="H130" s="244"/>
      <c r="I130" s="244"/>
      <c r="J130" s="244"/>
      <c r="K130" s="244"/>
      <c r="L130" s="244"/>
      <c r="M130" s="244"/>
      <c r="N130" s="244"/>
      <c r="O130" s="245"/>
      <c r="P130" s="246" t="s">
        <v>0</v>
      </c>
      <c r="Q130" s="241"/>
      <c r="R130" s="242"/>
      <c r="S130" s="247" t="str">
        <f>IF(顧客名&lt;&gt;"",顧客名,"")</f>
        <v>○✕○✕株式会社</v>
      </c>
      <c r="T130" s="248"/>
      <c r="U130" s="248"/>
      <c r="V130" s="248"/>
      <c r="W130" s="248"/>
      <c r="X130" s="248"/>
      <c r="Y130" s="248"/>
      <c r="Z130" s="248"/>
      <c r="AA130" s="248"/>
      <c r="AB130" s="248"/>
      <c r="AC130" s="248"/>
      <c r="AD130" s="248"/>
      <c r="AE130" s="248"/>
      <c r="AF130" s="249"/>
      <c r="AG130" s="250" t="s">
        <v>35</v>
      </c>
      <c r="AH130" s="250"/>
      <c r="AI130" s="250"/>
      <c r="AJ130" s="251">
        <f>作成日</f>
        <v>44287</v>
      </c>
      <c r="AK130" s="252"/>
      <c r="AL130" s="252"/>
      <c r="AM130" s="252"/>
      <c r="AN130" s="252"/>
      <c r="AO130" s="250" t="s">
        <v>36</v>
      </c>
      <c r="AP130" s="250"/>
      <c r="AQ130" s="250"/>
      <c r="AR130" s="253" t="str">
        <f>作成者</f>
        <v>小泉　文平</v>
      </c>
      <c r="AS130" s="254"/>
      <c r="AT130" s="254"/>
      <c r="AU130" s="254"/>
      <c r="AV130" s="255"/>
      <c r="AW130" s="237"/>
      <c r="AX130" s="256" t="s">
        <v>259</v>
      </c>
      <c r="AY130" s="257"/>
      <c r="AZ130" s="237"/>
    </row>
    <row r="131" spans="1:52" ht="13.5" customHeight="1">
      <c r="A131" s="258" t="s">
        <v>30</v>
      </c>
      <c r="B131" s="259"/>
      <c r="C131" s="260"/>
      <c r="D131" s="261" t="s">
        <v>252</v>
      </c>
      <c r="E131" s="262"/>
      <c r="F131" s="262"/>
      <c r="G131" s="262"/>
      <c r="H131" s="262"/>
      <c r="I131" s="262"/>
      <c r="J131" s="262"/>
      <c r="K131" s="262"/>
      <c r="L131" s="262"/>
      <c r="M131" s="262"/>
      <c r="N131" s="262"/>
      <c r="O131" s="263"/>
      <c r="P131" s="264" t="s">
        <v>2</v>
      </c>
      <c r="Q131" s="259"/>
      <c r="R131" s="260"/>
      <c r="S131" s="265" t="s">
        <v>246</v>
      </c>
      <c r="T131" s="266"/>
      <c r="U131" s="266"/>
      <c r="V131" s="266"/>
      <c r="W131" s="266"/>
      <c r="X131" s="266"/>
      <c r="Y131" s="266"/>
      <c r="Z131" s="266"/>
      <c r="AA131" s="266"/>
      <c r="AB131" s="266"/>
      <c r="AC131" s="266"/>
      <c r="AD131" s="266"/>
      <c r="AE131" s="266"/>
      <c r="AF131" s="267"/>
      <c r="AG131" s="268" t="s">
        <v>34</v>
      </c>
      <c r="AH131" s="268"/>
      <c r="AI131" s="268"/>
      <c r="AJ131" s="269"/>
      <c r="AK131" s="270"/>
      <c r="AL131" s="270"/>
      <c r="AM131" s="270"/>
      <c r="AN131" s="270"/>
      <c r="AO131" s="268" t="s">
        <v>33</v>
      </c>
      <c r="AP131" s="268"/>
      <c r="AQ131" s="268"/>
      <c r="AR131" s="271"/>
      <c r="AS131" s="272"/>
      <c r="AT131" s="272"/>
      <c r="AU131" s="272"/>
      <c r="AV131" s="273"/>
      <c r="AW131" s="237"/>
      <c r="AX131" s="257"/>
      <c r="AY131" s="257"/>
      <c r="AZ131" s="237"/>
    </row>
    <row r="132" spans="1:52" ht="13.5" customHeight="1">
      <c r="A132" s="5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60"/>
      <c r="AW132" s="237"/>
      <c r="AX132" s="237"/>
      <c r="AY132" s="237"/>
      <c r="AZ132" s="237"/>
    </row>
    <row r="133" spans="1:52" ht="13.5" customHeight="1">
      <c r="A133" s="3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1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7"/>
      <c r="AW133" s="237"/>
      <c r="AX133" s="237"/>
      <c r="AY133" s="237"/>
      <c r="AZ133" s="237"/>
    </row>
    <row r="134" spans="1:52" ht="13.5" customHeight="1">
      <c r="A134" s="111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112"/>
      <c r="AW134" s="237"/>
      <c r="AX134" s="237"/>
      <c r="AY134" s="237"/>
      <c r="AZ134" s="237"/>
    </row>
    <row r="135" spans="1:52" ht="13.5" customHeight="1">
      <c r="A135" s="111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112"/>
      <c r="AW135" s="237"/>
      <c r="AX135" s="237"/>
      <c r="AY135" s="237"/>
      <c r="AZ135" s="237"/>
    </row>
    <row r="136" spans="1:52" ht="13.5" customHeight="1">
      <c r="A136" s="111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112"/>
      <c r="AW136" s="237"/>
      <c r="AX136" s="237"/>
      <c r="AY136" s="237"/>
      <c r="AZ136" s="237"/>
    </row>
    <row r="137" spans="1:52" ht="13.5" customHeight="1">
      <c r="A137" s="111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112"/>
      <c r="AW137" s="237"/>
      <c r="AX137" s="237"/>
      <c r="AY137" s="237"/>
      <c r="AZ137" s="237"/>
    </row>
    <row r="138" spans="1:52" ht="13.5" customHeight="1">
      <c r="A138" s="111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112"/>
      <c r="AW138" s="237"/>
      <c r="AX138" s="237"/>
      <c r="AY138" s="237"/>
      <c r="AZ138" s="237"/>
    </row>
    <row r="139" spans="1:52" ht="13.5" customHeight="1">
      <c r="A139" s="111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112"/>
      <c r="AW139" s="237"/>
      <c r="AX139" s="237"/>
      <c r="AY139" s="237"/>
      <c r="AZ139" s="237"/>
    </row>
    <row r="140" spans="1:52" ht="13.5" customHeight="1">
      <c r="A140" s="111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112"/>
      <c r="AW140" s="237"/>
      <c r="AX140" s="237"/>
      <c r="AY140" s="237"/>
      <c r="AZ140" s="237"/>
    </row>
    <row r="141" spans="1:52" ht="13.5" customHeight="1">
      <c r="A141" s="111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112"/>
      <c r="AW141" s="237"/>
      <c r="AX141" s="237"/>
      <c r="AY141" s="237"/>
      <c r="AZ141" s="237"/>
    </row>
    <row r="142" spans="1:52" ht="13.5" customHeight="1">
      <c r="A142" s="111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112"/>
      <c r="AW142" s="237"/>
      <c r="AX142" s="237"/>
      <c r="AY142" s="237"/>
      <c r="AZ142" s="237"/>
    </row>
    <row r="143" spans="1:52" ht="13.5" customHeight="1">
      <c r="A143" s="111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112"/>
      <c r="AW143" s="237"/>
      <c r="AX143" s="237"/>
      <c r="AY143" s="237"/>
      <c r="AZ143" s="237"/>
    </row>
    <row r="144" spans="1:52" ht="13.5" customHeight="1">
      <c r="A144" s="111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112"/>
      <c r="AW144" s="237"/>
      <c r="AX144" s="237"/>
      <c r="AY144" s="237"/>
      <c r="AZ144" s="237"/>
    </row>
    <row r="145" spans="1:52" ht="13.5" customHeight="1">
      <c r="A145" s="111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112"/>
      <c r="AW145" s="237"/>
      <c r="AX145" s="237"/>
      <c r="AY145" s="237"/>
      <c r="AZ145" s="237"/>
    </row>
    <row r="146" spans="1:52" ht="13.5" customHeight="1">
      <c r="A146" s="111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112"/>
      <c r="AW146" s="237"/>
      <c r="AX146" s="237"/>
      <c r="AY146" s="237"/>
      <c r="AZ146" s="237"/>
    </row>
    <row r="147" spans="1:52" ht="13.5" customHeight="1">
      <c r="A147" s="111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112"/>
      <c r="AW147" s="237"/>
      <c r="AX147" s="237"/>
      <c r="AY147" s="237"/>
      <c r="AZ147" s="237"/>
    </row>
    <row r="148" spans="1:52" ht="13.5" customHeight="1">
      <c r="A148" s="111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112"/>
      <c r="AW148" s="237"/>
      <c r="AX148" s="237"/>
      <c r="AY148" s="237"/>
      <c r="AZ148" s="237"/>
    </row>
    <row r="149" spans="1:52" ht="13.5" customHeight="1">
      <c r="A149" s="111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112"/>
      <c r="AW149" s="237"/>
      <c r="AX149" s="237"/>
      <c r="AY149" s="237"/>
      <c r="AZ149" s="237"/>
    </row>
    <row r="150" spans="1:52" ht="13.5" customHeight="1">
      <c r="A150" s="111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112"/>
      <c r="AW150" s="237"/>
      <c r="AX150" s="237"/>
      <c r="AY150" s="237"/>
      <c r="AZ150" s="237"/>
    </row>
    <row r="151" spans="1:52" ht="13.5" customHeight="1">
      <c r="A151" s="111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112"/>
      <c r="AW151" s="237"/>
      <c r="AX151" s="237"/>
      <c r="AY151" s="237"/>
      <c r="AZ151" s="237"/>
    </row>
    <row r="152" spans="1:52" ht="13.5" customHeight="1">
      <c r="A152" s="111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112"/>
      <c r="AW152" s="237"/>
      <c r="AX152" s="237"/>
      <c r="AY152" s="237"/>
      <c r="AZ152" s="237"/>
    </row>
    <row r="153" spans="1:52" ht="13.5" customHeight="1">
      <c r="A153" s="111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112"/>
      <c r="AW153" s="237"/>
      <c r="AX153" s="237"/>
      <c r="AY153" s="237"/>
      <c r="AZ153" s="237"/>
    </row>
    <row r="154" spans="1:52" ht="13.5" customHeight="1">
      <c r="A154" s="111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112"/>
      <c r="AW154" s="237"/>
      <c r="AX154" s="237"/>
      <c r="AY154" s="237"/>
      <c r="AZ154" s="237"/>
    </row>
    <row r="155" spans="1:52" ht="13.5" customHeight="1">
      <c r="A155" s="111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112"/>
      <c r="AW155" s="237"/>
      <c r="AX155" s="237"/>
      <c r="AY155" s="237"/>
      <c r="AZ155" s="237"/>
    </row>
    <row r="156" spans="1:52" ht="13.5" customHeight="1">
      <c r="A156" s="111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112"/>
      <c r="AW156" s="237"/>
      <c r="AX156" s="237"/>
      <c r="AY156" s="237"/>
      <c r="AZ156" s="237"/>
    </row>
    <row r="157" spans="1:52" ht="13.5" customHeight="1">
      <c r="A157" s="111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112"/>
      <c r="AW157" s="237"/>
      <c r="AX157" s="237"/>
      <c r="AY157" s="237"/>
      <c r="AZ157" s="237"/>
    </row>
    <row r="158" spans="1:52" ht="13.5" customHeight="1">
      <c r="A158" s="111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112"/>
      <c r="AW158" s="237"/>
      <c r="AX158" s="237"/>
      <c r="AY158" s="237"/>
      <c r="AZ158" s="237"/>
    </row>
    <row r="159" spans="1:52" ht="13.5" customHeight="1">
      <c r="A159" s="111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112"/>
      <c r="AW159" s="237"/>
      <c r="AX159" s="237"/>
      <c r="AY159" s="237"/>
      <c r="AZ159" s="237"/>
    </row>
    <row r="160" spans="1:52" ht="13.5" customHeight="1">
      <c r="A160" s="111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112"/>
      <c r="AW160" s="237"/>
      <c r="AX160" s="237"/>
      <c r="AY160" s="237"/>
      <c r="AZ160" s="237"/>
    </row>
    <row r="161" spans="1:52" ht="13.5" customHeight="1">
      <c r="A161" s="111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112"/>
      <c r="AW161" s="237"/>
      <c r="AX161" s="237"/>
      <c r="AY161" s="237"/>
      <c r="AZ161" s="237"/>
    </row>
    <row r="162" spans="1:52" ht="13.5" customHeight="1">
      <c r="A162" s="111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112"/>
      <c r="AW162" s="237"/>
      <c r="AX162" s="237"/>
      <c r="AY162" s="237"/>
      <c r="AZ162" s="237"/>
    </row>
    <row r="163" spans="1:52" ht="13.5" customHeight="1">
      <c r="A163" s="111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112"/>
      <c r="AW163" s="237"/>
      <c r="AX163" s="237"/>
      <c r="AY163" s="237"/>
      <c r="AZ163" s="237"/>
    </row>
    <row r="164" spans="1:52" ht="13.5" customHeight="1">
      <c r="A164" s="111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112"/>
      <c r="AW164" s="237"/>
      <c r="AX164" s="237"/>
      <c r="AY164" s="237"/>
      <c r="AZ164" s="237"/>
    </row>
    <row r="165" spans="1:52" ht="13.5" customHeight="1">
      <c r="A165" s="111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112"/>
      <c r="AW165" s="237"/>
      <c r="AX165" s="237"/>
      <c r="AY165" s="237"/>
      <c r="AZ165" s="237"/>
    </row>
    <row r="166" spans="1:52" ht="13.5" customHeight="1">
      <c r="A166" s="111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112"/>
      <c r="AW166" s="237"/>
      <c r="AX166" s="237"/>
      <c r="AY166" s="237"/>
      <c r="AZ166" s="237"/>
    </row>
    <row r="167" spans="1:52" ht="13.5" customHeight="1">
      <c r="A167" s="111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112"/>
      <c r="AW167" s="237"/>
      <c r="AX167" s="237"/>
      <c r="AY167" s="237"/>
      <c r="AZ167" s="237"/>
    </row>
    <row r="168" spans="1:52" ht="13.5" customHeight="1">
      <c r="A168" s="111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112"/>
      <c r="AW168" s="237"/>
      <c r="AX168" s="237"/>
      <c r="AY168" s="237"/>
      <c r="AZ168" s="237"/>
    </row>
    <row r="169" spans="1:52" ht="13.5" customHeight="1">
      <c r="A169" s="111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112"/>
      <c r="AW169" s="237"/>
      <c r="AX169" s="237"/>
      <c r="AY169" s="237"/>
      <c r="AZ169" s="237"/>
    </row>
    <row r="170" spans="1:52" ht="13.5" customHeight="1">
      <c r="A170" s="111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112"/>
      <c r="AW170" s="237"/>
      <c r="AX170" s="237"/>
      <c r="AY170" s="237"/>
      <c r="AZ170" s="237"/>
    </row>
    <row r="171" spans="1:52" ht="13.5" customHeight="1">
      <c r="A171" s="111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112"/>
      <c r="AW171" s="237"/>
      <c r="AX171" s="237"/>
      <c r="AY171" s="237"/>
      <c r="AZ171" s="237"/>
    </row>
    <row r="172" spans="1:52" ht="13.5" customHeight="1" thickBot="1">
      <c r="A172" s="113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4"/>
      <c r="AW172" s="237"/>
      <c r="AX172" s="238" t="str">
        <f>HYPERLINK("#$A$1","目次へ")</f>
        <v>目次へ</v>
      </c>
      <c r="AY172" s="239"/>
      <c r="AZ172" s="237"/>
    </row>
    <row r="173" spans="1:52" ht="13.5" customHeight="1">
      <c r="A173" s="240" t="s">
        <v>40</v>
      </c>
      <c r="B173" s="241"/>
      <c r="C173" s="242"/>
      <c r="D173" s="243" t="str">
        <f>システム名</f>
        <v>○✕システム</v>
      </c>
      <c r="E173" s="244"/>
      <c r="F173" s="244"/>
      <c r="G173" s="244"/>
      <c r="H173" s="244"/>
      <c r="I173" s="244"/>
      <c r="J173" s="244"/>
      <c r="K173" s="244"/>
      <c r="L173" s="244"/>
      <c r="M173" s="244"/>
      <c r="N173" s="244"/>
      <c r="O173" s="245"/>
      <c r="P173" s="246" t="s">
        <v>0</v>
      </c>
      <c r="Q173" s="241"/>
      <c r="R173" s="242"/>
      <c r="S173" s="247" t="str">
        <f>IF(顧客名&lt;&gt;"",顧客名,"")</f>
        <v>○✕○✕株式会社</v>
      </c>
      <c r="T173" s="248"/>
      <c r="U173" s="248"/>
      <c r="V173" s="248"/>
      <c r="W173" s="248"/>
      <c r="X173" s="248"/>
      <c r="Y173" s="248"/>
      <c r="Z173" s="248"/>
      <c r="AA173" s="248"/>
      <c r="AB173" s="248"/>
      <c r="AC173" s="248"/>
      <c r="AD173" s="248"/>
      <c r="AE173" s="248"/>
      <c r="AF173" s="249"/>
      <c r="AG173" s="250" t="s">
        <v>35</v>
      </c>
      <c r="AH173" s="250"/>
      <c r="AI173" s="250"/>
      <c r="AJ173" s="251">
        <f>作成日</f>
        <v>44287</v>
      </c>
      <c r="AK173" s="252"/>
      <c r="AL173" s="252"/>
      <c r="AM173" s="252"/>
      <c r="AN173" s="252"/>
      <c r="AO173" s="250" t="s">
        <v>36</v>
      </c>
      <c r="AP173" s="250"/>
      <c r="AQ173" s="250"/>
      <c r="AR173" s="253" t="str">
        <f>作成者</f>
        <v>小泉　文平</v>
      </c>
      <c r="AS173" s="254"/>
      <c r="AT173" s="254"/>
      <c r="AU173" s="254"/>
      <c r="AV173" s="255"/>
      <c r="AW173" s="237"/>
      <c r="AX173" s="256" t="s">
        <v>260</v>
      </c>
      <c r="AY173" s="257"/>
      <c r="AZ173" s="237"/>
    </row>
    <row r="174" spans="1:52" ht="13.5" customHeight="1">
      <c r="A174" s="258" t="s">
        <v>30</v>
      </c>
      <c r="B174" s="259"/>
      <c r="C174" s="260"/>
      <c r="D174" s="261" t="s">
        <v>253</v>
      </c>
      <c r="E174" s="262"/>
      <c r="F174" s="262"/>
      <c r="G174" s="262"/>
      <c r="H174" s="262"/>
      <c r="I174" s="262"/>
      <c r="J174" s="262"/>
      <c r="K174" s="262"/>
      <c r="L174" s="262"/>
      <c r="M174" s="262"/>
      <c r="N174" s="262"/>
      <c r="O174" s="263"/>
      <c r="P174" s="264" t="s">
        <v>2</v>
      </c>
      <c r="Q174" s="259"/>
      <c r="R174" s="260"/>
      <c r="S174" s="265" t="s">
        <v>247</v>
      </c>
      <c r="T174" s="266"/>
      <c r="U174" s="266"/>
      <c r="V174" s="266"/>
      <c r="W174" s="266"/>
      <c r="X174" s="266"/>
      <c r="Y174" s="266"/>
      <c r="Z174" s="266"/>
      <c r="AA174" s="266"/>
      <c r="AB174" s="266"/>
      <c r="AC174" s="266"/>
      <c r="AD174" s="266"/>
      <c r="AE174" s="266"/>
      <c r="AF174" s="267"/>
      <c r="AG174" s="268" t="s">
        <v>34</v>
      </c>
      <c r="AH174" s="268"/>
      <c r="AI174" s="268"/>
      <c r="AJ174" s="269"/>
      <c r="AK174" s="270"/>
      <c r="AL174" s="270"/>
      <c r="AM174" s="270"/>
      <c r="AN174" s="270"/>
      <c r="AO174" s="268" t="s">
        <v>33</v>
      </c>
      <c r="AP174" s="268"/>
      <c r="AQ174" s="268"/>
      <c r="AR174" s="271"/>
      <c r="AS174" s="272"/>
      <c r="AT174" s="272"/>
      <c r="AU174" s="272"/>
      <c r="AV174" s="273"/>
      <c r="AW174" s="237"/>
      <c r="AX174" s="257"/>
      <c r="AY174" s="257"/>
      <c r="AZ174" s="237"/>
    </row>
    <row r="175" spans="1:52" ht="13.5" customHeight="1">
      <c r="A175" s="5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60"/>
      <c r="AW175" s="237"/>
      <c r="AX175" s="237"/>
      <c r="AY175" s="237"/>
      <c r="AZ175" s="237"/>
    </row>
    <row r="176" spans="1:52" ht="13.5" customHeight="1">
      <c r="A176" s="3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1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7"/>
      <c r="AW176" s="237"/>
      <c r="AX176" s="237"/>
      <c r="AY176" s="237"/>
      <c r="AZ176" s="237"/>
    </row>
    <row r="177" spans="1:52" ht="13.5" customHeight="1">
      <c r="A177" s="111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112"/>
      <c r="AW177" s="237"/>
      <c r="AX177" s="237"/>
      <c r="AY177" s="237"/>
      <c r="AZ177" s="237"/>
    </row>
    <row r="178" spans="1:52" ht="13.5" customHeight="1">
      <c r="A178" s="111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112"/>
      <c r="AW178" s="237"/>
      <c r="AX178" s="237"/>
      <c r="AY178" s="237"/>
      <c r="AZ178" s="237"/>
    </row>
    <row r="179" spans="1:52" ht="13.5" customHeight="1">
      <c r="A179" s="111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112"/>
      <c r="AW179" s="237"/>
      <c r="AX179" s="237"/>
      <c r="AY179" s="237"/>
      <c r="AZ179" s="237"/>
    </row>
    <row r="180" spans="1:52" ht="13.5" customHeight="1">
      <c r="A180" s="111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112"/>
      <c r="AW180" s="237"/>
      <c r="AX180" s="237"/>
      <c r="AY180" s="237"/>
      <c r="AZ180" s="237"/>
    </row>
    <row r="181" spans="1:52" ht="13.5" customHeight="1">
      <c r="A181" s="111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112"/>
      <c r="AW181" s="237"/>
      <c r="AX181" s="237"/>
      <c r="AY181" s="237"/>
      <c r="AZ181" s="237"/>
    </row>
    <row r="182" spans="1:52" ht="13.5" customHeight="1">
      <c r="A182" s="111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112"/>
      <c r="AW182" s="237"/>
      <c r="AX182" s="237"/>
      <c r="AY182" s="237"/>
      <c r="AZ182" s="237"/>
    </row>
    <row r="183" spans="1:52" ht="13.5" customHeight="1">
      <c r="A183" s="111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112"/>
      <c r="AW183" s="237"/>
      <c r="AX183" s="237"/>
      <c r="AY183" s="237"/>
      <c r="AZ183" s="237"/>
    </row>
    <row r="184" spans="1:52" ht="13.5" customHeight="1">
      <c r="A184" s="111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112"/>
      <c r="AW184" s="237"/>
      <c r="AX184" s="237"/>
      <c r="AY184" s="237"/>
      <c r="AZ184" s="237"/>
    </row>
    <row r="185" spans="1:52" ht="13.5" customHeight="1">
      <c r="A185" s="111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112"/>
      <c r="AW185" s="237"/>
      <c r="AX185" s="237"/>
      <c r="AY185" s="237"/>
      <c r="AZ185" s="237"/>
    </row>
    <row r="186" spans="1:52" ht="13.5" customHeight="1">
      <c r="A186" s="111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112"/>
      <c r="AW186" s="237"/>
      <c r="AX186" s="237"/>
      <c r="AY186" s="237"/>
      <c r="AZ186" s="237"/>
    </row>
    <row r="187" spans="1:52" ht="13.5" customHeight="1">
      <c r="A187" s="111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112"/>
      <c r="AW187" s="237"/>
      <c r="AX187" s="237"/>
      <c r="AY187" s="237"/>
      <c r="AZ187" s="237"/>
    </row>
    <row r="188" spans="1:52" ht="13.5" customHeight="1">
      <c r="A188" s="111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112"/>
      <c r="AW188" s="237"/>
      <c r="AX188" s="237"/>
      <c r="AY188" s="237"/>
      <c r="AZ188" s="237"/>
    </row>
    <row r="189" spans="1:52" ht="13.5" customHeight="1">
      <c r="A189" s="111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112"/>
      <c r="AW189" s="237"/>
      <c r="AX189" s="237"/>
      <c r="AY189" s="237"/>
      <c r="AZ189" s="237"/>
    </row>
    <row r="190" spans="1:52" ht="13.5" customHeight="1">
      <c r="A190" s="111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112"/>
      <c r="AW190" s="237"/>
      <c r="AX190" s="237"/>
      <c r="AY190" s="237"/>
      <c r="AZ190" s="237"/>
    </row>
    <row r="191" spans="1:52" ht="13.5" customHeight="1">
      <c r="A191" s="111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112"/>
      <c r="AW191" s="237"/>
      <c r="AX191" s="237"/>
      <c r="AY191" s="237"/>
      <c r="AZ191" s="237"/>
    </row>
    <row r="192" spans="1:52" ht="13.5" customHeight="1">
      <c r="A192" s="111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112"/>
      <c r="AW192" s="237"/>
      <c r="AX192" s="237"/>
      <c r="AY192" s="237"/>
      <c r="AZ192" s="237"/>
    </row>
    <row r="193" spans="1:52" ht="13.5" customHeight="1">
      <c r="A193" s="111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112"/>
      <c r="AW193" s="237"/>
      <c r="AX193" s="237"/>
      <c r="AY193" s="237"/>
      <c r="AZ193" s="237"/>
    </row>
    <row r="194" spans="1:52" ht="13.5" customHeight="1">
      <c r="A194" s="111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112"/>
      <c r="AW194" s="237"/>
      <c r="AX194" s="237"/>
      <c r="AY194" s="237"/>
      <c r="AZ194" s="237"/>
    </row>
    <row r="195" spans="1:52" ht="13.5" customHeight="1">
      <c r="A195" s="111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112"/>
      <c r="AW195" s="237"/>
      <c r="AX195" s="237"/>
      <c r="AY195" s="237"/>
      <c r="AZ195" s="237"/>
    </row>
    <row r="196" spans="1:52" ht="13.5" customHeight="1">
      <c r="A196" s="111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112"/>
      <c r="AW196" s="237"/>
      <c r="AX196" s="237"/>
      <c r="AY196" s="237"/>
      <c r="AZ196" s="237"/>
    </row>
    <row r="197" spans="1:52" ht="13.5" customHeight="1">
      <c r="A197" s="111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112"/>
      <c r="AW197" s="237"/>
      <c r="AX197" s="237"/>
      <c r="AY197" s="237"/>
      <c r="AZ197" s="237"/>
    </row>
    <row r="198" spans="1:52" ht="13.5" customHeight="1">
      <c r="A198" s="111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112"/>
      <c r="AW198" s="237"/>
      <c r="AX198" s="237"/>
      <c r="AY198" s="237"/>
      <c r="AZ198" s="237"/>
    </row>
    <row r="199" spans="1:52" ht="13.5" customHeight="1">
      <c r="A199" s="111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112"/>
      <c r="AW199" s="237"/>
      <c r="AX199" s="237"/>
      <c r="AY199" s="237"/>
      <c r="AZ199" s="237"/>
    </row>
    <row r="200" spans="1:52" ht="13.5" customHeight="1">
      <c r="A200" s="111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112"/>
      <c r="AW200" s="237"/>
      <c r="AX200" s="237"/>
      <c r="AY200" s="237"/>
      <c r="AZ200" s="237"/>
    </row>
    <row r="201" spans="1:52" ht="13.5" customHeight="1">
      <c r="A201" s="111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112"/>
      <c r="AW201" s="237"/>
      <c r="AX201" s="237"/>
      <c r="AY201" s="237"/>
      <c r="AZ201" s="237"/>
    </row>
    <row r="202" spans="1:52" ht="13.5" customHeight="1">
      <c r="A202" s="111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112"/>
      <c r="AW202" s="237"/>
      <c r="AX202" s="237"/>
      <c r="AY202" s="237"/>
      <c r="AZ202" s="237"/>
    </row>
    <row r="203" spans="1:52" ht="13.5" customHeight="1">
      <c r="A203" s="111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112"/>
      <c r="AW203" s="237"/>
      <c r="AX203" s="237"/>
      <c r="AY203" s="237"/>
      <c r="AZ203" s="237"/>
    </row>
    <row r="204" spans="1:52" ht="13.5" customHeight="1">
      <c r="A204" s="111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112"/>
      <c r="AW204" s="237"/>
      <c r="AX204" s="237"/>
      <c r="AY204" s="237"/>
      <c r="AZ204" s="237"/>
    </row>
    <row r="205" spans="1:52" ht="13.5" customHeight="1">
      <c r="A205" s="111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112"/>
      <c r="AW205" s="237"/>
      <c r="AX205" s="237"/>
      <c r="AY205" s="237"/>
      <c r="AZ205" s="237"/>
    </row>
    <row r="206" spans="1:52" ht="13.5" customHeight="1">
      <c r="A206" s="111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112"/>
      <c r="AW206" s="237"/>
      <c r="AX206" s="237"/>
      <c r="AY206" s="237"/>
      <c r="AZ206" s="237"/>
    </row>
    <row r="207" spans="1:52" ht="13.5" customHeight="1">
      <c r="A207" s="111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112"/>
      <c r="AW207" s="237"/>
      <c r="AX207" s="237"/>
      <c r="AY207" s="237"/>
      <c r="AZ207" s="237"/>
    </row>
    <row r="208" spans="1:52" ht="13.5" customHeight="1">
      <c r="A208" s="111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112"/>
      <c r="AW208" s="237"/>
      <c r="AX208" s="237"/>
      <c r="AY208" s="237"/>
      <c r="AZ208" s="237"/>
    </row>
    <row r="209" spans="1:52" ht="13.5" customHeight="1">
      <c r="A209" s="111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112"/>
      <c r="AW209" s="237"/>
      <c r="AX209" s="237"/>
      <c r="AY209" s="237"/>
      <c r="AZ209" s="237"/>
    </row>
    <row r="210" spans="1:52" ht="13.5" customHeight="1">
      <c r="A210" s="111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112"/>
      <c r="AW210" s="237"/>
      <c r="AX210" s="237"/>
      <c r="AY210" s="237"/>
      <c r="AZ210" s="237"/>
    </row>
    <row r="211" spans="1:52" ht="13.5" customHeight="1">
      <c r="A211" s="111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112"/>
      <c r="AW211" s="237"/>
      <c r="AX211" s="237"/>
      <c r="AY211" s="237"/>
      <c r="AZ211" s="237"/>
    </row>
    <row r="212" spans="1:52" ht="13.5" customHeight="1">
      <c r="A212" s="111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112"/>
      <c r="AW212" s="237"/>
      <c r="AX212" s="237"/>
      <c r="AY212" s="237"/>
      <c r="AZ212" s="237"/>
    </row>
    <row r="213" spans="1:52" ht="13.5" customHeight="1">
      <c r="A213" s="111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112"/>
      <c r="AW213" s="237"/>
      <c r="AX213" s="237"/>
      <c r="AY213" s="237"/>
      <c r="AZ213" s="237"/>
    </row>
    <row r="214" spans="1:52" ht="13.5" customHeight="1">
      <c r="A214" s="111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112"/>
      <c r="AW214" s="237"/>
      <c r="AX214" s="237"/>
      <c r="AY214" s="237"/>
      <c r="AZ214" s="237"/>
    </row>
    <row r="215" spans="1:52" ht="13.5" customHeight="1" thickBot="1">
      <c r="A215" s="113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4"/>
      <c r="AW215" s="237"/>
      <c r="AX215" s="238" t="str">
        <f>HYPERLINK("#$A$1","目次へ")</f>
        <v>目次へ</v>
      </c>
      <c r="AY215" s="239"/>
      <c r="AZ215" s="237"/>
    </row>
    <row r="216" spans="1:52" ht="13.5" customHeight="1">
      <c r="A216" s="240" t="s">
        <v>40</v>
      </c>
      <c r="B216" s="241"/>
      <c r="C216" s="242"/>
      <c r="D216" s="243" t="str">
        <f>システム名</f>
        <v>○✕システム</v>
      </c>
      <c r="E216" s="244"/>
      <c r="F216" s="244"/>
      <c r="G216" s="244"/>
      <c r="H216" s="244"/>
      <c r="I216" s="244"/>
      <c r="J216" s="244"/>
      <c r="K216" s="244"/>
      <c r="L216" s="244"/>
      <c r="M216" s="244"/>
      <c r="N216" s="244"/>
      <c r="O216" s="245"/>
      <c r="P216" s="246" t="s">
        <v>0</v>
      </c>
      <c r="Q216" s="241"/>
      <c r="R216" s="242"/>
      <c r="S216" s="247" t="str">
        <f>IF(顧客名&lt;&gt;"",顧客名,"")</f>
        <v>○✕○✕株式会社</v>
      </c>
      <c r="T216" s="248"/>
      <c r="U216" s="248"/>
      <c r="V216" s="248"/>
      <c r="W216" s="248"/>
      <c r="X216" s="248"/>
      <c r="Y216" s="248"/>
      <c r="Z216" s="248"/>
      <c r="AA216" s="248"/>
      <c r="AB216" s="248"/>
      <c r="AC216" s="248"/>
      <c r="AD216" s="248"/>
      <c r="AE216" s="248"/>
      <c r="AF216" s="249"/>
      <c r="AG216" s="250" t="s">
        <v>35</v>
      </c>
      <c r="AH216" s="250"/>
      <c r="AI216" s="250"/>
      <c r="AJ216" s="251">
        <f>作成日</f>
        <v>44287</v>
      </c>
      <c r="AK216" s="252"/>
      <c r="AL216" s="252"/>
      <c r="AM216" s="252"/>
      <c r="AN216" s="252"/>
      <c r="AO216" s="250" t="s">
        <v>36</v>
      </c>
      <c r="AP216" s="250"/>
      <c r="AQ216" s="250"/>
      <c r="AR216" s="253" t="str">
        <f>作成者</f>
        <v>小泉　文平</v>
      </c>
      <c r="AS216" s="254"/>
      <c r="AT216" s="254"/>
      <c r="AU216" s="254"/>
      <c r="AV216" s="255"/>
      <c r="AW216" s="237"/>
      <c r="AX216" s="256" t="s">
        <v>261</v>
      </c>
      <c r="AY216" s="257"/>
      <c r="AZ216" s="237"/>
    </row>
    <row r="217" spans="1:52" ht="13.5" customHeight="1">
      <c r="A217" s="258" t="s">
        <v>30</v>
      </c>
      <c r="B217" s="259"/>
      <c r="C217" s="260"/>
      <c r="D217" s="261" t="s">
        <v>254</v>
      </c>
      <c r="E217" s="262"/>
      <c r="F217" s="262"/>
      <c r="G217" s="262"/>
      <c r="H217" s="262"/>
      <c r="I217" s="262"/>
      <c r="J217" s="262"/>
      <c r="K217" s="262"/>
      <c r="L217" s="262"/>
      <c r="M217" s="262"/>
      <c r="N217" s="262"/>
      <c r="O217" s="263"/>
      <c r="P217" s="264" t="s">
        <v>2</v>
      </c>
      <c r="Q217" s="259"/>
      <c r="R217" s="260"/>
      <c r="S217" s="265" t="s">
        <v>248</v>
      </c>
      <c r="T217" s="266"/>
      <c r="U217" s="266"/>
      <c r="V217" s="266"/>
      <c r="W217" s="266"/>
      <c r="X217" s="266"/>
      <c r="Y217" s="266"/>
      <c r="Z217" s="266"/>
      <c r="AA217" s="266"/>
      <c r="AB217" s="266"/>
      <c r="AC217" s="266"/>
      <c r="AD217" s="266"/>
      <c r="AE217" s="266"/>
      <c r="AF217" s="267"/>
      <c r="AG217" s="268" t="s">
        <v>34</v>
      </c>
      <c r="AH217" s="268"/>
      <c r="AI217" s="268"/>
      <c r="AJ217" s="269"/>
      <c r="AK217" s="270"/>
      <c r="AL217" s="270"/>
      <c r="AM217" s="270"/>
      <c r="AN217" s="270"/>
      <c r="AO217" s="268" t="s">
        <v>33</v>
      </c>
      <c r="AP217" s="268"/>
      <c r="AQ217" s="268"/>
      <c r="AR217" s="271"/>
      <c r="AS217" s="272"/>
      <c r="AT217" s="272"/>
      <c r="AU217" s="272"/>
      <c r="AV217" s="273"/>
      <c r="AW217" s="237"/>
      <c r="AX217" s="257"/>
      <c r="AY217" s="257"/>
      <c r="AZ217" s="237"/>
    </row>
    <row r="218" spans="1:52" ht="13.5" customHeight="1">
      <c r="A218" s="59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60"/>
      <c r="AW218" s="237"/>
      <c r="AX218" s="237"/>
      <c r="AY218" s="237"/>
      <c r="AZ218" s="237"/>
    </row>
    <row r="219" spans="1:52" ht="13.5" customHeight="1">
      <c r="A219" s="3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1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7"/>
      <c r="AW219" s="237"/>
      <c r="AX219" s="237"/>
      <c r="AY219" s="237"/>
      <c r="AZ219" s="237"/>
    </row>
    <row r="220" spans="1:52" ht="13.5" customHeight="1">
      <c r="A220" s="111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112"/>
      <c r="AW220" s="237"/>
      <c r="AX220" s="237"/>
      <c r="AY220" s="237"/>
      <c r="AZ220" s="237"/>
    </row>
    <row r="221" spans="1:52" ht="13.5" customHeight="1">
      <c r="A221" s="111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112"/>
      <c r="AW221" s="237"/>
      <c r="AX221" s="237"/>
      <c r="AY221" s="237"/>
      <c r="AZ221" s="237"/>
    </row>
    <row r="222" spans="1:52" ht="13.5" customHeight="1">
      <c r="A222" s="111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112"/>
      <c r="AW222" s="237"/>
      <c r="AX222" s="237"/>
      <c r="AY222" s="237"/>
      <c r="AZ222" s="237"/>
    </row>
    <row r="223" spans="1:52" ht="13.5" customHeight="1">
      <c r="A223" s="111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112"/>
      <c r="AW223" s="237"/>
      <c r="AX223" s="237"/>
      <c r="AY223" s="237"/>
      <c r="AZ223" s="237"/>
    </row>
    <row r="224" spans="1:52" ht="13.5" customHeight="1">
      <c r="A224" s="111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112"/>
      <c r="AW224" s="237"/>
      <c r="AX224" s="237"/>
      <c r="AY224" s="237"/>
      <c r="AZ224" s="237"/>
    </row>
    <row r="225" spans="1:52" ht="13.5" customHeight="1">
      <c r="A225" s="111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112"/>
      <c r="AW225" s="237"/>
      <c r="AX225" s="237"/>
      <c r="AY225" s="237"/>
      <c r="AZ225" s="237"/>
    </row>
    <row r="226" spans="1:52" ht="13.5" customHeight="1">
      <c r="A226" s="111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112"/>
      <c r="AW226" s="237"/>
      <c r="AX226" s="237"/>
      <c r="AY226" s="237"/>
      <c r="AZ226" s="237"/>
    </row>
    <row r="227" spans="1:52" ht="13.5" customHeight="1">
      <c r="A227" s="111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112"/>
      <c r="AW227" s="237"/>
      <c r="AX227" s="237"/>
      <c r="AY227" s="237"/>
      <c r="AZ227" s="237"/>
    </row>
    <row r="228" spans="1:52" ht="13.5" customHeight="1">
      <c r="A228" s="111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112"/>
      <c r="AW228" s="237"/>
      <c r="AX228" s="237"/>
      <c r="AY228" s="237"/>
      <c r="AZ228" s="237"/>
    </row>
    <row r="229" spans="1:52" ht="13.5" customHeight="1">
      <c r="A229" s="111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112"/>
      <c r="AW229" s="237"/>
      <c r="AX229" s="237"/>
      <c r="AY229" s="237"/>
      <c r="AZ229" s="237"/>
    </row>
    <row r="230" spans="1:52" ht="13.5" customHeight="1">
      <c r="A230" s="111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112"/>
      <c r="AW230" s="237"/>
      <c r="AX230" s="237"/>
      <c r="AY230" s="237"/>
      <c r="AZ230" s="237"/>
    </row>
    <row r="231" spans="1:52" ht="13.5" customHeight="1">
      <c r="A231" s="111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112"/>
      <c r="AW231" s="237"/>
      <c r="AX231" s="237"/>
      <c r="AY231" s="237"/>
      <c r="AZ231" s="237"/>
    </row>
    <row r="232" spans="1:52" ht="13.5" customHeight="1">
      <c r="A232" s="111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112"/>
      <c r="AW232" s="237"/>
      <c r="AX232" s="237"/>
      <c r="AY232" s="237"/>
      <c r="AZ232" s="237"/>
    </row>
    <row r="233" spans="1:52" ht="13.5" customHeight="1">
      <c r="A233" s="111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112"/>
      <c r="AW233" s="237"/>
      <c r="AX233" s="237"/>
      <c r="AY233" s="237"/>
      <c r="AZ233" s="237"/>
    </row>
    <row r="234" spans="1:52" ht="13.5" customHeight="1">
      <c r="A234" s="111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112"/>
      <c r="AW234" s="237"/>
      <c r="AX234" s="237"/>
      <c r="AY234" s="237"/>
      <c r="AZ234" s="237"/>
    </row>
    <row r="235" spans="1:52" ht="13.5" customHeight="1">
      <c r="A235" s="111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112"/>
      <c r="AW235" s="237"/>
      <c r="AX235" s="237"/>
      <c r="AY235" s="237"/>
      <c r="AZ235" s="237"/>
    </row>
    <row r="236" spans="1:52" ht="13.5" customHeight="1">
      <c r="A236" s="111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112"/>
      <c r="AW236" s="237"/>
      <c r="AX236" s="237"/>
      <c r="AY236" s="237"/>
      <c r="AZ236" s="237"/>
    </row>
    <row r="237" spans="1:52" ht="13.5" customHeight="1">
      <c r="A237" s="111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112"/>
      <c r="AW237" s="237"/>
      <c r="AX237" s="237"/>
      <c r="AY237" s="237"/>
      <c r="AZ237" s="237"/>
    </row>
    <row r="238" spans="1:52" ht="13.5" customHeight="1">
      <c r="A238" s="111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112"/>
      <c r="AW238" s="237"/>
      <c r="AX238" s="237"/>
      <c r="AY238" s="237"/>
      <c r="AZ238" s="237"/>
    </row>
    <row r="239" spans="1:52" ht="13.5" customHeight="1">
      <c r="A239" s="111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112"/>
      <c r="AW239" s="237"/>
      <c r="AX239" s="237"/>
      <c r="AY239" s="237"/>
      <c r="AZ239" s="237"/>
    </row>
    <row r="240" spans="1:52" ht="13.5" customHeight="1">
      <c r="A240" s="111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112"/>
      <c r="AW240" s="237"/>
      <c r="AX240" s="237"/>
      <c r="AY240" s="237"/>
      <c r="AZ240" s="237"/>
    </row>
    <row r="241" spans="1:52" ht="13.5" customHeight="1">
      <c r="A241" s="111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112"/>
      <c r="AW241" s="237"/>
      <c r="AX241" s="237"/>
      <c r="AY241" s="237"/>
      <c r="AZ241" s="237"/>
    </row>
    <row r="242" spans="1:52" ht="13.5" customHeight="1">
      <c r="A242" s="111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112"/>
      <c r="AW242" s="237"/>
      <c r="AX242" s="237"/>
      <c r="AY242" s="237"/>
      <c r="AZ242" s="237"/>
    </row>
    <row r="243" spans="1:52" ht="13.5" customHeight="1">
      <c r="A243" s="111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112"/>
      <c r="AW243" s="237"/>
      <c r="AX243" s="237"/>
      <c r="AY243" s="237"/>
      <c r="AZ243" s="237"/>
    </row>
    <row r="244" spans="1:52" ht="13.5" customHeight="1">
      <c r="A244" s="111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112"/>
      <c r="AW244" s="237"/>
      <c r="AX244" s="237"/>
      <c r="AY244" s="237"/>
      <c r="AZ244" s="237"/>
    </row>
    <row r="245" spans="1:52" ht="13.5" customHeight="1">
      <c r="A245" s="111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112"/>
      <c r="AW245" s="237"/>
      <c r="AX245" s="237"/>
      <c r="AY245" s="237"/>
      <c r="AZ245" s="237"/>
    </row>
    <row r="246" spans="1:52" ht="13.5" customHeight="1">
      <c r="A246" s="111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112"/>
      <c r="AW246" s="237"/>
      <c r="AX246" s="237"/>
      <c r="AY246" s="237"/>
      <c r="AZ246" s="237"/>
    </row>
    <row r="247" spans="1:52" ht="13.5" customHeight="1">
      <c r="A247" s="111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112"/>
      <c r="AW247" s="237"/>
      <c r="AX247" s="237"/>
      <c r="AY247" s="237"/>
      <c r="AZ247" s="237"/>
    </row>
    <row r="248" spans="1:52" ht="13.5" customHeight="1">
      <c r="A248" s="111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112"/>
      <c r="AW248" s="237"/>
      <c r="AX248" s="237"/>
      <c r="AY248" s="237"/>
      <c r="AZ248" s="237"/>
    </row>
    <row r="249" spans="1:52" ht="13.5" customHeight="1">
      <c r="A249" s="111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112"/>
      <c r="AW249" s="237"/>
      <c r="AX249" s="237"/>
      <c r="AY249" s="237"/>
      <c r="AZ249" s="237"/>
    </row>
    <row r="250" spans="1:52" ht="13.5" customHeight="1">
      <c r="A250" s="111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112"/>
      <c r="AW250" s="237"/>
      <c r="AX250" s="237"/>
      <c r="AY250" s="237"/>
      <c r="AZ250" s="237"/>
    </row>
    <row r="251" spans="1:52" ht="13.5" customHeight="1">
      <c r="A251" s="111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112"/>
      <c r="AW251" s="237"/>
      <c r="AX251" s="237"/>
      <c r="AY251" s="237"/>
      <c r="AZ251" s="237"/>
    </row>
    <row r="252" spans="1:52" ht="13.5" customHeight="1">
      <c r="A252" s="111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112"/>
      <c r="AW252" s="237"/>
      <c r="AX252" s="237"/>
      <c r="AY252" s="237"/>
      <c r="AZ252" s="237"/>
    </row>
    <row r="253" spans="1:52" ht="13.5" customHeight="1">
      <c r="A253" s="111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112"/>
      <c r="AW253" s="237"/>
      <c r="AX253" s="237"/>
      <c r="AY253" s="237"/>
      <c r="AZ253" s="237"/>
    </row>
    <row r="254" spans="1:52" ht="13.5" customHeight="1">
      <c r="A254" s="111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112"/>
      <c r="AW254" s="237"/>
      <c r="AX254" s="237"/>
      <c r="AY254" s="237"/>
      <c r="AZ254" s="237"/>
    </row>
    <row r="255" spans="1:52" ht="13.5" customHeight="1">
      <c r="A255" s="111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112"/>
      <c r="AW255" s="237"/>
      <c r="AX255" s="237"/>
      <c r="AY255" s="237"/>
      <c r="AZ255" s="237"/>
    </row>
    <row r="256" spans="1:52" ht="13.5" customHeight="1">
      <c r="A256" s="111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112"/>
      <c r="AW256" s="237"/>
      <c r="AX256" s="237"/>
      <c r="AY256" s="237"/>
      <c r="AZ256" s="237"/>
    </row>
    <row r="257" spans="1:52" ht="13.5" customHeight="1">
      <c r="A257" s="111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112"/>
      <c r="AW257" s="237"/>
      <c r="AX257" s="237"/>
      <c r="AY257" s="237"/>
      <c r="AZ257" s="237"/>
    </row>
    <row r="258" spans="1:52" ht="13.5" customHeight="1" thickBot="1">
      <c r="A258" s="113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4"/>
      <c r="AW258" s="237"/>
      <c r="AX258" s="238" t="str">
        <f>HYPERLINK("#$A$1","目次へ")</f>
        <v>目次へ</v>
      </c>
      <c r="AY258" s="239"/>
      <c r="AZ258" s="237"/>
    </row>
    <row r="259" spans="1:52" ht="13.5" customHeight="1">
      <c r="A259" s="240" t="s">
        <v>40</v>
      </c>
      <c r="B259" s="241"/>
      <c r="C259" s="242"/>
      <c r="D259" s="243" t="str">
        <f>システム名</f>
        <v>○✕システム</v>
      </c>
      <c r="E259" s="244"/>
      <c r="F259" s="244"/>
      <c r="G259" s="244"/>
      <c r="H259" s="244"/>
      <c r="I259" s="244"/>
      <c r="J259" s="244"/>
      <c r="K259" s="244"/>
      <c r="L259" s="244"/>
      <c r="M259" s="244"/>
      <c r="N259" s="244"/>
      <c r="O259" s="245"/>
      <c r="P259" s="246" t="s">
        <v>0</v>
      </c>
      <c r="Q259" s="241"/>
      <c r="R259" s="242"/>
      <c r="S259" s="247" t="str">
        <f>IF(顧客名&lt;&gt;"",顧客名,"")</f>
        <v>○✕○✕株式会社</v>
      </c>
      <c r="T259" s="248"/>
      <c r="U259" s="248"/>
      <c r="V259" s="248"/>
      <c r="W259" s="248"/>
      <c r="X259" s="248"/>
      <c r="Y259" s="248"/>
      <c r="Z259" s="248"/>
      <c r="AA259" s="248"/>
      <c r="AB259" s="248"/>
      <c r="AC259" s="248"/>
      <c r="AD259" s="248"/>
      <c r="AE259" s="248"/>
      <c r="AF259" s="249"/>
      <c r="AG259" s="250" t="s">
        <v>35</v>
      </c>
      <c r="AH259" s="250"/>
      <c r="AI259" s="250"/>
      <c r="AJ259" s="251">
        <f>作成日</f>
        <v>44287</v>
      </c>
      <c r="AK259" s="252"/>
      <c r="AL259" s="252"/>
      <c r="AM259" s="252"/>
      <c r="AN259" s="252"/>
      <c r="AO259" s="250" t="s">
        <v>36</v>
      </c>
      <c r="AP259" s="250"/>
      <c r="AQ259" s="250"/>
      <c r="AR259" s="253" t="str">
        <f>作成者</f>
        <v>小泉　文平</v>
      </c>
      <c r="AS259" s="254"/>
      <c r="AT259" s="254"/>
      <c r="AU259" s="254"/>
      <c r="AV259" s="255"/>
      <c r="AW259" s="237"/>
      <c r="AX259" s="256" t="s">
        <v>262</v>
      </c>
      <c r="AY259" s="257"/>
      <c r="AZ259" s="237"/>
    </row>
    <row r="260" spans="1:52" ht="13.5" customHeight="1">
      <c r="A260" s="258" t="s">
        <v>30</v>
      </c>
      <c r="B260" s="259"/>
      <c r="C260" s="260"/>
      <c r="D260" s="261" t="s">
        <v>255</v>
      </c>
      <c r="E260" s="262"/>
      <c r="F260" s="262"/>
      <c r="G260" s="262"/>
      <c r="H260" s="262"/>
      <c r="I260" s="262"/>
      <c r="J260" s="262"/>
      <c r="K260" s="262"/>
      <c r="L260" s="262"/>
      <c r="M260" s="262"/>
      <c r="N260" s="262"/>
      <c r="O260" s="263"/>
      <c r="P260" s="264" t="s">
        <v>2</v>
      </c>
      <c r="Q260" s="259"/>
      <c r="R260" s="260"/>
      <c r="S260" s="265" t="s">
        <v>249</v>
      </c>
      <c r="T260" s="266"/>
      <c r="U260" s="266"/>
      <c r="V260" s="266"/>
      <c r="W260" s="266"/>
      <c r="X260" s="266"/>
      <c r="Y260" s="266"/>
      <c r="Z260" s="266"/>
      <c r="AA260" s="266"/>
      <c r="AB260" s="266"/>
      <c r="AC260" s="266"/>
      <c r="AD260" s="266"/>
      <c r="AE260" s="266"/>
      <c r="AF260" s="267"/>
      <c r="AG260" s="268" t="s">
        <v>34</v>
      </c>
      <c r="AH260" s="268"/>
      <c r="AI260" s="268"/>
      <c r="AJ260" s="269"/>
      <c r="AK260" s="270"/>
      <c r="AL260" s="270"/>
      <c r="AM260" s="270"/>
      <c r="AN260" s="270"/>
      <c r="AO260" s="268" t="s">
        <v>33</v>
      </c>
      <c r="AP260" s="268"/>
      <c r="AQ260" s="268"/>
      <c r="AR260" s="271"/>
      <c r="AS260" s="272"/>
      <c r="AT260" s="272"/>
      <c r="AU260" s="272"/>
      <c r="AV260" s="273"/>
      <c r="AW260" s="237"/>
      <c r="AX260" s="257"/>
      <c r="AY260" s="257"/>
      <c r="AZ260" s="237"/>
    </row>
    <row r="261" spans="1:52" ht="13.5" customHeight="1">
      <c r="A261" s="59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60"/>
      <c r="AW261" s="237"/>
      <c r="AX261" s="237"/>
      <c r="AY261" s="237"/>
      <c r="AZ261" s="237"/>
    </row>
    <row r="262" spans="1:52" ht="13.5" customHeight="1">
      <c r="A262" s="3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1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7"/>
      <c r="AW262" s="237"/>
      <c r="AX262" s="237"/>
      <c r="AY262" s="237"/>
      <c r="AZ262" s="237"/>
    </row>
    <row r="263" spans="1:52" ht="13.5" customHeight="1">
      <c r="A263" s="111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112"/>
      <c r="AW263" s="237"/>
      <c r="AX263" s="237"/>
      <c r="AY263" s="237"/>
      <c r="AZ263" s="237"/>
    </row>
    <row r="264" spans="1:52" ht="13.5" customHeight="1">
      <c r="A264" s="111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112"/>
      <c r="AW264" s="237"/>
      <c r="AX264" s="237"/>
      <c r="AY264" s="237"/>
      <c r="AZ264" s="237"/>
    </row>
    <row r="265" spans="1:52" ht="13.5" customHeight="1">
      <c r="A265" s="111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112"/>
      <c r="AW265" s="237"/>
      <c r="AX265" s="237"/>
      <c r="AY265" s="237"/>
      <c r="AZ265" s="237"/>
    </row>
    <row r="266" spans="1:52" ht="13.5" customHeight="1">
      <c r="A266" s="111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112"/>
      <c r="AW266" s="237"/>
      <c r="AX266" s="237"/>
      <c r="AY266" s="237"/>
      <c r="AZ266" s="237"/>
    </row>
    <row r="267" spans="1:52" ht="13.5" customHeight="1">
      <c r="A267" s="111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112"/>
      <c r="AW267" s="237"/>
      <c r="AX267" s="237"/>
      <c r="AY267" s="237"/>
      <c r="AZ267" s="237"/>
    </row>
    <row r="268" spans="1:52" ht="13.5" customHeight="1">
      <c r="A268" s="111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112"/>
      <c r="AW268" s="237"/>
      <c r="AX268" s="237"/>
      <c r="AY268" s="237"/>
      <c r="AZ268" s="237"/>
    </row>
    <row r="269" spans="1:52" ht="13.5" customHeight="1">
      <c r="A269" s="111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112"/>
      <c r="AW269" s="237"/>
      <c r="AX269" s="237"/>
      <c r="AY269" s="237"/>
      <c r="AZ269" s="237"/>
    </row>
    <row r="270" spans="1:52" ht="13.5" customHeight="1">
      <c r="A270" s="111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112"/>
      <c r="AW270" s="237"/>
      <c r="AX270" s="237"/>
      <c r="AY270" s="237"/>
      <c r="AZ270" s="237"/>
    </row>
    <row r="271" spans="1:52" ht="13.5" customHeight="1">
      <c r="A271" s="111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112"/>
      <c r="AW271" s="237"/>
      <c r="AX271" s="237"/>
      <c r="AY271" s="237"/>
      <c r="AZ271" s="237"/>
    </row>
    <row r="272" spans="1:52" ht="13.5" customHeight="1">
      <c r="A272" s="111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112"/>
      <c r="AW272" s="237"/>
      <c r="AX272" s="237"/>
      <c r="AY272" s="237"/>
      <c r="AZ272" s="237"/>
    </row>
    <row r="273" spans="1:52" ht="13.5" customHeight="1">
      <c r="A273" s="111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112"/>
      <c r="AW273" s="237"/>
      <c r="AX273" s="237"/>
      <c r="AY273" s="237"/>
      <c r="AZ273" s="237"/>
    </row>
    <row r="274" spans="1:52" ht="13.5" customHeight="1">
      <c r="A274" s="111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112"/>
      <c r="AW274" s="237"/>
      <c r="AX274" s="237"/>
      <c r="AY274" s="237"/>
      <c r="AZ274" s="237"/>
    </row>
    <row r="275" spans="1:52" ht="13.5" customHeight="1">
      <c r="A275" s="111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112"/>
      <c r="AW275" s="237"/>
      <c r="AX275" s="237"/>
      <c r="AY275" s="237"/>
      <c r="AZ275" s="237"/>
    </row>
    <row r="276" spans="1:52" ht="13.5" customHeight="1">
      <c r="A276" s="111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112"/>
      <c r="AW276" s="237"/>
      <c r="AX276" s="237"/>
      <c r="AY276" s="237"/>
      <c r="AZ276" s="237"/>
    </row>
    <row r="277" spans="1:52" ht="13.5" customHeight="1">
      <c r="A277" s="111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112"/>
      <c r="AW277" s="237"/>
      <c r="AX277" s="237"/>
      <c r="AY277" s="237"/>
      <c r="AZ277" s="237"/>
    </row>
    <row r="278" spans="1:52" ht="13.5" customHeight="1">
      <c r="A278" s="111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112"/>
      <c r="AW278" s="237"/>
      <c r="AX278" s="237"/>
      <c r="AY278" s="237"/>
      <c r="AZ278" s="237"/>
    </row>
    <row r="279" spans="1:52" ht="13.5" customHeight="1">
      <c r="A279" s="111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112"/>
      <c r="AW279" s="237"/>
      <c r="AX279" s="237"/>
      <c r="AY279" s="237"/>
      <c r="AZ279" s="237"/>
    </row>
    <row r="280" spans="1:52" ht="13.5" customHeight="1">
      <c r="A280" s="111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112"/>
      <c r="AW280" s="237"/>
      <c r="AX280" s="237"/>
      <c r="AY280" s="237"/>
      <c r="AZ280" s="237"/>
    </row>
    <row r="281" spans="1:52" ht="13.5" customHeight="1">
      <c r="A281" s="111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112"/>
      <c r="AW281" s="237"/>
      <c r="AX281" s="237"/>
      <c r="AY281" s="237"/>
      <c r="AZ281" s="237"/>
    </row>
    <row r="282" spans="1:52" ht="13.5" customHeight="1">
      <c r="A282" s="111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112"/>
      <c r="AW282" s="237"/>
      <c r="AX282" s="237"/>
      <c r="AY282" s="237"/>
      <c r="AZ282" s="237"/>
    </row>
    <row r="283" spans="1:52" ht="13.5" customHeight="1">
      <c r="A283" s="111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112"/>
      <c r="AW283" s="237"/>
      <c r="AX283" s="237"/>
      <c r="AY283" s="237"/>
      <c r="AZ283" s="237"/>
    </row>
    <row r="284" spans="1:52" ht="13.5" customHeight="1">
      <c r="A284" s="111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112"/>
      <c r="AW284" s="237"/>
      <c r="AX284" s="237"/>
      <c r="AY284" s="237"/>
      <c r="AZ284" s="237"/>
    </row>
    <row r="285" spans="1:52" ht="13.5" customHeight="1">
      <c r="A285" s="111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112"/>
      <c r="AW285" s="237"/>
      <c r="AX285" s="237"/>
      <c r="AY285" s="237"/>
      <c r="AZ285" s="237"/>
    </row>
    <row r="286" spans="1:52" ht="13.5" customHeight="1">
      <c r="A286" s="111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112"/>
      <c r="AW286" s="237"/>
      <c r="AX286" s="237"/>
      <c r="AY286" s="237"/>
      <c r="AZ286" s="237"/>
    </row>
    <row r="287" spans="1:52" ht="13.5" customHeight="1">
      <c r="A287" s="111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112"/>
      <c r="AW287" s="237"/>
      <c r="AX287" s="237"/>
      <c r="AY287" s="237"/>
      <c r="AZ287" s="237"/>
    </row>
    <row r="288" spans="1:52" ht="13.5" customHeight="1">
      <c r="A288" s="111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112"/>
      <c r="AW288" s="237"/>
      <c r="AX288" s="237"/>
      <c r="AY288" s="237"/>
      <c r="AZ288" s="237"/>
    </row>
    <row r="289" spans="1:52" ht="13.5" customHeight="1">
      <c r="A289" s="111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112"/>
      <c r="AW289" s="237"/>
      <c r="AX289" s="237"/>
      <c r="AY289" s="237"/>
      <c r="AZ289" s="237"/>
    </row>
    <row r="290" spans="1:52" ht="13.5" customHeight="1">
      <c r="A290" s="111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112"/>
      <c r="AW290" s="237"/>
      <c r="AX290" s="237"/>
      <c r="AY290" s="237"/>
      <c r="AZ290" s="237"/>
    </row>
    <row r="291" spans="1:52" ht="13.5" customHeight="1">
      <c r="A291" s="111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112"/>
      <c r="AW291" s="237"/>
      <c r="AX291" s="237"/>
      <c r="AY291" s="237"/>
      <c r="AZ291" s="237"/>
    </row>
    <row r="292" spans="1:52" ht="13.5" customHeight="1">
      <c r="A292" s="111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112"/>
      <c r="AW292" s="237"/>
      <c r="AX292" s="237"/>
      <c r="AY292" s="237"/>
      <c r="AZ292" s="237"/>
    </row>
    <row r="293" spans="1:52" ht="13.5" customHeight="1">
      <c r="A293" s="111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112"/>
      <c r="AW293" s="237"/>
      <c r="AX293" s="237"/>
      <c r="AY293" s="237"/>
      <c r="AZ293" s="237"/>
    </row>
    <row r="294" spans="1:52" ht="13.5" customHeight="1">
      <c r="A294" s="111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112"/>
      <c r="AW294" s="237"/>
      <c r="AX294" s="237"/>
      <c r="AY294" s="237"/>
      <c r="AZ294" s="237"/>
    </row>
    <row r="295" spans="1:52" ht="13.5" customHeight="1">
      <c r="A295" s="111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112"/>
      <c r="AW295" s="237"/>
      <c r="AX295" s="237"/>
      <c r="AY295" s="237"/>
      <c r="AZ295" s="237"/>
    </row>
    <row r="296" spans="1:52" ht="13.5" customHeight="1">
      <c r="A296" s="111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112"/>
      <c r="AW296" s="237"/>
      <c r="AX296" s="237"/>
      <c r="AY296" s="237"/>
      <c r="AZ296" s="237"/>
    </row>
    <row r="297" spans="1:52" ht="13.5" customHeight="1">
      <c r="A297" s="111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112"/>
      <c r="AW297" s="237"/>
      <c r="AX297" s="237"/>
      <c r="AY297" s="237"/>
      <c r="AZ297" s="237"/>
    </row>
    <row r="298" spans="1:52" ht="13.5" customHeight="1">
      <c r="A298" s="111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112"/>
      <c r="AW298" s="237"/>
      <c r="AX298" s="237"/>
      <c r="AY298" s="237"/>
      <c r="AZ298" s="237"/>
    </row>
    <row r="299" spans="1:52" ht="13.5" customHeight="1">
      <c r="A299" s="111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112"/>
      <c r="AW299" s="237"/>
      <c r="AX299" s="237"/>
      <c r="AY299" s="237"/>
      <c r="AZ299" s="237"/>
    </row>
    <row r="300" spans="1:52" ht="13.5" customHeight="1">
      <c r="A300" s="111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112"/>
      <c r="AW300" s="237"/>
      <c r="AX300" s="237"/>
      <c r="AY300" s="237"/>
      <c r="AZ300" s="237"/>
    </row>
    <row r="301" spans="1:52" ht="13.5" customHeight="1" thickBot="1">
      <c r="A301" s="113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4"/>
      <c r="AW301" s="237"/>
      <c r="AX301" s="238" t="str">
        <f>HYPERLINK("#$A$1","目次へ")</f>
        <v>目次へ</v>
      </c>
      <c r="AY301" s="239"/>
      <c r="AZ301" s="237"/>
    </row>
    <row r="302" spans="1:52" ht="13.5" customHeight="1">
      <c r="A302" s="240" t="s">
        <v>40</v>
      </c>
      <c r="B302" s="241"/>
      <c r="C302" s="242"/>
      <c r="D302" s="243" t="str">
        <f>システム名</f>
        <v>○✕システム</v>
      </c>
      <c r="E302" s="244"/>
      <c r="F302" s="244"/>
      <c r="G302" s="244"/>
      <c r="H302" s="244"/>
      <c r="I302" s="244"/>
      <c r="J302" s="244"/>
      <c r="K302" s="244"/>
      <c r="L302" s="244"/>
      <c r="M302" s="244"/>
      <c r="N302" s="244"/>
      <c r="O302" s="245"/>
      <c r="P302" s="246" t="s">
        <v>0</v>
      </c>
      <c r="Q302" s="241"/>
      <c r="R302" s="242"/>
      <c r="S302" s="247" t="str">
        <f>IF(顧客名&lt;&gt;"",顧客名,"")</f>
        <v>○✕○✕株式会社</v>
      </c>
      <c r="T302" s="248"/>
      <c r="U302" s="248"/>
      <c r="V302" s="248"/>
      <c r="W302" s="248"/>
      <c r="X302" s="248"/>
      <c r="Y302" s="248"/>
      <c r="Z302" s="248"/>
      <c r="AA302" s="248"/>
      <c r="AB302" s="248"/>
      <c r="AC302" s="248"/>
      <c r="AD302" s="248"/>
      <c r="AE302" s="248"/>
      <c r="AF302" s="249"/>
      <c r="AG302" s="250" t="s">
        <v>35</v>
      </c>
      <c r="AH302" s="250"/>
      <c r="AI302" s="250"/>
      <c r="AJ302" s="251">
        <f>作成日</f>
        <v>44287</v>
      </c>
      <c r="AK302" s="252"/>
      <c r="AL302" s="252"/>
      <c r="AM302" s="252"/>
      <c r="AN302" s="252"/>
      <c r="AO302" s="250" t="s">
        <v>36</v>
      </c>
      <c r="AP302" s="250"/>
      <c r="AQ302" s="250"/>
      <c r="AR302" s="253" t="str">
        <f>作成者</f>
        <v>小泉　文平</v>
      </c>
      <c r="AS302" s="254"/>
      <c r="AT302" s="254"/>
      <c r="AU302" s="254"/>
      <c r="AV302" s="255"/>
      <c r="AW302" s="237"/>
      <c r="AX302" s="256" t="s">
        <v>263</v>
      </c>
      <c r="AY302" s="257"/>
      <c r="AZ302" s="237"/>
    </row>
    <row r="303" spans="1:52" ht="13.5" customHeight="1">
      <c r="A303" s="258" t="s">
        <v>30</v>
      </c>
      <c r="B303" s="259"/>
      <c r="C303" s="260"/>
      <c r="D303" s="261" t="s">
        <v>256</v>
      </c>
      <c r="E303" s="262"/>
      <c r="F303" s="262"/>
      <c r="G303" s="262"/>
      <c r="H303" s="262"/>
      <c r="I303" s="262"/>
      <c r="J303" s="262"/>
      <c r="K303" s="262"/>
      <c r="L303" s="262"/>
      <c r="M303" s="262"/>
      <c r="N303" s="262"/>
      <c r="O303" s="263"/>
      <c r="P303" s="264" t="s">
        <v>2</v>
      </c>
      <c r="Q303" s="259"/>
      <c r="R303" s="260"/>
      <c r="S303" s="265" t="s">
        <v>250</v>
      </c>
      <c r="T303" s="266"/>
      <c r="U303" s="266"/>
      <c r="V303" s="266"/>
      <c r="W303" s="266"/>
      <c r="X303" s="266"/>
      <c r="Y303" s="266"/>
      <c r="Z303" s="266"/>
      <c r="AA303" s="266"/>
      <c r="AB303" s="266"/>
      <c r="AC303" s="266"/>
      <c r="AD303" s="266"/>
      <c r="AE303" s="266"/>
      <c r="AF303" s="267"/>
      <c r="AG303" s="268" t="s">
        <v>34</v>
      </c>
      <c r="AH303" s="268"/>
      <c r="AI303" s="268"/>
      <c r="AJ303" s="269"/>
      <c r="AK303" s="270"/>
      <c r="AL303" s="270"/>
      <c r="AM303" s="270"/>
      <c r="AN303" s="270"/>
      <c r="AO303" s="268" t="s">
        <v>33</v>
      </c>
      <c r="AP303" s="268"/>
      <c r="AQ303" s="268"/>
      <c r="AR303" s="271"/>
      <c r="AS303" s="272"/>
      <c r="AT303" s="272"/>
      <c r="AU303" s="272"/>
      <c r="AV303" s="273"/>
      <c r="AW303" s="237"/>
      <c r="AX303" s="257"/>
      <c r="AY303" s="257"/>
      <c r="AZ303" s="237"/>
    </row>
    <row r="304" spans="1:52" ht="13.5" customHeight="1">
      <c r="A304" s="59"/>
      <c r="B304" s="29"/>
      <c r="C304" s="29"/>
      <c r="D304" s="29"/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60"/>
      <c r="AW304" s="237"/>
      <c r="AX304" s="237"/>
      <c r="AY304" s="237"/>
      <c r="AZ304" s="237"/>
    </row>
    <row r="305" spans="1:52" ht="13.5" customHeight="1">
      <c r="A305" s="3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1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7"/>
      <c r="AW305" s="237"/>
      <c r="AX305" s="237"/>
      <c r="AY305" s="237"/>
      <c r="AZ305" s="237"/>
    </row>
    <row r="306" spans="1:52" ht="13.5" customHeight="1">
      <c r="A306" s="111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112"/>
      <c r="AW306" s="237"/>
      <c r="AX306" s="237"/>
      <c r="AY306" s="237"/>
      <c r="AZ306" s="237"/>
    </row>
    <row r="307" spans="1:52" ht="13.5" customHeight="1">
      <c r="A307" s="111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112"/>
      <c r="AW307" s="237"/>
      <c r="AX307" s="237"/>
      <c r="AY307" s="237"/>
      <c r="AZ307" s="237"/>
    </row>
    <row r="308" spans="1:52" ht="13.5" customHeight="1">
      <c r="A308" s="111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112"/>
      <c r="AW308" s="237"/>
      <c r="AX308" s="237"/>
      <c r="AY308" s="237"/>
      <c r="AZ308" s="237"/>
    </row>
    <row r="309" spans="1:52" ht="13.5" customHeight="1">
      <c r="A309" s="111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112"/>
      <c r="AW309" s="237"/>
      <c r="AX309" s="237"/>
      <c r="AY309" s="237"/>
      <c r="AZ309" s="237"/>
    </row>
    <row r="310" spans="1:52" ht="13.5" customHeight="1">
      <c r="A310" s="111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112"/>
      <c r="AW310" s="237"/>
      <c r="AX310" s="237"/>
      <c r="AY310" s="237"/>
      <c r="AZ310" s="237"/>
    </row>
    <row r="311" spans="1:52" ht="13.5" customHeight="1">
      <c r="A311" s="111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112"/>
      <c r="AW311" s="237"/>
      <c r="AX311" s="237"/>
      <c r="AY311" s="237"/>
      <c r="AZ311" s="237"/>
    </row>
    <row r="312" spans="1:52" ht="13.5" customHeight="1">
      <c r="A312" s="111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112"/>
      <c r="AW312" s="237"/>
      <c r="AX312" s="237"/>
      <c r="AY312" s="237"/>
      <c r="AZ312" s="237"/>
    </row>
    <row r="313" spans="1:52" ht="13.5" customHeight="1">
      <c r="A313" s="111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112"/>
      <c r="AW313" s="237"/>
      <c r="AX313" s="237"/>
      <c r="AY313" s="237"/>
      <c r="AZ313" s="237"/>
    </row>
    <row r="314" spans="1:52" ht="13.5" customHeight="1">
      <c r="A314" s="111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112"/>
      <c r="AW314" s="237"/>
      <c r="AX314" s="237"/>
      <c r="AY314" s="237"/>
      <c r="AZ314" s="237"/>
    </row>
    <row r="315" spans="1:52" ht="13.5" customHeight="1">
      <c r="A315" s="111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112"/>
      <c r="AW315" s="237"/>
      <c r="AX315" s="237"/>
      <c r="AY315" s="237"/>
      <c r="AZ315" s="237"/>
    </row>
    <row r="316" spans="1:52" ht="13.5" customHeight="1">
      <c r="A316" s="111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112"/>
      <c r="AW316" s="237"/>
      <c r="AX316" s="237"/>
      <c r="AY316" s="237"/>
      <c r="AZ316" s="237"/>
    </row>
    <row r="317" spans="1:52" ht="13.5" customHeight="1">
      <c r="A317" s="111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112"/>
      <c r="AW317" s="237"/>
      <c r="AX317" s="237"/>
      <c r="AY317" s="237"/>
      <c r="AZ317" s="237"/>
    </row>
    <row r="318" spans="1:52" ht="13.5" customHeight="1">
      <c r="A318" s="111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112"/>
      <c r="AW318" s="237"/>
      <c r="AX318" s="237"/>
      <c r="AY318" s="237"/>
      <c r="AZ318" s="237"/>
    </row>
    <row r="319" spans="1:52" ht="13.5" customHeight="1">
      <c r="A319" s="111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112"/>
      <c r="AW319" s="237"/>
      <c r="AX319" s="237"/>
      <c r="AY319" s="237"/>
      <c r="AZ319" s="237"/>
    </row>
    <row r="320" spans="1:52" ht="13.5" customHeight="1">
      <c r="A320" s="111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112"/>
      <c r="AW320" s="237"/>
      <c r="AX320" s="237"/>
      <c r="AY320" s="237"/>
      <c r="AZ320" s="237"/>
    </row>
    <row r="321" spans="1:52" ht="13.5" customHeight="1">
      <c r="A321" s="111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112"/>
      <c r="AW321" s="237"/>
      <c r="AX321" s="237"/>
      <c r="AY321" s="237"/>
      <c r="AZ321" s="237"/>
    </row>
    <row r="322" spans="1:52" ht="13.5" customHeight="1">
      <c r="A322" s="111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112"/>
      <c r="AW322" s="237"/>
      <c r="AX322" s="237"/>
      <c r="AY322" s="237"/>
      <c r="AZ322" s="237"/>
    </row>
    <row r="323" spans="1:52" ht="13.5" customHeight="1">
      <c r="A323" s="111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112"/>
      <c r="AW323" s="237"/>
      <c r="AX323" s="237"/>
      <c r="AY323" s="237"/>
      <c r="AZ323" s="237"/>
    </row>
    <row r="324" spans="1:52" ht="13.5" customHeight="1">
      <c r="A324" s="111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112"/>
      <c r="AW324" s="237"/>
      <c r="AX324" s="237"/>
      <c r="AY324" s="237"/>
      <c r="AZ324" s="237"/>
    </row>
    <row r="325" spans="1:52" ht="13.5" customHeight="1">
      <c r="A325" s="111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112"/>
      <c r="AW325" s="237"/>
      <c r="AX325" s="237"/>
      <c r="AY325" s="237"/>
      <c r="AZ325" s="237"/>
    </row>
    <row r="326" spans="1:52" ht="13.5" customHeight="1">
      <c r="A326" s="111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112"/>
      <c r="AW326" s="237"/>
      <c r="AX326" s="237"/>
      <c r="AY326" s="237"/>
      <c r="AZ326" s="237"/>
    </row>
    <row r="327" spans="1:52" ht="13.5" customHeight="1">
      <c r="A327" s="111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112"/>
      <c r="AW327" s="237"/>
      <c r="AX327" s="237"/>
      <c r="AY327" s="237"/>
      <c r="AZ327" s="237"/>
    </row>
    <row r="328" spans="1:52" ht="13.5" customHeight="1">
      <c r="A328" s="111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112"/>
      <c r="AW328" s="237"/>
      <c r="AX328" s="237"/>
      <c r="AY328" s="237"/>
      <c r="AZ328" s="237"/>
    </row>
    <row r="329" spans="1:52" ht="13.5" customHeight="1">
      <c r="A329" s="111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112"/>
      <c r="AW329" s="237"/>
      <c r="AX329" s="237"/>
      <c r="AY329" s="237"/>
      <c r="AZ329" s="237"/>
    </row>
    <row r="330" spans="1:52" ht="13.5" customHeight="1">
      <c r="A330" s="111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112"/>
      <c r="AW330" s="237"/>
      <c r="AX330" s="237"/>
      <c r="AY330" s="237"/>
      <c r="AZ330" s="237"/>
    </row>
    <row r="331" spans="1:52" ht="13.5" customHeight="1">
      <c r="A331" s="111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112"/>
      <c r="AW331" s="237"/>
      <c r="AX331" s="237"/>
      <c r="AY331" s="237"/>
      <c r="AZ331" s="237"/>
    </row>
    <row r="332" spans="1:52" ht="13.5" customHeight="1">
      <c r="A332" s="111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112"/>
      <c r="AW332" s="237"/>
      <c r="AX332" s="237"/>
      <c r="AY332" s="237"/>
      <c r="AZ332" s="237"/>
    </row>
    <row r="333" spans="1:52" ht="13.5" customHeight="1">
      <c r="A333" s="111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112"/>
      <c r="AW333" s="237"/>
      <c r="AX333" s="237"/>
      <c r="AY333" s="237"/>
      <c r="AZ333" s="237"/>
    </row>
    <row r="334" spans="1:52" ht="13.5" customHeight="1">
      <c r="A334" s="111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112"/>
      <c r="AW334" s="237"/>
      <c r="AX334" s="237"/>
      <c r="AY334" s="237"/>
      <c r="AZ334" s="237"/>
    </row>
    <row r="335" spans="1:52" ht="13.5" customHeight="1">
      <c r="A335" s="111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112"/>
      <c r="AW335" s="237"/>
      <c r="AX335" s="237"/>
      <c r="AY335" s="237"/>
      <c r="AZ335" s="237"/>
    </row>
    <row r="336" spans="1:52" ht="13.5" customHeight="1">
      <c r="A336" s="111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112"/>
      <c r="AW336" s="237"/>
      <c r="AX336" s="237"/>
      <c r="AY336" s="237"/>
      <c r="AZ336" s="237"/>
    </row>
    <row r="337" spans="1:52" ht="13.5" customHeight="1">
      <c r="A337" s="111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112"/>
      <c r="AW337" s="237"/>
      <c r="AX337" s="237"/>
      <c r="AY337" s="237"/>
      <c r="AZ337" s="237"/>
    </row>
    <row r="338" spans="1:52" ht="13.5" customHeight="1">
      <c r="A338" s="111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112"/>
      <c r="AW338" s="237"/>
      <c r="AX338" s="237"/>
      <c r="AY338" s="237"/>
      <c r="AZ338" s="237"/>
    </row>
    <row r="339" spans="1:52" ht="13.5" customHeight="1">
      <c r="A339" s="111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112"/>
      <c r="AW339" s="237"/>
      <c r="AX339" s="237"/>
      <c r="AY339" s="237"/>
      <c r="AZ339" s="237"/>
    </row>
    <row r="340" spans="1:52" ht="13.5" customHeight="1">
      <c r="A340" s="111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112"/>
      <c r="AW340" s="237"/>
      <c r="AX340" s="237"/>
      <c r="AY340" s="237"/>
      <c r="AZ340" s="237"/>
    </row>
    <row r="341" spans="1:52" ht="13.5" customHeight="1">
      <c r="A341" s="111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112"/>
      <c r="AW341" s="237"/>
      <c r="AX341" s="237"/>
      <c r="AY341" s="237"/>
      <c r="AZ341" s="237"/>
    </row>
    <row r="342" spans="1:52" ht="13.5" customHeight="1">
      <c r="A342" s="111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112"/>
      <c r="AW342" s="237"/>
      <c r="AX342" s="237"/>
      <c r="AY342" s="237"/>
      <c r="AZ342" s="237"/>
    </row>
    <row r="343" spans="1:52" ht="13.5" customHeight="1">
      <c r="A343" s="111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112"/>
      <c r="AW343" s="237"/>
      <c r="AX343" s="237"/>
      <c r="AY343" s="237"/>
      <c r="AZ343" s="237"/>
    </row>
    <row r="344" spans="1:52" ht="13.5" customHeight="1" thickBot="1">
      <c r="A344" s="113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4"/>
      <c r="AW344" s="237"/>
      <c r="AX344" s="238" t="str">
        <f>HYPERLINK("#$A$1","目次へ")</f>
        <v>目次へ</v>
      </c>
      <c r="AY344" s="239"/>
      <c r="AZ344" s="237"/>
    </row>
  </sheetData>
  <mergeCells count="156">
    <mergeCell ref="P45:R45"/>
    <mergeCell ref="S45:AF45"/>
    <mergeCell ref="AG45:AI45"/>
    <mergeCell ref="AJ45:AN45"/>
    <mergeCell ref="AO45:AQ45"/>
    <mergeCell ref="AR45:AV45"/>
    <mergeCell ref="AX86:AY86"/>
    <mergeCell ref="B4:C4"/>
    <mergeCell ref="D4:W4"/>
    <mergeCell ref="B5:C5"/>
    <mergeCell ref="D5:W5"/>
    <mergeCell ref="B6:C6"/>
    <mergeCell ref="D6:W6"/>
    <mergeCell ref="B7:C7"/>
    <mergeCell ref="D7:W7"/>
    <mergeCell ref="B8:C8"/>
    <mergeCell ref="D8:W8"/>
    <mergeCell ref="B9:C9"/>
    <mergeCell ref="D9:W9"/>
    <mergeCell ref="A44:C44"/>
    <mergeCell ref="D44:O44"/>
    <mergeCell ref="P44:R44"/>
    <mergeCell ref="S44:AF44"/>
    <mergeCell ref="AG44:AI44"/>
    <mergeCell ref="AJ44:AN44"/>
    <mergeCell ref="AO44:AQ44"/>
    <mergeCell ref="AR44:AV44"/>
    <mergeCell ref="AX44:AY45"/>
    <mergeCell ref="A45:C45"/>
    <mergeCell ref="D45:O45"/>
    <mergeCell ref="AX258:AY258"/>
    <mergeCell ref="AX172:AY172"/>
    <mergeCell ref="AX215:AY215"/>
    <mergeCell ref="A216:C216"/>
    <mergeCell ref="D216:O216"/>
    <mergeCell ref="P216:R216"/>
    <mergeCell ref="S216:AF216"/>
    <mergeCell ref="AG216:AI216"/>
    <mergeCell ref="AJ216:AN216"/>
    <mergeCell ref="AO216:AQ216"/>
    <mergeCell ref="AR216:AV216"/>
    <mergeCell ref="AX216:AY217"/>
    <mergeCell ref="A217:C217"/>
    <mergeCell ref="D217:O217"/>
    <mergeCell ref="P217:R217"/>
    <mergeCell ref="S217:AF217"/>
    <mergeCell ref="AG217:AI217"/>
    <mergeCell ref="AJ217:AN217"/>
    <mergeCell ref="AO217:AQ217"/>
    <mergeCell ref="AR217:AV217"/>
    <mergeCell ref="AX129:AY129"/>
    <mergeCell ref="A130:C130"/>
    <mergeCell ref="D130:O130"/>
    <mergeCell ref="P130:R130"/>
    <mergeCell ref="S130:AF130"/>
    <mergeCell ref="AG130:AI130"/>
    <mergeCell ref="AJ130:AN130"/>
    <mergeCell ref="AO130:AQ130"/>
    <mergeCell ref="AR130:AV130"/>
    <mergeCell ref="AX130:AY131"/>
    <mergeCell ref="A131:C131"/>
    <mergeCell ref="D131:O131"/>
    <mergeCell ref="P131:R131"/>
    <mergeCell ref="S131:AF131"/>
    <mergeCell ref="AG131:AI131"/>
    <mergeCell ref="AJ131:AN131"/>
    <mergeCell ref="AO131:AQ131"/>
    <mergeCell ref="AR131:AV131"/>
    <mergeCell ref="A87:C87"/>
    <mergeCell ref="D87:O87"/>
    <mergeCell ref="P87:R87"/>
    <mergeCell ref="S87:AF87"/>
    <mergeCell ref="AG87:AI87"/>
    <mergeCell ref="AJ87:AN87"/>
    <mergeCell ref="AO87:AQ87"/>
    <mergeCell ref="AR87:AV87"/>
    <mergeCell ref="AX87:AY88"/>
    <mergeCell ref="A88:C88"/>
    <mergeCell ref="D88:O88"/>
    <mergeCell ref="P88:R88"/>
    <mergeCell ref="S88:AF88"/>
    <mergeCell ref="AG88:AI88"/>
    <mergeCell ref="AJ88:AN88"/>
    <mergeCell ref="AO88:AQ88"/>
    <mergeCell ref="AR88:AV88"/>
    <mergeCell ref="AG2:AI2"/>
    <mergeCell ref="S1:AF1"/>
    <mergeCell ref="AX1:AY2"/>
    <mergeCell ref="AO2:AQ2"/>
    <mergeCell ref="AR2:AV2"/>
    <mergeCell ref="AX43:AY43"/>
    <mergeCell ref="A1:C1"/>
    <mergeCell ref="D1:O1"/>
    <mergeCell ref="P1:R1"/>
    <mergeCell ref="AG1:AI1"/>
    <mergeCell ref="A2:C2"/>
    <mergeCell ref="AJ1:AN1"/>
    <mergeCell ref="AJ2:AN2"/>
    <mergeCell ref="AO1:AQ1"/>
    <mergeCell ref="AR1:AV1"/>
    <mergeCell ref="D2:O2"/>
    <mergeCell ref="P2:R2"/>
    <mergeCell ref="S2:AF2"/>
    <mergeCell ref="AX301:AY301"/>
    <mergeCell ref="A302:C302"/>
    <mergeCell ref="D302:O302"/>
    <mergeCell ref="P302:R302"/>
    <mergeCell ref="S302:AF302"/>
    <mergeCell ref="AG302:AI302"/>
    <mergeCell ref="AJ302:AN302"/>
    <mergeCell ref="AO302:AQ302"/>
    <mergeCell ref="AR302:AV302"/>
    <mergeCell ref="A259:C259"/>
    <mergeCell ref="D259:O259"/>
    <mergeCell ref="P259:R259"/>
    <mergeCell ref="S259:AF259"/>
    <mergeCell ref="AG259:AI259"/>
    <mergeCell ref="AJ259:AN259"/>
    <mergeCell ref="AO259:AQ259"/>
    <mergeCell ref="AR259:AV259"/>
    <mergeCell ref="AX259:AY260"/>
    <mergeCell ref="A260:C260"/>
    <mergeCell ref="D260:O260"/>
    <mergeCell ref="P260:R260"/>
    <mergeCell ref="S260:AF260"/>
    <mergeCell ref="AG260:AI260"/>
    <mergeCell ref="AJ260:AN260"/>
    <mergeCell ref="AO260:AQ260"/>
    <mergeCell ref="AR260:AV260"/>
    <mergeCell ref="AX344:AY344"/>
    <mergeCell ref="AX302:AY303"/>
    <mergeCell ref="A303:C303"/>
    <mergeCell ref="D303:O303"/>
    <mergeCell ref="P303:R303"/>
    <mergeCell ref="S303:AF303"/>
    <mergeCell ref="AG303:AI303"/>
    <mergeCell ref="AJ303:AN303"/>
    <mergeCell ref="AO303:AQ303"/>
    <mergeCell ref="AR303:AV303"/>
    <mergeCell ref="A173:C173"/>
    <mergeCell ref="D173:O173"/>
    <mergeCell ref="P173:R173"/>
    <mergeCell ref="S173:AF173"/>
    <mergeCell ref="AG173:AI173"/>
    <mergeCell ref="AJ173:AN173"/>
    <mergeCell ref="AO173:AQ173"/>
    <mergeCell ref="AR173:AV173"/>
    <mergeCell ref="AX173:AY174"/>
    <mergeCell ref="A174:C174"/>
    <mergeCell ref="D174:O174"/>
    <mergeCell ref="P174:R174"/>
    <mergeCell ref="S174:AF174"/>
    <mergeCell ref="AG174:AI174"/>
    <mergeCell ref="AJ174:AN174"/>
    <mergeCell ref="AO174:AQ174"/>
    <mergeCell ref="AR174:AV174"/>
  </mergeCells>
  <phoneticPr fontId="46"/>
  <hyperlinks>
    <hyperlink ref="D4:W4" location="#A44" display="#A44"/>
    <hyperlink ref="D5:W5" location="#A87" display="#A87"/>
    <hyperlink ref="D6:W6" location="#A130" display="#A130"/>
    <hyperlink ref="D7:W7" location="#A173" display="#A173"/>
    <hyperlink ref="D8:W8" location="#A216" display="#A216"/>
    <hyperlink ref="D9:W9" location="#A259" display="#A259"/>
  </hyperlinks>
  <printOptions horizontalCentered="1"/>
  <pageMargins left="0.39370078740157483" right="0.39370078740157483" top="0.39370078740157483" bottom="0.35433070866141736" header="0.23622047244094491" footer="0.15748031496062992"/>
  <pageSetup paperSize="9" scale="92" fitToWidth="0" fitToHeight="0" orientation="landscape" useFirstPageNumber="1" r:id="rId1"/>
  <headerFooter alignWithMargins="0">
    <oddFooter>&amp;C- &amp;P -</oddFooter>
  </headerFooter>
  <colBreaks count="1" manualBreakCount="1">
    <brk id="48" max="98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リセット">
                <anchor moveWithCells="1" sizeWithCells="1">
                  <from>
                    <xdr:col>49</xdr:col>
                    <xdr:colOff>123825</xdr:colOff>
                    <xdr:row>4</xdr:row>
                    <xdr:rowOff>114300</xdr:rowOff>
                  </from>
                  <to>
                    <xdr:col>52</xdr:col>
                    <xdr:colOff>180975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リセット">
                <anchor moveWithCells="1" sizeWithCells="1">
                  <from>
                    <xdr:col>50</xdr:col>
                    <xdr:colOff>104775</xdr:colOff>
                    <xdr:row>47</xdr:row>
                    <xdr:rowOff>9525</xdr:rowOff>
                  </from>
                  <to>
                    <xdr:col>53</xdr:col>
                    <xdr:colOff>161925</xdr:colOff>
                    <xdr:row>48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1]!目次生成">
                <anchor moveWithCells="1" sizeWithCells="1">
                  <from>
                    <xdr:col>49</xdr:col>
                    <xdr:colOff>161925</xdr:colOff>
                    <xdr:row>7</xdr:row>
                    <xdr:rowOff>104775</xdr:rowOff>
                  </from>
                  <to>
                    <xdr:col>53</xdr:col>
                    <xdr:colOff>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ribbon>
    <tabs>
      <tab id="CustomTab" label="設計書" insertBeforeMso="TabHome">
        <group id="Group1" label="基本">
          <button id="Button1" imageMso="ViewFreezePanesGallery" size="large" label="ページ追加" onAction="Main.AddPage"/>
          <button id="Button2" imageMso="SlideMasterTextPlaceholderInsert" size="large" label="目次作成" onAction="Main.MakeMenu"/>
          <button id="Button3" imageMso="FilePrintQuick" size="large" label="印刷範囲設定" onAction="Main.SetPrintArea"/>
          <dynamicMenu id="目次一覧" size="large" label="目次一覧" invalidateContentOnDrop="true" imageMso="SlideMasterTextPlaceholderInsert" getContent="Main.getMenuList"/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control idMso="TextBoxInsertMenu" visible="true" label="テキスト"/>
          <!--テキスト ボックス--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  <group idMso="GroupAlignmentExcel" visible="true"/>
        <!--配置-->
        <group id="Group_GroupSortFilter" label="並べ替えとフィルタ">
          <control idMso="SortAscendingExcel" visible="true"/>
          <control idMso="SortDescendingExcel" visible="true"/>
          <control idMso="SortDialog" visible="true"/>
          <control idMso="Filter" size="large" visible="true"/>
        </group>
        <group idMso="GroupOutline" visible="true"/>
        <!--アウトラインー-->
      </tab>
    </tabs>
  </ribbon>
  <backstage>
    <tab id="tab1" label="設計書" visible="true">
      <firstColumn>
        <group id="grp1" label="更新情報" visible="true">
          <topItems>
          </topItems>
        </group>
      </firstColumn>
      <secondColumn>
        <group id="grp2" label="著作権について" visible="true">
          <topItems>
            <labelControl id="cp0100" label="免責事項"/>
            <labelControl id="cp0101" label="　・当コンテンツの利用に際し、いかなるトラブルが発生しても、作者は一切の責任を負いません。"/>
            <labelControl id="cp0102" label="　・当コンテンツは予告無しに変更・削除されることがあります。"/>
            <labelControl id="cp0103" label="　・このライセンスは予告なく改定される場合があります。"/>
            <labelControl id="cp0900" label="　"/>
            <labelControl id="cp0901" label="　"/>
            <labelControl id="cp0902" label="　"/>
            <labelControl id="cp0903" label="　"/>
            <labelControl id="cp0904" label="　"/>
            <labelControl id="cp0905" label="　"/>
            <labelControl id="cp0906" label="　"/>
            <labelControl id="cp0907" label="　"/>
            <labelControl id="cp0908" label="　"/>
            <labelControl id="cp0909" label="　"/>
            <labelControl id="cp0910" label="　"/>
            <labelControl id="cp0911" label="Copyright (C) 2015 B.Koizumi All Rights Reserved."/>
            <labelControl id="cp0912" label="最新ファイルは以下からダウンロードしてください"/>
            <hyperlink id="cp0913" label="Excel-VBA" target="http://dm-svn.trans-cosmos.co.jp/svn/Koizumi.Excel-VBA/tag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18</vt:i4>
      </vt:variant>
    </vt:vector>
  </HeadingPairs>
  <TitlesOfParts>
    <vt:vector size="25" baseType="lpstr">
      <vt:lpstr>設定</vt:lpstr>
      <vt:lpstr>Notice</vt:lpstr>
      <vt:lpstr>設定2</vt:lpstr>
      <vt:lpstr>Copy</vt:lpstr>
      <vt:lpstr>表紙 (縦)</vt:lpstr>
      <vt:lpstr>表紙（横）</vt:lpstr>
      <vt:lpstr>設計書</vt:lpstr>
      <vt:lpstr>BaseURL</vt:lpstr>
      <vt:lpstr>debugMode</vt:lpstr>
      <vt:lpstr>PageLine</vt:lpstr>
      <vt:lpstr>設計書!Print_Area</vt:lpstr>
      <vt:lpstr>'表紙 (縦)'!Print_Area</vt:lpstr>
      <vt:lpstr>'表紙（横）'!Print_Area</vt:lpstr>
      <vt:lpstr>Toc1StartColLine</vt:lpstr>
      <vt:lpstr>Toc1StartLine</vt:lpstr>
      <vt:lpstr>Toc2StartColLine</vt:lpstr>
      <vt:lpstr>TocCenterColLine</vt:lpstr>
      <vt:lpstr>TocMaxCnt</vt:lpstr>
      <vt:lpstr>TocTitle</vt:lpstr>
      <vt:lpstr>システム名</vt:lpstr>
      <vt:lpstr>プロジェクト名</vt:lpstr>
      <vt:lpstr>顧客名</vt:lpstr>
      <vt:lpstr>作成者</vt:lpstr>
      <vt:lpstr>作成日</vt:lpstr>
      <vt:lpstr>設計書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設計書</dc:title>
  <dc:creator>B.Koizumi</dc:creator>
  <cp:lastModifiedBy>Bumpei.Koizumi</cp:lastModifiedBy>
  <cp:revision>1</cp:revision>
  <cp:lastPrinted>2021-09-03T05:44:25Z</cp:lastPrinted>
  <dcterms:created xsi:type="dcterms:W3CDTF">1997-01-08T22:48:59Z</dcterms:created>
  <dcterms:modified xsi:type="dcterms:W3CDTF">2021-09-09T08:59:54Z</dcterms:modified>
  <cp:version>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907750de-7f4f-49ff-85dc-d50670dbafe3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control idQ="doc:Button1" visible="true" imageMso="ViewFreezePanesGallery"/>
        <mso:control idQ="doc:Button2" visible="true" imageMso="SlideMasterTextPlaceholderInsert"/>
        <mso:control idQ="doc:Button3" visible="true" imageMso="FilePrintQuick"/>
        <mso:control idQ="doc:目次一覧" visible="true" imageMso="SlideMasterTextPlaceholderInsert"/>
      </mso:documentControls>
    </mso:qat>
  </mso:ribbon>
</mso:customUI>
</file>