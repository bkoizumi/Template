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41685" windowWidth="20505" windowHeight="5115" tabRatio="788" activeTab="10"/>
  </bookViews>
  <sheets>
    <sheet name="設定-MySQL" sheetId="46" r:id="rId1"/>
    <sheet name="設定-ACC" sheetId="47" r:id="rId2"/>
    <sheet name="Notice" sheetId="35" r:id="rId3"/>
    <sheet name="DataType" sheetId="2" r:id="rId4"/>
    <sheet name="Sheet1" sheetId="79" r:id="rId5"/>
    <sheet name="コピー用" sheetId="3" r:id="rId6"/>
    <sheet name="表紙" sheetId="4" r:id="rId7"/>
    <sheet name="TBLリスト" sheetId="5" r:id="rId8"/>
    <sheet name="変更履歴" sheetId="7" r:id="rId9"/>
    <sheet name="ER図" sheetId="6" r:id="rId10"/>
    <sheet name="si_joblist" sheetId="78" r:id="rId11"/>
  </sheets>
  <functionGroups builtInGroupCount="18"/>
  <definedNames>
    <definedName name="■VBA用の設定">'設定-MySQL'!$B$3</definedName>
    <definedName name="Cell_colMaxLen">'設定-MySQL'!$B$37</definedName>
    <definedName name="Cell_dateType">'設定-MySQL'!$B$38</definedName>
    <definedName name="Cell_Default">'設定-MySQL'!$B$43</definedName>
    <definedName name="Cell_digits">'設定-MySQL'!$B$39</definedName>
    <definedName name="Cell_Idx01">'設定-MySQL'!$B$41</definedName>
    <definedName name="Cell_logicalName">'設定-MySQL'!$B$35</definedName>
    <definedName name="Cell_logicalTableName">'設定-MySQL'!$B$31</definedName>
    <definedName name="Cell_Note">'設定-MySQL'!$B$44</definedName>
    <definedName name="Cell_Null">'設定-MySQL'!$B$42</definedName>
    <definedName name="Cell_physicalName">'設定-MySQL'!$B$36</definedName>
    <definedName name="Cell_physicalTableName">'設定-MySQL'!$B$32</definedName>
    <definedName name="Cell_PK">'設定-MySQL'!$B$40</definedName>
    <definedName name="Cell_tableNote">'設定-MySQL'!$B$33</definedName>
    <definedName name="Cell_TableType">'設定-MySQL'!$B$30</definedName>
    <definedName name="CreateAt">'設定-MySQL'!$B$24</definedName>
    <definedName name="CreateBy">'設定-MySQL'!$B$23</definedName>
    <definedName name="CustomRibbon">'設定-MySQL'!$B$6</definedName>
    <definedName name="DBList">'設定-MySQL'!$H$5:$H$8</definedName>
    <definedName name="DBMS">'設定-MySQL'!$B$11</definedName>
    <definedName name="DBName">'設定-MySQL'!$B$14</definedName>
    <definedName name="DBServer">'設定-MySQL'!$B$13</definedName>
    <definedName name="debugMode">'設定-MySQL'!$B$5</definedName>
    <definedName name="Frm_NewSheetLeft">'設定-MySQL'!$B$28</definedName>
    <definedName name="Frm_NewSheetTop">'設定-MySQL'!$B$27</definedName>
    <definedName name="HighLightColor">'設定-MySQL'!$B$8</definedName>
    <definedName name="IndexTypeList">'設定-MySQL'!$J$5:$J$8</definedName>
    <definedName name="Instance">'設定-MySQL'!$B$16</definedName>
    <definedName name="MSAccess">DataType!$M$3:$M$16</definedName>
    <definedName name="MySQL">DataType!$D$3:$D$20</definedName>
    <definedName name="ODBCDriver">'設定-MySQL'!$B$12</definedName>
    <definedName name="ODBCDriverList">'設定-MySQL'!$I$5:$I$7</definedName>
    <definedName name="Oracle">DataType!$G$3:$G$11</definedName>
    <definedName name="passwd">'設定-MySQL'!$B$19</definedName>
    <definedName name="Port">'設定-MySQL'!$B$15</definedName>
    <definedName name="PostgreSQL">DataType!$A$3:$A$35</definedName>
    <definedName name="ProjectName">'設定-MySQL'!$B$21</definedName>
    <definedName name="ribbonHighLightFlg">'設定-MySQL'!$B$7</definedName>
    <definedName name="Schema">'設定-MySQL'!$B$17</definedName>
    <definedName name="SQLServer">DataType!$J$3:$J$34</definedName>
    <definedName name="systemName">'設定-MySQL'!$B$22</definedName>
    <definedName name="TableTypeList">'設定-MySQL'!$G$5:$G$10</definedName>
    <definedName name="userID">'設定-MySQL'!$B$18</definedName>
    <definedName name="zoomLevel">'設定-MySQL'!$B$9</definedName>
    <definedName name="項目名">'設定-MySQL'!$B$4</definedName>
  </definedNames>
  <calcPr calcId="162913"/>
  <customWorkbookViews>
    <customWorkbookView name="TCI_小泉文平 - 個人用ビュー" guid="{809E84AF-EE5E-4456-99E6-0390B35F6AD9}" mergeInterval="0" personalView="1" maximized="1" xWindow="1" yWindow="1" windowWidth="1276" windowHeight="746" tabRatio="766" activeSheetId="4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Administrator - 個人用ビュー" guid="{11FF3D1A-B611-4935-A0EC-72FFAD7F9EAF}" mergeInterval="0" personalView="1" maximized="1" xWindow="-8" yWindow="-8" windowWidth="1696" windowHeight="1036" tabRatio="882" activeSheetId="18"/>
  </customWorkbookViews>
</workbook>
</file>

<file path=xl/calcChain.xml><?xml version="1.0" encoding="utf-8"?>
<calcChain xmlns="http://schemas.openxmlformats.org/spreadsheetml/2006/main">
  <c r="B9" i="79" l="1"/>
  <c r="B18" i="79"/>
  <c r="B14" i="79"/>
  <c r="B5" i="79"/>
  <c r="B3" i="79"/>
  <c r="B15" i="79"/>
  <c r="B16" i="79"/>
  <c r="B11" i="79"/>
  <c r="B13" i="79"/>
  <c r="B12" i="79"/>
  <c r="B4" i="79"/>
  <c r="B6" i="79"/>
  <c r="B10" i="79"/>
  <c r="B17" i="79"/>
  <c r="B7" i="79"/>
  <c r="B2" i="79"/>
  <c r="B8" i="79"/>
  <c r="B1" i="79"/>
  <c r="F48" i="78"/>
  <c r="F47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22" i="78"/>
  <c r="F23" i="78"/>
  <c r="F24" i="78"/>
  <c r="F25" i="78"/>
  <c r="F26" i="78"/>
  <c r="F27" i="78"/>
  <c r="F28" i="78"/>
  <c r="F29" i="78"/>
  <c r="F30" i="78"/>
  <c r="F31" i="78"/>
  <c r="F32" i="78"/>
  <c r="F33" i="78"/>
  <c r="F34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9" i="78"/>
  <c r="Y2" i="3" l="1"/>
  <c r="V2" i="3"/>
  <c r="W2" i="78"/>
  <c r="Z2" i="78"/>
  <c r="C48" i="78" l="1"/>
  <c r="C47" i="78"/>
  <c r="C46" i="78"/>
  <c r="C45" i="78"/>
  <c r="C44" i="78"/>
  <c r="C43" i="78"/>
  <c r="C42" i="78"/>
  <c r="C41" i="78"/>
  <c r="C40" i="78"/>
  <c r="C39" i="78"/>
  <c r="C38" i="78"/>
  <c r="W6" i="78"/>
  <c r="Z5" i="78"/>
  <c r="W5" i="78"/>
  <c r="H3" i="78"/>
  <c r="H2" i="78"/>
  <c r="B14" i="5" l="1"/>
  <c r="B13" i="5"/>
  <c r="B12" i="5"/>
  <c r="B11" i="5"/>
  <c r="B10" i="5"/>
  <c r="B9" i="5"/>
  <c r="B8" i="5"/>
  <c r="B7" i="5"/>
  <c r="B6" i="5"/>
  <c r="C47" i="3" l="1"/>
  <c r="C11" i="3" l="1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V5" i="3"/>
  <c r="U12" i="47" l="1"/>
  <c r="U12" i="46"/>
  <c r="B15" i="5" l="1"/>
  <c r="E3" i="6" l="1"/>
  <c r="I2" i="6"/>
  <c r="G2" i="6"/>
  <c r="E2" i="6"/>
  <c r="C49" i="3" l="1"/>
  <c r="C48" i="3"/>
  <c r="C10" i="3"/>
  <c r="C9" i="3"/>
  <c r="V6" i="3"/>
  <c r="Y5" i="3"/>
  <c r="G3" i="3"/>
  <c r="G2" i="3"/>
  <c r="B16" i="5" l="1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AR38" i="4" l="1"/>
  <c r="D6" i="7"/>
  <c r="C6" i="7"/>
  <c r="AL38" i="4" s="1"/>
  <c r="T2" i="7"/>
  <c r="H3" i="7"/>
  <c r="Q2" i="7"/>
  <c r="H2" i="7"/>
  <c r="I2" i="5"/>
  <c r="E3" i="5"/>
  <c r="G2" i="5"/>
  <c r="E2" i="5"/>
  <c r="A4" i="4" l="1"/>
  <c r="B1" i="4"/>
</calcChain>
</file>

<file path=xl/comments1.xml><?xml version="1.0" encoding="utf-8"?>
<comments xmlns="http://schemas.openxmlformats.org/spreadsheetml/2006/main">
  <authors>
    <author>小泉文平</author>
  </authors>
  <commentList>
    <comment ref="T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comments2.xml><?xml version="1.0" encoding="utf-8"?>
<comments xmlns="http://schemas.openxmlformats.org/spreadsheetml/2006/main">
  <authors>
    <author>小泉文平</author>
  </authors>
  <commentList>
    <comment ref="U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sharedStrings.xml><?xml version="1.0" encoding="utf-8"?>
<sst xmlns="http://schemas.openxmlformats.org/spreadsheetml/2006/main" count="1081" uniqueCount="561">
  <si>
    <t>整数型。別名でintEGER型がある。暦の日付（年月日）</t>
  </si>
  <si>
    <t>データ型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</si>
  <si>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</si>
  <si>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</si>
  <si>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</si>
  <si>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システム名</t>
    <rPh sb="4" eb="5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</si>
  <si>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</si>
  <si>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</si>
  <si>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桁数</t>
    <rPh sb="0" eb="2">
      <t>ケタスウ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</si>
  <si>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</si>
  <si>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</si>
  <si>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</si>
  <si>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</si>
  <si>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</si>
  <si>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</si>
  <si>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</si>
  <si>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</si>
  <si>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</si>
  <si>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</si>
  <si>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</si>
  <si>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</si>
  <si>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</si>
  <si>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</si>
  <si>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</si>
  <si>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</si>
  <si>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</si>
  <si>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</si>
  <si>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</si>
  <si>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</si>
  <si>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</si>
  <si>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</si>
  <si>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</si>
  <si>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</si>
  <si>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</si>
  <si>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</si>
  <si>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</si>
  <si>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</si>
  <si>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</si>
  <si>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</si>
  <si>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</si>
  <si>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</si>
  <si>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</si>
  <si>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</si>
  <si>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</si>
  <si>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</si>
  <si>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</si>
  <si>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</si>
  <si>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</si>
  <si>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</si>
  <si>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</si>
  <si>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</si>
  <si>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</si>
  <si>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</si>
  <si>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</si>
  <si>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</si>
  <si>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</si>
  <si>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</si>
  <si>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</si>
  <si>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</si>
  <si>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</si>
  <si>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</si>
  <si>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</si>
  <si>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</si>
  <si>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</si>
  <si>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</si>
  <si>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</si>
  <si>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</si>
  <si>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</si>
  <si>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承認</t>
    <rPh sb="0" eb="2">
      <t>ショウニン</t>
    </rPh>
    <phoneticPr fontId="4"/>
  </si>
  <si>
    <t>顧客名</t>
    <rPh sb="0" eb="2">
      <t>コキャク</t>
    </rPh>
    <rPh sb="2" eb="3">
      <t>メイ</t>
    </rPh>
    <phoneticPr fontId="4"/>
  </si>
  <si>
    <t>日付</t>
    <rPh sb="0" eb="2">
      <t>ヒヅケ</t>
    </rPh>
    <phoneticPr fontId="4"/>
  </si>
  <si>
    <t>変更内容</t>
    <rPh sb="0" eb="2">
      <t>ヘンコウ</t>
    </rPh>
    <rPh sb="2" eb="4">
      <t>ナイヨウ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</si>
  <si>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</si>
  <si>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</si>
  <si>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</si>
  <si>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</si>
  <si>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</si>
  <si>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</si>
  <si>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</si>
  <si>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</si>
  <si>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</si>
  <si>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</si>
  <si>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</si>
  <si>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</si>
  <si>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</si>
  <si>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</si>
  <si>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</si>
  <si>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</si>
  <si>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</si>
  <si>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</si>
  <si>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</si>
  <si>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</si>
  <si>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</si>
  <si>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</si>
  <si>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</si>
  <si>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</si>
  <si>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</si>
  <si>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</si>
  <si>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</si>
  <si>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</si>
  <si>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</si>
  <si>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</si>
  <si>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</si>
  <si>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</si>
  <si>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</si>
  <si>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</si>
  <si>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</si>
  <si>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</si>
  <si>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</si>
  <si>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</si>
  <si>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</si>
  <si>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</si>
  <si>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</si>
  <si>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auto_increment</t>
  </si>
  <si>
    <t>分類</t>
    <rPh sb="0" eb="2">
      <t>ブンルイ</t>
    </rPh>
    <phoneticPr fontId="4"/>
  </si>
  <si>
    <t>版</t>
  </si>
  <si>
    <t>変更履歴</t>
    <rPh sb="0" eb="2">
      <t>ヘンコウ</t>
    </rPh>
    <rPh sb="2" eb="4">
      <t>リレキ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</si>
  <si>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</si>
  <si>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</si>
  <si>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</si>
  <si>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</si>
  <si>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内部桁数</t>
    <phoneticPr fontId="4"/>
  </si>
  <si>
    <t>PK</t>
    <phoneticPr fontId="4"/>
  </si>
  <si>
    <t>I1</t>
    <phoneticPr fontId="4"/>
  </si>
  <si>
    <t>I2</t>
    <phoneticPr fontId="4"/>
  </si>
  <si>
    <t>NULL</t>
    <phoneticPr fontId="4"/>
  </si>
  <si>
    <t>備　　考</t>
    <phoneticPr fontId="4"/>
  </si>
  <si>
    <t>検査</t>
    <rPh sb="0" eb="2">
      <t>ケンサ</t>
    </rPh>
    <phoneticPr fontId="4"/>
  </si>
  <si>
    <t>作成</t>
    <rPh sb="0" eb="2">
      <t>サクセイ</t>
    </rPh>
    <phoneticPr fontId="4"/>
  </si>
  <si>
    <t>PostgreSQL</t>
    <phoneticPr fontId="4"/>
  </si>
  <si>
    <t>timestamp without time zone</t>
    <phoneticPr fontId="4"/>
  </si>
  <si>
    <t>MySQL</t>
    <phoneticPr fontId="4"/>
  </si>
  <si>
    <t>自動増分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</si>
  <si>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</si>
  <si>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</si>
  <si>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</si>
  <si>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</si>
  <si>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</si>
  <si>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</si>
  <si>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</si>
  <si>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</si>
  <si>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</si>
  <si>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</si>
  <si>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</si>
  <si>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</si>
  <si>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</si>
  <si>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マスターテーブル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</si>
  <si>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</si>
  <si>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</si>
  <si>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</si>
  <si>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</si>
  <si>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</si>
  <si>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</si>
  <si>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</si>
  <si>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</si>
  <si>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</si>
  <si>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</si>
  <si>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</si>
  <si>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</si>
  <si>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</si>
  <si>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</si>
  <si>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</si>
  <si>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</si>
  <si>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</si>
  <si>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</si>
  <si>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</si>
  <si>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</si>
  <si>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</si>
  <si>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</si>
  <si>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</si>
  <si>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</si>
  <si>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</si>
  <si>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</si>
  <si>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</si>
  <si>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</si>
  <si>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</si>
  <si>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</si>
  <si>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</si>
  <si>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</si>
  <si>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</si>
  <si>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</si>
  <si>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</si>
  <si>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</si>
  <si>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</si>
  <si>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</si>
  <si>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</si>
  <si>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</si>
  <si>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</si>
  <si>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</si>
  <si>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</si>
  <si>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</si>
  <si>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</si>
  <si>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</si>
  <si>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</si>
  <si>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</si>
  <si>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</si>
  <si>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</si>
  <si>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</si>
  <si>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</si>
  <si>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</si>
  <si>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</si>
  <si>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</si>
  <si>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</si>
  <si>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</si>
  <si>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</si>
  <si>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</si>
  <si>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</si>
  <si>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</si>
  <si>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更新者</t>
    <phoneticPr fontId="2"/>
  </si>
  <si>
    <t>ワークテーブル</t>
    <phoneticPr fontId="4"/>
  </si>
  <si>
    <t>テーブルリスト</t>
    <phoneticPr fontId="4"/>
  </si>
  <si>
    <t>YYYY-MM-DD HH：MM：SSという形式で格納される。</t>
  </si>
  <si>
    <t>HH：MM：SSという形式で格納される。</t>
  </si>
  <si>
    <t>新規作成</t>
    <phoneticPr fontId="13"/>
  </si>
  <si>
    <t>自動採番</t>
    <rPh sb="0" eb="2">
      <t>ジドウ</t>
    </rPh>
    <rPh sb="2" eb="4">
      <t>サイバン</t>
    </rPh>
    <phoneticPr fontId="4"/>
  </si>
  <si>
    <t>IDENTITY</t>
    <phoneticPr fontId="4"/>
  </si>
  <si>
    <t>論理テーブル名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</si>
  <si>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</si>
  <si>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</si>
  <si>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</si>
  <si>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</si>
  <si>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</si>
  <si>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</si>
  <si>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</si>
  <si>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</si>
  <si>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</si>
  <si>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</si>
  <si>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</si>
  <si>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</si>
  <si>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NONCLUSTERED</t>
    <phoneticPr fontId="4"/>
  </si>
  <si>
    <t>UNIQUE NONCLUSTERED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</si>
  <si>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</si>
  <si>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</si>
  <si>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</si>
  <si>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</si>
  <si>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</si>
  <si>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</si>
  <si>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物理テーブル名</t>
    <phoneticPr fontId="4"/>
  </si>
  <si>
    <t>インスタンス</t>
    <phoneticPr fontId="4"/>
  </si>
  <si>
    <t>スキーマ</t>
    <phoneticPr fontId="4"/>
  </si>
  <si>
    <t>データベース名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</si>
  <si>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</si>
  <si>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</si>
  <si>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</si>
  <si>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</si>
  <si>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</si>
  <si>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</si>
  <si>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</si>
  <si>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</si>
  <si>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</si>
  <si>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</si>
  <si>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</si>
  <si>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</si>
  <si>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</si>
  <si>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</si>
  <si>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9"/>
  </si>
  <si>
    <t>subKey</t>
    <phoneticPr fontId="13"/>
  </si>
  <si>
    <t>Main</t>
  </si>
  <si>
    <t>CustomRibbon</t>
  </si>
  <si>
    <t>ribbonHighLightFlg</t>
    <phoneticPr fontId="59"/>
  </si>
  <si>
    <t>HighLightColor</t>
    <phoneticPr fontId="60"/>
  </si>
  <si>
    <t>10222585</t>
    <phoneticPr fontId="13"/>
  </si>
  <si>
    <t>zoomLevel</t>
  </si>
  <si>
    <t>100</t>
    <phoneticPr fontId="13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</si>
  <si>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</si>
  <si>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</si>
  <si>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</si>
  <si>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</si>
  <si>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</si>
  <si>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</si>
  <si>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ヘッダーの項目が異なります</t>
  </si>
  <si>
    <t>ExcelError：インデックスが有効範囲にありません。</t>
    <phoneticPr fontId="59"/>
  </si>
  <si>
    <t>ExcelError：型が一致しません。</t>
    <phoneticPr fontId="31"/>
  </si>
  <si>
    <t>ExcelError：オブジェクト変数または With ブロック変数が設定されていません。</t>
    <phoneticPr fontId="59"/>
  </si>
  <si>
    <t>ExcelError：アプリケーション定義またはオブジェクト定義のエラーです。</t>
    <rPh sb="19" eb="21">
      <t>テイギ</t>
    </rPh>
    <rPh sb="30" eb="32">
      <t>テイギ</t>
    </rPh>
    <phoneticPr fontId="31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</si>
  <si>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</si>
  <si>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</si>
  <si>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</si>
  <si>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</si>
  <si>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</si>
  <si>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</si>
  <si>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</si>
  <si>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</si>
  <si>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</si>
  <si>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スキーマ</t>
  </si>
  <si>
    <t>dbo</t>
  </si>
  <si>
    <t>論理名称</t>
    <rPh sb="0" eb="2">
      <t>ロンリ</t>
    </rPh>
    <rPh sb="2" eb="3">
      <t>メイ</t>
    </rPh>
    <rPh sb="3" eb="4">
      <t>ショウ</t>
    </rPh>
    <phoneticPr fontId="4"/>
  </si>
  <si>
    <t>物理名称</t>
    <rPh sb="0" eb="2">
      <t>ブツリ</t>
    </rPh>
    <rPh sb="2" eb="4">
      <t>メイショウ</t>
    </rPh>
    <phoneticPr fontId="4"/>
  </si>
  <si>
    <t>ExcelError：ファイルが存在しません</t>
    <phoneticPr fontId="59"/>
  </si>
  <si>
    <t>&lt;&lt;メッセージ[情報]&gt;&gt; 0～399</t>
    <rPh sb="8" eb="10">
      <t>ジョウホウ</t>
    </rPh>
    <phoneticPr fontId="13"/>
  </si>
  <si>
    <t>&lt;&lt;メッセージ[注意]&gt;&gt; 600～799</t>
    <rPh sb="8" eb="10">
      <t>チュウイ</t>
    </rPh>
    <phoneticPr fontId="13"/>
  </si>
  <si>
    <t>Frm_NewSheetTop</t>
  </si>
  <si>
    <t>Frm_NewSheetLeft</t>
  </si>
  <si>
    <t>I5</t>
  </si>
  <si>
    <t>I6</t>
  </si>
  <si>
    <t>I7</t>
  </si>
  <si>
    <t>I8</t>
  </si>
  <si>
    <t>I9</t>
  </si>
  <si>
    <t>I4</t>
  </si>
  <si>
    <t>I10</t>
  </si>
  <si>
    <t>#</t>
    <phoneticPr fontId="4"/>
  </si>
  <si>
    <t>I3</t>
  </si>
  <si>
    <t>○△□プロジェクト</t>
    <phoneticPr fontId="4"/>
  </si>
  <si>
    <t>○✕システム</t>
  </si>
  <si>
    <t>○○　✕✕</t>
    <phoneticPr fontId="4"/>
  </si>
  <si>
    <t>MySQL</t>
  </si>
  <si>
    <t>PostgreSQL</t>
  </si>
  <si>
    <t>MSAccess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</si>
  <si>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</si>
  <si>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</si>
  <si>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</si>
  <si>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</si>
  <si>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RowStart</t>
    <phoneticPr fontId="13"/>
  </si>
  <si>
    <t>IndexStart</t>
    <phoneticPr fontId="13"/>
  </si>
  <si>
    <t>TriggerStart</t>
    <phoneticPr fontId="13"/>
  </si>
  <si>
    <t>spacer</t>
    <phoneticPr fontId="4"/>
  </si>
  <si>
    <t>Column</t>
    <phoneticPr fontId="4"/>
  </si>
  <si>
    <t>End</t>
    <phoneticPr fontId="4"/>
  </si>
  <si>
    <t>数値</t>
  </si>
  <si>
    <t>定数名</t>
  </si>
  <si>
    <t>adSmallInt</t>
    <phoneticPr fontId="4"/>
  </si>
  <si>
    <t>adSingle</t>
    <phoneticPr fontId="4"/>
  </si>
  <si>
    <t>adDouble</t>
    <phoneticPr fontId="4"/>
  </si>
  <si>
    <t>adBSTR</t>
    <phoneticPr fontId="4"/>
  </si>
  <si>
    <t>adIDispatch</t>
    <phoneticPr fontId="4"/>
  </si>
  <si>
    <t>adError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</si>
  <si>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</si>
  <si>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</si>
  <si>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</si>
  <si>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</si>
  <si>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</si>
  <si>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</si>
  <si>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</si>
  <si>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</si>
  <si>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</si>
  <si>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</si>
  <si>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</si>
  <si>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</si>
  <si>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</si>
  <si>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</si>
  <si>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</si>
  <si>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</si>
  <si>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</si>
  <si>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</si>
  <si>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</si>
  <si>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</si>
  <si>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</si>
  <si>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</si>
  <si>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</si>
  <si>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</si>
  <si>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adVarBinary</t>
    <phoneticPr fontId="4"/>
  </si>
  <si>
    <t>Schema</t>
    <phoneticPr fontId="4"/>
  </si>
  <si>
    <t>Instance</t>
    <phoneticPr fontId="4"/>
  </si>
  <si>
    <t>リンクテーブル</t>
  </si>
  <si>
    <t>admin</t>
  </si>
  <si>
    <t>■MS ACCESS用の設定</t>
    <rPh sb="10" eb="11">
      <t>ヨウ</t>
    </rPh>
    <rPh sb="12" eb="14">
      <t>セッテイ</t>
    </rPh>
    <phoneticPr fontId="4"/>
  </si>
  <si>
    <t>Port</t>
  </si>
  <si>
    <t>MySQL ODBC 8.0 Unicode Driver</t>
  </si>
  <si>
    <t>localhost</t>
    <phoneticPr fontId="4"/>
  </si>
  <si>
    <t>root</t>
    <phoneticPr fontId="4"/>
  </si>
  <si>
    <t>mmH6Fep</t>
    <phoneticPr fontId="4"/>
  </si>
  <si>
    <t>DBMS</t>
    <phoneticPr fontId="4"/>
  </si>
  <si>
    <t>3306</t>
  </si>
  <si>
    <t>プロジェクト名</t>
  </si>
  <si>
    <t>システム名</t>
  </si>
  <si>
    <t>物理テーブル名</t>
  </si>
  <si>
    <t>タイプ</t>
  </si>
  <si>
    <t>インデックス名</t>
  </si>
  <si>
    <t>ユニーク</t>
  </si>
  <si>
    <t>備考</t>
  </si>
  <si>
    <t>トリガー名</t>
  </si>
  <si>
    <t>タイミング</t>
  </si>
  <si>
    <t>処理</t>
  </si>
  <si>
    <t>NONUNIQUE</t>
    <phoneticPr fontId="4"/>
  </si>
  <si>
    <t>カラム名</t>
    <rPh sb="3" eb="4">
      <t>メイ</t>
    </rPh>
    <phoneticPr fontId="13"/>
  </si>
  <si>
    <t>C:\WorkSpace\VBA\Template\Database.accdb</t>
  </si>
  <si>
    <t>Database.accdb</t>
    <phoneticPr fontId="13"/>
  </si>
  <si>
    <t>INT</t>
    <phoneticPr fontId="4"/>
  </si>
  <si>
    <t>DATE</t>
    <phoneticPr fontId="4"/>
  </si>
  <si>
    <t>テキスト型</t>
  </si>
  <si>
    <t>メモ型</t>
  </si>
  <si>
    <t>MEMO</t>
  </si>
  <si>
    <t>数値型（Byte型）</t>
  </si>
  <si>
    <t>BYTE</t>
  </si>
  <si>
    <t>数値型（整数型）</t>
  </si>
  <si>
    <t>数値型（長整数型）</t>
  </si>
  <si>
    <t>LONG</t>
  </si>
  <si>
    <t>数値型（単精度浮動小数点型）</t>
  </si>
  <si>
    <t>SINGLE</t>
  </si>
  <si>
    <t>数値型（倍精度浮動小数点型）</t>
  </si>
  <si>
    <t>DOUBLE</t>
  </si>
  <si>
    <t>数値型（レプリケーションID型）</t>
  </si>
  <si>
    <t>GUID</t>
  </si>
  <si>
    <t>日付/時刻型</t>
  </si>
  <si>
    <t>DATETIME</t>
  </si>
  <si>
    <t>通貨型</t>
  </si>
  <si>
    <t>CURRENCY</t>
  </si>
  <si>
    <t>オートナンバー型</t>
  </si>
  <si>
    <t>COUNTER</t>
  </si>
  <si>
    <t>Yes/No型</t>
  </si>
  <si>
    <t>YESNO</t>
  </si>
  <si>
    <t>Oleオブジェクト型</t>
  </si>
  <si>
    <t>LONGBINARY</t>
  </si>
  <si>
    <t>バイナリ型</t>
  </si>
  <si>
    <t>TEXT</t>
    <phoneticPr fontId="4"/>
  </si>
  <si>
    <t>BINARY</t>
    <phoneticPr fontId="4"/>
  </si>
  <si>
    <t>TEXT</t>
    <phoneticPr fontId="4"/>
  </si>
  <si>
    <t>MEMO</t>
    <phoneticPr fontId="4"/>
  </si>
  <si>
    <t>CURRENCY</t>
    <phoneticPr fontId="4"/>
  </si>
  <si>
    <t>LONGBINARY</t>
    <phoneticPr fontId="4"/>
  </si>
  <si>
    <t>Cell_physicalName</t>
    <phoneticPr fontId="13"/>
  </si>
  <si>
    <t>Cell_logicalName</t>
    <phoneticPr fontId="13"/>
  </si>
  <si>
    <t>D</t>
    <phoneticPr fontId="13"/>
  </si>
  <si>
    <t>E</t>
    <phoneticPr fontId="13"/>
  </si>
  <si>
    <t>Cell_dateType</t>
    <phoneticPr fontId="13"/>
  </si>
  <si>
    <t>F</t>
    <phoneticPr fontId="13"/>
  </si>
  <si>
    <t>Cell_digits</t>
    <phoneticPr fontId="13"/>
  </si>
  <si>
    <t>G</t>
    <phoneticPr fontId="13"/>
  </si>
  <si>
    <t>Cell_PK</t>
    <phoneticPr fontId="13"/>
  </si>
  <si>
    <t>Cell_Idx01</t>
    <phoneticPr fontId="13"/>
  </si>
  <si>
    <t>I</t>
    <phoneticPr fontId="13"/>
  </si>
  <si>
    <t>J</t>
    <phoneticPr fontId="13"/>
  </si>
  <si>
    <t>Cell_Null</t>
    <phoneticPr fontId="13"/>
  </si>
  <si>
    <t>Cell_Default</t>
    <phoneticPr fontId="13"/>
  </si>
  <si>
    <t>Cell_Note</t>
    <phoneticPr fontId="13"/>
  </si>
  <si>
    <t>T</t>
    <phoneticPr fontId="13"/>
  </si>
  <si>
    <t>U</t>
    <phoneticPr fontId="13"/>
  </si>
  <si>
    <t>V</t>
    <phoneticPr fontId="13"/>
  </si>
  <si>
    <t>Cell_logicalTableName</t>
    <phoneticPr fontId="13"/>
  </si>
  <si>
    <t>Cell_physicalTableName</t>
    <phoneticPr fontId="13"/>
  </si>
  <si>
    <t>E5</t>
    <phoneticPr fontId="13"/>
  </si>
  <si>
    <t>G5</t>
    <phoneticPr fontId="13"/>
  </si>
  <si>
    <t>Cell_TableType</t>
    <phoneticPr fontId="13"/>
  </si>
  <si>
    <t>C2</t>
    <phoneticPr fontId="13"/>
  </si>
  <si>
    <t>E6</t>
    <phoneticPr fontId="13"/>
  </si>
  <si>
    <t>Cell_tableNote</t>
    <phoneticPr fontId="13"/>
  </si>
  <si>
    <t>asset_list</t>
    <phoneticPr fontId="4"/>
  </si>
  <si>
    <t>carousel_detal</t>
    <phoneticPr fontId="4"/>
  </si>
  <si>
    <t>carousel_list</t>
    <phoneticPr fontId="4"/>
  </si>
  <si>
    <t>config</t>
    <phoneticPr fontId="4"/>
  </si>
  <si>
    <t>customer</t>
    <phoneticPr fontId="4"/>
  </si>
  <si>
    <t>file_list</t>
    <phoneticPr fontId="4"/>
  </si>
  <si>
    <t>link_list</t>
    <phoneticPr fontId="4"/>
  </si>
  <si>
    <t>td_list</t>
    <phoneticPr fontId="4"/>
  </si>
  <si>
    <t>小泉　文平</t>
  </si>
  <si>
    <t>ファイルを全て選択してください</t>
  </si>
  <si>
    <t>ファイルを選択してください</t>
  </si>
  <si>
    <t>を入力してください</t>
  </si>
  <si>
    <t>フォルダを選択してください</t>
  </si>
  <si>
    <t>キャンセルされました</t>
  </si>
  <si>
    <t>処理が完了しました</t>
  </si>
  <si>
    <t>インポート処理が完了しました</t>
  </si>
  <si>
    <t>エクスポート処理が完了しました</t>
  </si>
  <si>
    <t>登録処理が完了しました</t>
  </si>
  <si>
    <t>集計処理が完了しました</t>
  </si>
  <si>
    <t>取得処理が完了しました</t>
  </si>
  <si>
    <t>&lt;&lt;メッセージ[警告]&gt;&gt; 400～599</t>
  </si>
  <si>
    <t>エラーが発生しました</t>
  </si>
  <si>
    <t>インストールバージョンが一致しません</t>
  </si>
  <si>
    <t>インストールファイルが存在しません</t>
  </si>
  <si>
    <t>フォルダーが存在しません</t>
  </si>
  <si>
    <t>ファイルが存在しません</t>
  </si>
  <si>
    <t>シートが存在しません</t>
  </si>
  <si>
    <t>データが存在しません</t>
  </si>
  <si>
    <t>同名ファイルが開かれています</t>
  </si>
  <si>
    <t>実行できませんでした</t>
  </si>
  <si>
    <t>データベースへの接続に失敗しました</t>
  </si>
  <si>
    <t>データベースへの切断に失敗しました</t>
  </si>
  <si>
    <t>データベースの更新に失敗しました</t>
  </si>
  <si>
    <t>インサート中にエラーが発生しました</t>
  </si>
  <si>
    <t>INT</t>
    <phoneticPr fontId="4"/>
  </si>
  <si>
    <t>YESNO</t>
    <phoneticPr fontId="4"/>
  </si>
  <si>
    <t>test</t>
    <phoneticPr fontId="4"/>
  </si>
  <si>
    <t>自動採番ID</t>
  </si>
  <si>
    <t>id</t>
  </si>
  <si>
    <t>番号</t>
  </si>
  <si>
    <t>obpm_no</t>
  </si>
  <si>
    <t>案件名</t>
  </si>
  <si>
    <t>name_job</t>
  </si>
  <si>
    <t>課コード</t>
  </si>
  <si>
    <t>code_ka</t>
  </si>
  <si>
    <t>課名</t>
  </si>
  <si>
    <t>name_ka</t>
  </si>
  <si>
    <t>OBPMコード</t>
  </si>
  <si>
    <t>code_obpm</t>
  </si>
  <si>
    <t>status</t>
  </si>
  <si>
    <t>顧客コード</t>
  </si>
  <si>
    <t>code_company</t>
  </si>
  <si>
    <t>顧客名称</t>
  </si>
  <si>
    <t>name_company</t>
  </si>
  <si>
    <t>予定期間(自)</t>
  </si>
  <si>
    <t>start_at</t>
  </si>
  <si>
    <t>予定期間(至)</t>
  </si>
  <si>
    <t>end_at</t>
  </si>
  <si>
    <t>顧客区分</t>
  </si>
  <si>
    <t>category_com</t>
  </si>
  <si>
    <t>プロジェクトフル名称</t>
  </si>
  <si>
    <t>full_job_name</t>
  </si>
  <si>
    <t>年月</t>
  </si>
  <si>
    <t>app_date</t>
  </si>
  <si>
    <t>売上額</t>
  </si>
  <si>
    <t>sales_amount</t>
  </si>
  <si>
    <t>労務費</t>
  </si>
  <si>
    <t>labor_cost</t>
  </si>
  <si>
    <t>一括委託費</t>
  </si>
  <si>
    <t>bulk_consignment_expenses</t>
  </si>
  <si>
    <t>工数委託費</t>
  </si>
  <si>
    <t>man_month_consignment_expenses</t>
  </si>
  <si>
    <t>変動経費</t>
  </si>
  <si>
    <t>floating_expenses</t>
  </si>
  <si>
    <t>材料費</t>
  </si>
  <si>
    <t>supply_cost</t>
  </si>
  <si>
    <t>外注費</t>
  </si>
  <si>
    <t>outsourcing_cost</t>
  </si>
  <si>
    <t>粗利</t>
  </si>
  <si>
    <t>gross_profit</t>
  </si>
  <si>
    <t>粗利率</t>
  </si>
  <si>
    <t>gross_profit_rate</t>
  </si>
  <si>
    <t>decimal</t>
  </si>
  <si>
    <t>調整労務費</t>
  </si>
  <si>
    <t>adj_labor_cost</t>
  </si>
  <si>
    <t>調整外注費</t>
  </si>
  <si>
    <t>adj_outsourcing_cost</t>
  </si>
  <si>
    <t>調整変動経費</t>
  </si>
  <si>
    <t>adj_floating_expenses</t>
  </si>
  <si>
    <t>正外注費</t>
  </si>
  <si>
    <t>regular_outsourcing_expenses</t>
  </si>
  <si>
    <t>調整粗利</t>
  </si>
  <si>
    <t>adj_gross_profit</t>
  </si>
  <si>
    <t>正粗利</t>
  </si>
  <si>
    <t>regular_gross_profit</t>
  </si>
  <si>
    <t>PK</t>
  </si>
  <si>
    <t>PRIMARY</t>
  </si>
  <si>
    <t>BTREE</t>
  </si>
  <si>
    <t>UNIQUE</t>
  </si>
  <si>
    <t>NONUNIQUE</t>
  </si>
  <si>
    <t>Idx_where03</t>
  </si>
  <si>
    <t>Idx_where04</t>
  </si>
  <si>
    <t>Idx_where05</t>
  </si>
  <si>
    <t>Idx_where06</t>
  </si>
  <si>
    <t>si_joblist</t>
    <phoneticPr fontId="13"/>
  </si>
  <si>
    <t>SI_案件一覧</t>
    <phoneticPr fontId="13"/>
  </si>
  <si>
    <t>テーブル説明</t>
    <phoneticPr fontId="13"/>
  </si>
  <si>
    <t>マスターテーブル</t>
    <phoneticPr fontId="13"/>
  </si>
  <si>
    <t>Idx_where01</t>
    <phoneticPr fontId="13"/>
  </si>
  <si>
    <t>BTREE</t>
    <phoneticPr fontId="13"/>
  </si>
  <si>
    <t>NONUNIQUE</t>
    <phoneticPr fontId="13"/>
  </si>
  <si>
    <t>obpm_no, code_company, start_at</t>
    <phoneticPr fontId="13"/>
  </si>
  <si>
    <t>Idx_where02</t>
    <phoneticPr fontId="13"/>
  </si>
  <si>
    <t>name_job, full_job_name</t>
    <phoneticPr fontId="13"/>
  </si>
  <si>
    <t>newTable</t>
  </si>
  <si>
    <t>小泉　文平</t>
    <phoneticPr fontId="13"/>
  </si>
  <si>
    <t>exist</t>
    <phoneticPr fontId="13"/>
  </si>
  <si>
    <t>PJ状況</t>
  </si>
  <si>
    <t>カラム説明_x000D_
説cccc説明</t>
  </si>
  <si>
    <t>edit</t>
  </si>
  <si>
    <t>文字数</t>
    <rPh sb="0" eb="3">
      <t>モジスウ</t>
    </rPh>
    <phoneticPr fontId="13"/>
  </si>
  <si>
    <t>Cell_colMaxLen</t>
    <phoneticPr fontId="13"/>
  </si>
  <si>
    <t>W</t>
    <phoneticPr fontId="13"/>
  </si>
  <si>
    <t>H</t>
    <phoneticPr fontId="13"/>
  </si>
  <si>
    <t>H5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</si>
</sst>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6" formatCode="&quot;¥&quot;#,##0;[Red]&quot;¥&quot;\-#,##0"/>
    <numFmt numFmtId="8" formatCode="&quot;¥&quot;#,##0.00;[Red]&quot;¥&quot;\-#,##0.00"/>
    <numFmt numFmtId="176" formatCode="#,##0&quot; KByte&quot;"/>
    <numFmt numFmtId="177" formatCode="&quot;NOT NULL&quot;"/>
    <numFmt numFmtId="178" formatCode="#"/>
    <numFmt numFmtId="179" formatCode="yyyy/mm/dd"/>
    <numFmt numFmtId="180" formatCode="0_ "/>
    <numFmt numFmtId="181" formatCode="General&quot;版&quot;"/>
    <numFmt numFmtId="182" formatCode="0_);[Red]\(0\)"/>
    <numFmt numFmtId="183" formatCode="&quot;第&quot;0.00&quot; 版&quot;"/>
    <numFmt numFmtId="184" formatCode="0.0&quot; 版&quot;"/>
    <numFmt numFmtId="185" formatCode="#,##0_ ;[Red]\-#,##0\ "/>
    <numFmt numFmtId="186" formatCode="0.0%_ "/>
    <numFmt numFmtId="187" formatCode="&quot;¥&quot;#,##0_ ;[Red]&quot;¥&quot;\-#,##0\ "/>
    <numFmt numFmtId="188" formatCode="#,##0.0_ ;[Red]\-#,##0.0\ "/>
    <numFmt numFmtId="189" formatCode="yyyy/mm/dd\ hh:mm:ss"/>
  </numFmts>
  <fonts count="67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6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9"/>
      <color indexed="81"/>
      <name val="ＭＳ Ｐゴシック"/>
      <family val="3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0"/>
      <color rgb="FF000000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10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14"/>
      <color rgb="FFFFFFFF"/>
      <name val="メイリオ"/>
      <family val="3"/>
      <charset val="128"/>
    </font>
  </fonts>
  <fills count="6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499984740745262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11">
    <xf numFmtId="0" fontId="0" fillId="0" borderId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8" borderId="64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30" borderId="65" applyNumberFormat="0" applyFont="0" applyAlignment="0" applyProtection="0">
      <alignment vertical="center"/>
    </xf>
    <xf numFmtId="0" fontId="18" fillId="0" borderId="66" applyNumberFormat="0" applyFill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0" fillId="32" borderId="6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8" applyNumberFormat="0" applyFill="0" applyAlignment="0" applyProtection="0">
      <alignment vertical="center"/>
    </xf>
    <xf numFmtId="0" fontId="23" fillId="0" borderId="69" applyNumberFormat="0" applyFill="0" applyAlignment="0" applyProtection="0">
      <alignment vertical="center"/>
    </xf>
    <xf numFmtId="0" fontId="24" fillId="0" borderId="70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71" applyNumberFormat="0" applyFill="0" applyAlignment="0" applyProtection="0">
      <alignment vertical="center"/>
    </xf>
    <xf numFmtId="0" fontId="26" fillId="32" borderId="72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3" borderId="67" applyNumberFormat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4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5" fillId="50" borderId="0" applyNumberFormat="0" applyBorder="0" applyAlignment="0" applyProtection="0">
      <alignment vertical="center"/>
    </xf>
    <xf numFmtId="0" fontId="35" fillId="51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5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54" borderId="73" applyNumberFormat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4" fillId="56" borderId="74" applyNumberFormat="0" applyFont="0" applyAlignment="0" applyProtection="0">
      <alignment vertical="center"/>
    </xf>
    <xf numFmtId="0" fontId="39" fillId="0" borderId="75" applyNumberFormat="0" applyFill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41" fillId="57" borderId="76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7" applyNumberFormat="0" applyFill="0" applyAlignment="0" applyProtection="0">
      <alignment vertical="center"/>
    </xf>
    <xf numFmtId="0" fontId="44" fillId="0" borderId="78" applyNumberFormat="0" applyFill="0" applyAlignment="0" applyProtection="0">
      <alignment vertical="center"/>
    </xf>
    <xf numFmtId="0" fontId="45" fillId="0" borderId="7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80" applyNumberFormat="0" applyFill="0" applyAlignment="0" applyProtection="0">
      <alignment vertical="center"/>
    </xf>
    <xf numFmtId="0" fontId="47" fillId="57" borderId="81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1" borderId="76" applyNumberFormat="0" applyAlignment="0" applyProtection="0">
      <alignment vertical="center"/>
    </xf>
    <xf numFmtId="0" fontId="50" fillId="38" borderId="0" applyNumberFormat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7" fontId="5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186" fontId="5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4" fillId="63" borderId="0" applyNumberFormat="0" applyFont="0" applyBorder="0" applyAlignment="0" applyProtection="0">
      <alignment vertical="center"/>
    </xf>
    <xf numFmtId="189" fontId="54" fillId="0" borderId="0" applyNumberFormat="0" applyFill="0" applyBorder="0" applyAlignment="0" applyProtection="0">
      <alignment vertical="center"/>
    </xf>
    <xf numFmtId="0" fontId="65" fillId="62" borderId="0" applyBorder="0" applyProtection="0">
      <alignment horizontal="center" vertical="center"/>
    </xf>
    <xf numFmtId="188" fontId="54" fillId="0" borderId="0" applyFont="0" applyFill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64" fillId="61" borderId="0" applyBorder="0" applyProtection="0">
      <alignment vertical="center"/>
    </xf>
    <xf numFmtId="0" fontId="63" fillId="60" borderId="0" applyBorder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38">
    <xf numFmtId="0" fontId="0" fillId="0" borderId="0" xfId="0">
      <alignment vertical="center"/>
    </xf>
    <xf numFmtId="0" fontId="8" fillId="0" borderId="6" xfId="0" applyFont="1" applyFill="1" applyBorder="1" applyAlignment="1" applyProtection="1">
      <alignment horizontal="center" vertical="center"/>
    </xf>
    <xf numFmtId="49" fontId="8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7" xfId="0" applyFont="1" applyFill="1" applyBorder="1" applyAlignment="1" applyProtection="1">
      <alignment horizontal="center" vertical="center"/>
    </xf>
    <xf numFmtId="49" fontId="8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26" xfId="0" applyFont="1" applyFill="1" applyBorder="1" applyAlignment="1" applyProtection="1">
      <alignment horizontal="center" vertical="center"/>
    </xf>
    <xf numFmtId="182" fontId="8" fillId="0" borderId="22" xfId="0" applyNumberFormat="1" applyFont="1" applyFill="1" applyBorder="1" applyAlignment="1" applyProtection="1">
      <alignment horizontal="right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49" fontId="8" fillId="0" borderId="22" xfId="0" applyNumberFormat="1" applyFont="1" applyFill="1" applyBorder="1" applyAlignment="1" applyProtection="1">
      <alignment horizontal="center" vertical="center"/>
      <protection locked="0"/>
    </xf>
    <xf numFmtId="177" fontId="8" fillId="0" borderId="9" xfId="0" applyNumberFormat="1" applyFont="1" applyFill="1" applyBorder="1" applyAlignment="1" applyProtection="1">
      <alignment horizontal="center" vertical="center"/>
      <protection locked="0"/>
    </xf>
    <xf numFmtId="49" fontId="8" fillId="0" borderId="9" xfId="0" applyNumberFormat="1" applyFont="1" applyFill="1" applyBorder="1" applyAlignment="1" applyProtection="1">
      <alignment horizontal="center" vertical="center" shrinkToFit="1"/>
      <protection locked="0"/>
    </xf>
    <xf numFmtId="180" fontId="8" fillId="0" borderId="22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78" fontId="8" fillId="0" borderId="0" xfId="0" applyNumberFormat="1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49" fontId="8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49" fontId="8" fillId="0" borderId="0" xfId="0" applyNumberFormat="1" applyFont="1" applyFill="1" applyBorder="1" applyAlignment="1" applyProtection="1">
      <alignment vertical="center"/>
      <protection locked="0"/>
    </xf>
    <xf numFmtId="18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/>
      <protection locked="0"/>
    </xf>
    <xf numFmtId="177" fontId="8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>
      <alignment vertical="center"/>
    </xf>
    <xf numFmtId="184" fontId="8" fillId="0" borderId="59" xfId="0" applyNumberFormat="1" applyFont="1" applyFill="1" applyBorder="1" applyAlignment="1" applyProtection="1">
      <alignment horizontal="center" vertical="center"/>
      <protection locked="0"/>
    </xf>
    <xf numFmtId="179" fontId="9" fillId="0" borderId="57" xfId="0" applyNumberFormat="1" applyFont="1" applyFill="1" applyBorder="1" applyAlignment="1" applyProtection="1">
      <alignment horizontal="center" vertical="center"/>
    </xf>
    <xf numFmtId="179" fontId="9" fillId="0" borderId="58" xfId="0" applyNumberFormat="1" applyFont="1" applyFill="1" applyBorder="1" applyAlignment="1" applyProtection="1">
      <alignment horizontal="center" vertical="center"/>
    </xf>
    <xf numFmtId="181" fontId="8" fillId="0" borderId="54" xfId="0" applyNumberFormat="1" applyFont="1" applyFill="1" applyBorder="1" applyAlignment="1" applyProtection="1">
      <alignment horizontal="center" vertical="center"/>
      <protection locked="0"/>
    </xf>
    <xf numFmtId="181" fontId="8" fillId="0" borderId="50" xfId="0" applyNumberFormat="1" applyFont="1" applyFill="1" applyBorder="1" applyAlignment="1" applyProtection="1">
      <alignment horizontal="center" vertical="center"/>
      <protection locked="0"/>
    </xf>
    <xf numFmtId="179" fontId="8" fillId="0" borderId="49" xfId="0" applyNumberFormat="1" applyFont="1" applyFill="1" applyBorder="1" applyAlignment="1">
      <alignment horizontal="center" vertical="center"/>
    </xf>
    <xf numFmtId="0" fontId="8" fillId="0" borderId="49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left" vertical="center" indent="1"/>
    </xf>
    <xf numFmtId="0" fontId="8" fillId="0" borderId="1" xfId="0" applyFont="1" applyFill="1" applyBorder="1" applyAlignment="1">
      <alignment vertical="center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49" fontId="8" fillId="0" borderId="17" xfId="0" applyNumberFormat="1" applyFont="1" applyFill="1" applyBorder="1" applyAlignment="1" applyProtection="1">
      <alignment horizontal="center" vertical="center"/>
      <protection locked="0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7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>
      <alignment vertical="center"/>
    </xf>
    <xf numFmtId="0" fontId="8" fillId="0" borderId="7" xfId="0" applyNumberFormat="1" applyFont="1" applyFill="1" applyBorder="1" applyAlignment="1" applyProtection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179" fontId="8" fillId="0" borderId="53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26" xfId="0" applyNumberFormat="1" applyFont="1" applyFill="1" applyBorder="1" applyAlignment="1" applyProtection="1">
      <alignment horizontal="center" vertical="center"/>
    </xf>
    <xf numFmtId="0" fontId="51" fillId="0" borderId="41" xfId="0" applyFont="1" applyFill="1" applyBorder="1" applyAlignment="1">
      <alignment vertical="center" wrapText="1"/>
    </xf>
    <xf numFmtId="0" fontId="51" fillId="0" borderId="42" xfId="0" applyFont="1" applyFill="1" applyBorder="1" applyAlignment="1">
      <alignment vertical="center" wrapText="1"/>
    </xf>
    <xf numFmtId="0" fontId="51" fillId="0" borderId="43" xfId="0" applyFont="1" applyFill="1" applyBorder="1" applyAlignment="1">
      <alignment vertical="center" wrapText="1"/>
    </xf>
    <xf numFmtId="0" fontId="51" fillId="0" borderId="44" xfId="0" applyFont="1" applyFill="1" applyBorder="1" applyAlignment="1">
      <alignment vertical="center" wrapText="1"/>
    </xf>
    <xf numFmtId="0" fontId="51" fillId="0" borderId="0" xfId="0" applyFont="1" applyFill="1" applyBorder="1" applyAlignment="1">
      <alignment vertical="center" wrapText="1"/>
    </xf>
    <xf numFmtId="0" fontId="51" fillId="0" borderId="45" xfId="0" applyFont="1" applyFill="1" applyBorder="1" applyAlignment="1">
      <alignment vertical="center" wrapText="1"/>
    </xf>
    <xf numFmtId="0" fontId="51" fillId="0" borderId="46" xfId="0" applyFont="1" applyFill="1" applyBorder="1" applyAlignment="1">
      <alignment vertical="center" wrapText="1"/>
    </xf>
    <xf numFmtId="0" fontId="51" fillId="0" borderId="32" xfId="0" applyFont="1" applyFill="1" applyBorder="1" applyAlignment="1">
      <alignment vertical="center" wrapText="1"/>
    </xf>
    <xf numFmtId="0" fontId="51" fillId="0" borderId="33" xfId="0" applyFont="1" applyFill="1" applyBorder="1" applyAlignment="1">
      <alignment vertical="center" wrapText="1"/>
    </xf>
    <xf numFmtId="0" fontId="51" fillId="0" borderId="17" xfId="0" applyFont="1" applyFill="1" applyBorder="1" applyAlignment="1">
      <alignment horizontal="centerContinuous" vertical="center" wrapText="1" shrinkToFit="1"/>
    </xf>
    <xf numFmtId="0" fontId="51" fillId="0" borderId="27" xfId="0" applyFont="1" applyFill="1" applyBorder="1" applyAlignment="1">
      <alignment horizontal="centerContinuous" vertical="center" wrapText="1" shrinkToFit="1"/>
    </xf>
    <xf numFmtId="0" fontId="51" fillId="0" borderId="21" xfId="0" applyFont="1" applyFill="1" applyBorder="1" applyAlignment="1">
      <alignment horizontal="centerContinuous" vertical="center" wrapText="1" shrinkToFit="1"/>
    </xf>
    <xf numFmtId="0" fontId="8" fillId="0" borderId="9" xfId="0" applyFont="1" applyFill="1" applyBorder="1" applyAlignment="1">
      <alignment vertical="center"/>
    </xf>
    <xf numFmtId="0" fontId="57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55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3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55" fillId="0" borderId="0" xfId="0" applyFont="1" applyFill="1" applyAlignment="1">
      <alignment wrapText="1"/>
    </xf>
    <xf numFmtId="0" fontId="0" fillId="3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63" xfId="0" applyFont="1" applyFill="1" applyBorder="1" applyAlignment="1">
      <alignment vertical="center"/>
    </xf>
    <xf numFmtId="0" fontId="0" fillId="0" borderId="62" xfId="0" applyFont="1" applyFill="1" applyBorder="1" applyAlignment="1">
      <alignment vertical="center"/>
    </xf>
    <xf numFmtId="0" fontId="55" fillId="0" borderId="32" xfId="0" applyFont="1" applyFill="1" applyBorder="1" applyAlignment="1" applyProtection="1">
      <alignment vertical="center" shrinkToFit="1"/>
      <protection locked="0"/>
    </xf>
    <xf numFmtId="49" fontId="55" fillId="0" borderId="32" xfId="0" applyNumberFormat="1" applyFont="1" applyFill="1" applyBorder="1" applyAlignment="1" applyProtection="1">
      <alignment horizontal="center" vertical="center" shrinkToFit="1"/>
      <protection locked="0"/>
    </xf>
    <xf numFmtId="0" fontId="55" fillId="0" borderId="0" xfId="0" applyNumberFormat="1" applyFont="1" applyFill="1" applyAlignment="1" applyProtection="1">
      <alignment vertical="center" shrinkToFit="1"/>
      <protection locked="0"/>
    </xf>
    <xf numFmtId="49" fontId="55" fillId="0" borderId="0" xfId="0" applyNumberFormat="1" applyFont="1" applyFill="1" applyAlignment="1" applyProtection="1">
      <alignment vertical="center" shrinkToFit="1"/>
      <protection locked="0"/>
    </xf>
    <xf numFmtId="0" fontId="58" fillId="58" borderId="1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Protection="1">
      <alignment vertical="center"/>
      <protection locked="0"/>
    </xf>
    <xf numFmtId="0" fontId="55" fillId="0" borderId="0" xfId="0" applyFont="1" applyFill="1" applyProtection="1">
      <alignment vertical="center"/>
      <protection locked="0"/>
    </xf>
    <xf numFmtId="0" fontId="55" fillId="59" borderId="82" xfId="0" applyFont="1" applyFill="1" applyBorder="1" applyAlignment="1" applyProtection="1">
      <alignment horizontal="centerContinuous" vertical="center"/>
      <protection locked="0"/>
    </xf>
    <xf numFmtId="0" fontId="56" fillId="59" borderId="82" xfId="0" applyFont="1" applyFill="1" applyBorder="1" applyAlignment="1" applyProtection="1">
      <alignment horizontal="center" vertical="center"/>
      <protection locked="0"/>
    </xf>
    <xf numFmtId="0" fontId="55" fillId="0" borderId="1" xfId="0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0" fillId="3" borderId="1" xfId="0" applyFont="1" applyFill="1" applyBorder="1" applyAlignment="1">
      <alignment vertical="center" wrapText="1"/>
    </xf>
    <xf numFmtId="0" fontId="55" fillId="3" borderId="1" xfId="0" applyFont="1" applyFill="1" applyBorder="1" applyAlignment="1">
      <alignment vertical="center" wrapText="1"/>
    </xf>
    <xf numFmtId="0" fontId="55" fillId="0" borderId="1" xfId="0" applyFont="1" applyFill="1" applyBorder="1" applyAlignment="1" applyProtection="1">
      <alignment vertical="center" shrinkToFit="1"/>
      <protection locked="0"/>
    </xf>
    <xf numFmtId="179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55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</xf>
    <xf numFmtId="0" fontId="7" fillId="0" borderId="0" xfId="0" applyFont="1" applyFill="1" applyAlignment="1">
      <alignment horizontal="left" vertical="center"/>
    </xf>
    <xf numFmtId="0" fontId="56" fillId="0" borderId="0" xfId="0" applyFont="1" applyFill="1" applyAlignment="1" applyProtection="1">
      <alignment vertical="center"/>
      <protection locked="0"/>
    </xf>
    <xf numFmtId="0" fontId="56" fillId="0" borderId="0" xfId="0" applyFont="1" applyFill="1" applyAlignment="1">
      <alignment vertical="center"/>
    </xf>
    <xf numFmtId="0" fontId="55" fillId="0" borderId="82" xfId="0" applyFont="1" applyBorder="1" applyAlignment="1" applyProtection="1">
      <alignment horizontal="center" vertical="center"/>
      <protection locked="0"/>
    </xf>
    <xf numFmtId="0" fontId="55" fillId="0" borderId="82" xfId="0" applyFont="1" applyBorder="1" applyProtection="1">
      <alignment vertical="center"/>
      <protection locked="0"/>
    </xf>
    <xf numFmtId="0" fontId="55" fillId="0" borderId="83" xfId="0" applyFont="1" applyBorder="1" applyAlignment="1" applyProtection="1">
      <alignment horizontal="center" vertical="center"/>
      <protection locked="0"/>
    </xf>
    <xf numFmtId="0" fontId="55" fillId="0" borderId="83" xfId="0" applyFont="1" applyBorder="1" applyProtection="1">
      <alignment vertical="center"/>
      <protection locked="0"/>
    </xf>
    <xf numFmtId="0" fontId="0" fillId="0" borderId="82" xfId="0" applyBorder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alignment vertical="center"/>
      <protection locked="0"/>
    </xf>
    <xf numFmtId="0" fontId="8" fillId="0" borderId="0" xfId="0" applyFont="1" applyFill="1" applyAlignment="1" applyProtection="1">
      <alignment vertical="center" shrinkToFit="1"/>
    </xf>
    <xf numFmtId="0" fontId="65" fillId="62" borderId="8" xfId="101" applyBorder="1" applyProtection="1">
      <alignment horizontal="center" vertical="center"/>
    </xf>
    <xf numFmtId="0" fontId="65" fillId="62" borderId="9" xfId="101" applyBorder="1" applyProtection="1">
      <alignment horizontal="center" vertical="center"/>
    </xf>
    <xf numFmtId="0" fontId="65" fillId="62" borderId="20" xfId="101" applyBorder="1" applyProtection="1">
      <alignment horizontal="center" vertical="center"/>
    </xf>
    <xf numFmtId="0" fontId="65" fillId="62" borderId="60" xfId="101" applyBorder="1">
      <alignment horizontal="center" vertical="center"/>
    </xf>
    <xf numFmtId="0" fontId="65" fillId="62" borderId="61" xfId="101" applyBorder="1">
      <alignment horizontal="center" vertical="center"/>
    </xf>
    <xf numFmtId="0" fontId="65" fillId="62" borderId="2" xfId="101" applyBorder="1" applyProtection="1">
      <alignment horizontal="center" vertical="center"/>
    </xf>
    <xf numFmtId="0" fontId="65" fillId="62" borderId="4" xfId="101" applyBorder="1" applyProtection="1">
      <alignment horizontal="center" vertical="center"/>
    </xf>
    <xf numFmtId="0" fontId="65" fillId="62" borderId="4" xfId="101" applyBorder="1">
      <alignment horizontal="center" vertical="center"/>
    </xf>
    <xf numFmtId="0" fontId="65" fillId="62" borderId="6" xfId="101" applyBorder="1" applyAlignment="1" applyProtection="1">
      <alignment horizontal="centerContinuous" vertical="center"/>
      <protection locked="0"/>
    </xf>
    <xf numFmtId="0" fontId="65" fillId="62" borderId="8" xfId="101" applyBorder="1" applyAlignment="1" applyProtection="1">
      <alignment horizontal="centerContinuous" vertical="center"/>
      <protection locked="0"/>
    </xf>
    <xf numFmtId="0" fontId="65" fillId="62" borderId="18" xfId="101" applyBorder="1" applyAlignment="1" applyProtection="1">
      <alignment horizontal="centerContinuous" vertical="center"/>
      <protection locked="0"/>
    </xf>
    <xf numFmtId="0" fontId="65" fillId="62" borderId="86" xfId="101" applyBorder="1" applyProtection="1">
      <alignment horizontal="center" vertical="center"/>
      <protection locked="0"/>
    </xf>
    <xf numFmtId="0" fontId="65" fillId="62" borderId="62" xfId="101" applyBorder="1" applyProtection="1">
      <alignment horizontal="center" vertical="center"/>
      <protection locked="0"/>
    </xf>
    <xf numFmtId="0" fontId="65" fillId="62" borderId="87" xfId="101" applyBorder="1" applyProtection="1">
      <alignment horizontal="center" vertical="center"/>
      <protection locked="0"/>
    </xf>
    <xf numFmtId="0" fontId="56" fillId="0" borderId="88" xfId="0" applyFont="1" applyFill="1" applyBorder="1" applyAlignment="1" applyProtection="1">
      <alignment horizontal="left" vertical="center"/>
      <protection locked="0"/>
    </xf>
    <xf numFmtId="0" fontId="56" fillId="0" borderId="85" xfId="0" applyFont="1" applyFill="1" applyBorder="1" applyAlignment="1" applyProtection="1">
      <alignment horizontal="left" vertical="center"/>
      <protection locked="0"/>
    </xf>
    <xf numFmtId="0" fontId="0" fillId="0" borderId="85" xfId="0" applyFont="1" applyFill="1" applyBorder="1" applyAlignment="1" applyProtection="1">
      <alignment vertical="center"/>
      <protection locked="0"/>
    </xf>
    <xf numFmtId="0" fontId="0" fillId="0" borderId="89" xfId="0" applyFont="1" applyFill="1" applyBorder="1" applyAlignment="1">
      <alignment vertical="center"/>
    </xf>
    <xf numFmtId="0" fontId="0" fillId="0" borderId="85" xfId="0" applyFont="1" applyFill="1" applyBorder="1" applyAlignment="1">
      <alignment vertical="center"/>
    </xf>
    <xf numFmtId="0" fontId="0" fillId="0" borderId="85" xfId="0" applyBorder="1">
      <alignment vertical="center"/>
    </xf>
    <xf numFmtId="0" fontId="0" fillId="0" borderId="89" xfId="0" applyBorder="1">
      <alignment vertical="center"/>
    </xf>
    <xf numFmtId="0" fontId="65" fillId="62" borderId="90" xfId="101" applyBorder="1" applyProtection="1">
      <alignment horizontal="center" vertical="center"/>
      <protection locked="0"/>
    </xf>
    <xf numFmtId="0" fontId="55" fillId="0" borderId="91" xfId="0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91" xfId="0" applyFont="1" applyFill="1" applyBorder="1" applyAlignment="1" applyProtection="1">
      <alignment vertical="center" wrapText="1" shrinkToFit="1"/>
      <protection locked="0"/>
    </xf>
    <xf numFmtId="0" fontId="55" fillId="0" borderId="92" xfId="0" applyFont="1" applyFill="1" applyBorder="1" applyAlignment="1" applyProtection="1">
      <alignment vertical="center" shrinkToFit="1"/>
      <protection locked="0"/>
    </xf>
    <xf numFmtId="49" fontId="55" fillId="0" borderId="92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 shrinkToFit="1"/>
      <protection locked="0"/>
    </xf>
    <xf numFmtId="49" fontId="5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65" fillId="62" borderId="88" xfId="101" applyBorder="1" applyProtection="1">
      <alignment horizontal="center" vertical="center"/>
      <protection locked="0"/>
    </xf>
    <xf numFmtId="0" fontId="55" fillId="0" borderId="85" xfId="0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5" xfId="0" applyFont="1" applyFill="1" applyBorder="1" applyAlignment="1" applyProtection="1">
      <alignment vertical="center" wrapText="1" shrinkToFit="1"/>
      <protection locked="0"/>
    </xf>
    <xf numFmtId="0" fontId="55" fillId="0" borderId="85" xfId="0" applyFont="1" applyFill="1" applyBorder="1" applyAlignment="1">
      <alignment vertical="center" shrinkToFit="1"/>
    </xf>
    <xf numFmtId="0" fontId="55" fillId="0" borderId="89" xfId="0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vertical="center" shrinkToFit="1"/>
      <protection locked="0"/>
    </xf>
    <xf numFmtId="0" fontId="55" fillId="59" borderId="91" xfId="0" applyFont="1" applyFill="1" applyBorder="1" applyAlignment="1" applyProtection="1">
      <alignment vertical="center"/>
      <protection locked="0"/>
    </xf>
    <xf numFmtId="0" fontId="55" fillId="0" borderId="0" xfId="0" applyNumberFormat="1" applyFont="1" applyFill="1" applyAlignment="1" applyProtection="1">
      <alignment horizontal="center" vertical="center" shrinkToFit="1"/>
      <protection locked="0"/>
    </xf>
    <xf numFmtId="49" fontId="55" fillId="0" borderId="0" xfId="0" applyNumberFormat="1" applyFont="1" applyFill="1" applyAlignment="1" applyProtection="1">
      <alignment horizontal="center" vertical="center" shrinkToFit="1"/>
      <protection locked="0"/>
    </xf>
    <xf numFmtId="0" fontId="7" fillId="0" borderId="0" xfId="0" applyFont="1" applyFill="1" applyAlignment="1" applyProtection="1">
      <alignment vertical="center" shrinkToFit="1"/>
    </xf>
    <xf numFmtId="0" fontId="56" fillId="0" borderId="85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182" fontId="8" fillId="0" borderId="0" xfId="0" applyNumberFormat="1" applyFont="1" applyFill="1" applyBorder="1" applyAlignment="1" applyProtection="1">
      <alignment horizontal="right" vertical="center"/>
      <protection locked="0"/>
    </xf>
    <xf numFmtId="179" fontId="55" fillId="0" borderId="85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/>
      <protection locked="0"/>
    </xf>
    <xf numFmtId="49" fontId="8" fillId="0" borderId="22" xfId="0" applyNumberFormat="1" applyFont="1" applyFill="1" applyBorder="1" applyAlignment="1" applyProtection="1">
      <alignment horizontal="left" vertical="center"/>
      <protection locked="0"/>
    </xf>
    <xf numFmtId="49" fontId="8" fillId="0" borderId="24" xfId="0" applyNumberFormat="1" applyFont="1" applyFill="1" applyBorder="1" applyAlignment="1" applyProtection="1">
      <alignment horizontal="left" vertical="center"/>
      <protection locked="0"/>
    </xf>
    <xf numFmtId="0" fontId="65" fillId="62" borderId="3" xfId="101" applyBorder="1">
      <alignment horizontal="center" vertical="center"/>
    </xf>
    <xf numFmtId="0" fontId="65" fillId="62" borderId="3" xfId="101" applyBorder="1" applyProtection="1">
      <alignment horizontal="center" vertical="center"/>
    </xf>
    <xf numFmtId="49" fontId="8" fillId="0" borderId="24" xfId="0" applyNumberFormat="1" applyFont="1" applyFill="1" applyBorder="1" applyAlignment="1" applyProtection="1">
      <alignment vertical="center"/>
      <protection locked="0"/>
    </xf>
    <xf numFmtId="49" fontId="8" fillId="0" borderId="17" xfId="0" applyNumberFormat="1" applyFont="1" applyFill="1" applyBorder="1" applyAlignment="1" applyProtection="1">
      <alignment horizontal="left" vertical="center"/>
      <protection locked="0"/>
    </xf>
    <xf numFmtId="0" fontId="8" fillId="0" borderId="21" xfId="0" applyFont="1" applyBorder="1" applyAlignment="1">
      <alignment vertical="center"/>
    </xf>
    <xf numFmtId="0" fontId="8" fillId="0" borderId="17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49" fontId="8" fillId="0" borderId="17" xfId="0" applyNumberFormat="1" applyFont="1" applyFill="1" applyBorder="1" applyAlignment="1" applyProtection="1">
      <alignment vertical="center"/>
      <protection locked="0"/>
    </xf>
    <xf numFmtId="0" fontId="65" fillId="62" borderId="25" xfId="101" applyBorder="1" applyProtection="1">
      <alignment horizontal="center" vertical="center"/>
    </xf>
    <xf numFmtId="0" fontId="65" fillId="62" borderId="23" xfId="101" applyBorder="1" applyProtection="1">
      <alignment horizontal="center" vertical="center"/>
    </xf>
    <xf numFmtId="0" fontId="8" fillId="0" borderId="24" xfId="0" applyFont="1" applyFill="1" applyBorder="1" applyAlignment="1" applyProtection="1">
      <alignment vertical="center"/>
      <protection locked="0"/>
    </xf>
    <xf numFmtId="0" fontId="8" fillId="0" borderId="35" xfId="0" applyFont="1" applyFill="1" applyBorder="1" applyAlignment="1" applyProtection="1">
      <alignment vertical="center"/>
      <protection locked="0"/>
    </xf>
    <xf numFmtId="0" fontId="8" fillId="0" borderId="36" xfId="0" applyFont="1" applyFill="1" applyBorder="1" applyAlignment="1" applyProtection="1">
      <alignment vertical="center"/>
      <protection locked="0"/>
    </xf>
    <xf numFmtId="0" fontId="8" fillId="0" borderId="25" xfId="0" applyFont="1" applyFill="1" applyBorder="1" applyAlignment="1" applyProtection="1">
      <alignment horizontal="center" vertical="center" shrinkToFit="1"/>
      <protection locked="0"/>
    </xf>
    <xf numFmtId="0" fontId="8" fillId="0" borderId="25" xfId="0" applyFont="1" applyBorder="1" applyAlignment="1">
      <alignment vertical="center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29" xfId="0" applyFont="1" applyFill="1" applyBorder="1" applyAlignment="1" applyProtection="1">
      <alignment vertical="center"/>
      <protection locked="0"/>
    </xf>
    <xf numFmtId="0" fontId="8" fillId="0" borderId="30" xfId="0" applyFont="1" applyFill="1" applyBorder="1" applyAlignment="1" applyProtection="1">
      <alignment vertical="center"/>
      <protection locked="0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0" fontId="8" fillId="0" borderId="23" xfId="0" applyFont="1" applyBorder="1" applyAlignment="1">
      <alignment vertical="center"/>
    </xf>
    <xf numFmtId="14" fontId="8" fillId="0" borderId="22" xfId="0" applyNumberFormat="1" applyFont="1" applyFill="1" applyBorder="1" applyAlignment="1" applyProtection="1">
      <alignment horizontal="center" vertical="center"/>
    </xf>
    <xf numFmtId="14" fontId="8" fillId="0" borderId="24" xfId="0" quotePrefix="1" applyNumberFormat="1" applyFont="1" applyFill="1" applyBorder="1" applyAlignment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</xf>
    <xf numFmtId="0" fontId="65" fillId="62" borderId="38" xfId="101" applyBorder="1" applyProtection="1">
      <alignment horizontal="center" vertical="center"/>
    </xf>
    <xf numFmtId="0" fontId="65" fillId="62" borderId="3" xfId="101" applyBorder="1" applyProtection="1">
      <alignment horizontal="center" vertical="center"/>
    </xf>
    <xf numFmtId="0" fontId="65" fillId="62" borderId="39" xfId="101" applyBorder="1" applyProtection="1">
      <alignment horizontal="center" vertical="center"/>
    </xf>
    <xf numFmtId="0" fontId="65" fillId="62" borderId="37" xfId="101" applyBorder="1" applyProtection="1">
      <alignment horizontal="center" vertical="center"/>
    </xf>
    <xf numFmtId="0" fontId="65" fillId="62" borderId="3" xfId="101" applyBorder="1">
      <alignment horizontal="center" vertical="center"/>
    </xf>
    <xf numFmtId="0" fontId="65" fillId="62" borderId="34" xfId="101" applyBorder="1">
      <alignment horizontal="center" vertical="center"/>
    </xf>
    <xf numFmtId="0" fontId="33" fillId="0" borderId="17" xfId="0" applyNumberFormat="1" applyFont="1" applyFill="1" applyBorder="1" applyAlignment="1" applyProtection="1">
      <alignment vertical="center"/>
      <protection locked="0"/>
    </xf>
    <xf numFmtId="0" fontId="61" fillId="0" borderId="27" xfId="0" applyNumberFormat="1" applyFont="1" applyFill="1" applyBorder="1" applyAlignment="1" applyProtection="1">
      <alignment vertical="center"/>
      <protection locked="0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33" fillId="0" borderId="17" xfId="110" applyNumberFormat="1" applyFont="1" applyFill="1" applyBorder="1" applyAlignment="1" applyProtection="1">
      <alignment vertical="center"/>
      <protection locked="0"/>
    </xf>
    <xf numFmtId="0" fontId="12" fillId="0" borderId="27" xfId="110" applyNumberFormat="1" applyFill="1" applyBorder="1" applyAlignment="1" applyProtection="1">
      <alignment vertical="center"/>
      <protection locked="0"/>
    </xf>
    <xf numFmtId="0" fontId="8" fillId="0" borderId="27" xfId="0" applyNumberFormat="1" applyFont="1" applyFill="1" applyBorder="1" applyAlignment="1" applyProtection="1">
      <alignment vertical="center"/>
      <protection locked="0"/>
    </xf>
    <xf numFmtId="0" fontId="33" fillId="0" borderId="22" xfId="0" applyNumberFormat="1" applyFont="1" applyFill="1" applyBorder="1" applyAlignment="1" applyProtection="1">
      <alignment vertical="center"/>
      <protection locked="0"/>
    </xf>
    <xf numFmtId="0" fontId="33" fillId="0" borderId="29" xfId="0" applyNumberFormat="1" applyFont="1" applyFill="1" applyBorder="1" applyAlignment="1" applyProtection="1">
      <alignment vertical="center"/>
      <protection locked="0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63" xfId="0" applyFont="1" applyFill="1" applyBorder="1">
      <alignment vertical="center"/>
    </xf>
    <xf numFmtId="0" fontId="8" fillId="0" borderId="9" xfId="0" applyNumberFormat="1" applyFont="1" applyFill="1" applyBorder="1" applyAlignment="1" applyProtection="1">
      <alignment horizontal="left" vertical="center"/>
      <protection locked="0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65" fillId="62" borderId="3" xfId="101" applyBorder="1">
      <alignment horizontal="center" vertical="center"/>
    </xf>
    <xf numFmtId="0" fontId="65" fillId="62" borderId="34" xfId="101" applyBorder="1">
      <alignment horizontal="center" vertical="center"/>
    </xf>
    <xf numFmtId="0" fontId="65" fillId="62" borderId="23" xfId="101" applyBorder="1" applyProtection="1">
      <alignment horizontal="center" vertical="center"/>
    </xf>
    <xf numFmtId="0" fontId="65" fillId="62" borderId="25" xfId="101" applyBorder="1" applyProtection="1">
      <alignment horizontal="center" vertical="center"/>
    </xf>
    <xf numFmtId="0" fontId="65" fillId="62" borderId="3" xfId="101" applyBorder="1" applyProtection="1">
      <alignment horizontal="center" vertical="center"/>
    </xf>
    <xf numFmtId="0" fontId="8" fillId="0" borderId="17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29" xfId="0" applyFont="1" applyFill="1" applyBorder="1" applyAlignment="1" applyProtection="1">
      <alignment vertical="center"/>
      <protection locked="0"/>
    </xf>
    <xf numFmtId="0" fontId="8" fillId="0" borderId="30" xfId="0" applyFont="1" applyFill="1" applyBorder="1" applyAlignment="1" applyProtection="1">
      <alignment vertical="center"/>
      <protection locked="0"/>
    </xf>
    <xf numFmtId="0" fontId="8" fillId="0" borderId="24" xfId="0" applyFont="1" applyFill="1" applyBorder="1" applyAlignment="1" applyProtection="1">
      <alignment vertical="center"/>
      <protection locked="0"/>
    </xf>
    <xf numFmtId="0" fontId="8" fillId="0" borderId="35" xfId="0" applyFont="1" applyFill="1" applyBorder="1" applyAlignment="1" applyProtection="1">
      <alignment vertical="center"/>
      <protection locked="0"/>
    </xf>
    <xf numFmtId="0" fontId="8" fillId="0" borderId="36" xfId="0" applyFont="1" applyFill="1" applyBorder="1" applyAlignment="1" applyProtection="1">
      <alignment vertical="center"/>
      <protection locked="0"/>
    </xf>
    <xf numFmtId="14" fontId="55" fillId="0" borderId="0" xfId="0" applyNumberFormat="1" applyFont="1" applyFill="1" applyProtection="1">
      <alignment vertical="center"/>
      <protection locked="0"/>
    </xf>
    <xf numFmtId="0" fontId="8" fillId="0" borderId="17" xfId="0" applyFont="1" applyFill="1" applyBorder="1" applyAlignment="1" applyProtection="1">
      <alignment vertical="center" wrapText="1"/>
      <protection locked="0"/>
    </xf>
    <xf numFmtId="0" fontId="66" fillId="62" borderId="5" xfId="101" applyFont="1" applyBorder="1" applyProtection="1">
      <alignment horizontal="center" vertical="center"/>
      <protection locked="0"/>
    </xf>
    <xf numFmtId="0" fontId="66" fillId="62" borderId="15" xfId="101" applyFont="1" applyBorder="1" applyProtection="1">
      <alignment horizontal="center" vertical="center"/>
      <protection locked="0"/>
    </xf>
    <xf numFmtId="0" fontId="65" fillId="62" borderId="3" xfId="101" applyBorder="1" applyProtection="1">
      <alignment horizontal="center" vertical="center"/>
    </xf>
    <xf numFmtId="0" fontId="8" fillId="0" borderId="23" xfId="0" applyFont="1" applyFill="1" applyBorder="1" applyAlignment="1">
      <alignment vertical="center"/>
    </xf>
    <xf numFmtId="0" fontId="65" fillId="62" borderId="34" xfId="101" applyBorder="1">
      <alignment horizontal="center" vertical="center"/>
    </xf>
    <xf numFmtId="0" fontId="8" fillId="0" borderId="21" xfId="0" applyFont="1" applyFill="1" applyBorder="1" applyAlignment="1">
      <alignment vertical="center"/>
    </xf>
    <xf numFmtId="0" fontId="0" fillId="3" borderId="17" xfId="0" applyFont="1" applyFill="1" applyBorder="1" applyAlignment="1">
      <alignment vertical="center"/>
    </xf>
    <xf numFmtId="0" fontId="0" fillId="3" borderId="21" xfId="0" applyFont="1" applyFill="1" applyBorder="1" applyAlignment="1">
      <alignment vertical="center"/>
    </xf>
    <xf numFmtId="0" fontId="8" fillId="0" borderId="22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0" fontId="8" fillId="0" borderId="24" xfId="0" applyFont="1" applyFill="1" applyBorder="1" applyAlignment="1">
      <alignment vertical="center"/>
    </xf>
    <xf numFmtId="0" fontId="8" fillId="0" borderId="25" xfId="0" applyFont="1" applyFill="1" applyBorder="1" applyAlignment="1">
      <alignment vertical="center"/>
    </xf>
    <xf numFmtId="0" fontId="65" fillId="62" borderId="3" xfId="101" applyBorder="1">
      <alignment horizontal="center" vertical="center"/>
    </xf>
    <xf numFmtId="0" fontId="65" fillId="62" borderId="34" xfId="101" applyBorder="1">
      <alignment horizontal="center" vertical="center"/>
    </xf>
    <xf numFmtId="0" fontId="8" fillId="0" borderId="17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65" fillId="62" borderId="39" xfId="101" applyBorder="1">
      <alignment horizontal="center" vertical="center"/>
    </xf>
    <xf numFmtId="0" fontId="8" fillId="0" borderId="35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/>
    </xf>
    <xf numFmtId="0" fontId="8" fillId="0" borderId="29" xfId="0" applyFont="1" applyFill="1" applyBorder="1" applyAlignment="1">
      <alignment vertical="center"/>
    </xf>
    <xf numFmtId="0" fontId="8" fillId="0" borderId="46" xfId="0" applyFont="1" applyBorder="1" applyAlignment="1">
      <alignment vertical="center"/>
    </xf>
    <xf numFmtId="0" fontId="8" fillId="0" borderId="32" xfId="0" applyFont="1" applyBorder="1" applyAlignment="1">
      <alignment vertical="center"/>
    </xf>
    <xf numFmtId="0" fontId="8" fillId="0" borderId="84" xfId="0" applyFont="1" applyBorder="1" applyAlignment="1">
      <alignment vertical="center"/>
    </xf>
    <xf numFmtId="0" fontId="65" fillId="62" borderId="40" xfId="101" applyBorder="1">
      <alignment horizontal="center" vertical="center"/>
    </xf>
    <xf numFmtId="0" fontId="8" fillId="0" borderId="22" xfId="0" applyNumberFormat="1" applyFont="1" applyFill="1" applyBorder="1" applyAlignment="1" applyProtection="1">
      <alignment horizontal="center" vertical="center"/>
    </xf>
    <xf numFmtId="0" fontId="8" fillId="0" borderId="23" xfId="0" applyNumberFormat="1" applyFont="1" applyFill="1" applyBorder="1" applyAlignment="1" applyProtection="1">
      <alignment horizontal="center" vertical="center"/>
    </xf>
    <xf numFmtId="0" fontId="65" fillId="62" borderId="37" xfId="101" applyBorder="1" applyProtection="1">
      <alignment horizontal="center" vertical="center"/>
    </xf>
    <xf numFmtId="0" fontId="65" fillId="62" borderId="23" xfId="101" applyBorder="1" applyProtection="1">
      <alignment horizontal="center" vertical="center"/>
    </xf>
    <xf numFmtId="176" fontId="8" fillId="0" borderId="22" xfId="0" applyNumberFormat="1" applyFont="1" applyFill="1" applyBorder="1" applyAlignment="1" applyProtection="1">
      <alignment horizontal="center" vertical="center"/>
    </xf>
    <xf numFmtId="176" fontId="8" fillId="0" borderId="30" xfId="0" applyNumberFormat="1" applyFont="1" applyFill="1" applyBorder="1" applyAlignment="1" applyProtection="1">
      <alignment horizontal="center" vertical="center"/>
    </xf>
    <xf numFmtId="0" fontId="8" fillId="0" borderId="39" xfId="0" applyFont="1" applyFill="1" applyBorder="1" applyAlignment="1" applyProtection="1">
      <alignment vertical="center"/>
    </xf>
    <xf numFmtId="179" fontId="8" fillId="0" borderId="24" xfId="0" applyNumberFormat="1" applyFont="1" applyFill="1" applyBorder="1" applyAlignment="1" applyProtection="1">
      <alignment horizontal="center" vertical="center"/>
    </xf>
    <xf numFmtId="179" fontId="8" fillId="0" borderId="36" xfId="0" applyNumberFormat="1" applyFont="1" applyFill="1" applyBorder="1" applyAlignment="1" applyProtection="1">
      <alignment horizontal="center" vertical="center"/>
    </xf>
    <xf numFmtId="179" fontId="8" fillId="0" borderId="22" xfId="0" applyNumberFormat="1" applyFont="1" applyFill="1" applyBorder="1" applyAlignment="1" applyProtection="1">
      <alignment horizontal="center" vertical="center"/>
    </xf>
    <xf numFmtId="179" fontId="8" fillId="0" borderId="30" xfId="0" applyNumberFormat="1" applyFont="1" applyFill="1" applyBorder="1" applyAlignment="1" applyProtection="1">
      <alignment horizontal="center" vertical="center"/>
    </xf>
    <xf numFmtId="14" fontId="8" fillId="0" borderId="22" xfId="0" applyNumberFormat="1" applyFont="1" applyFill="1" applyBorder="1" applyAlignment="1" applyProtection="1">
      <alignment horizontal="center" vertical="center"/>
    </xf>
    <xf numFmtId="14" fontId="8" fillId="0" borderId="23" xfId="0" applyNumberFormat="1" applyFont="1" applyFill="1" applyBorder="1" applyAlignment="1" applyProtection="1">
      <alignment horizontal="center" vertical="center"/>
    </xf>
    <xf numFmtId="14" fontId="8" fillId="0" borderId="24" xfId="0" quotePrefix="1" applyNumberFormat="1" applyFont="1" applyFill="1" applyBorder="1" applyAlignment="1" applyProtection="1">
      <alignment horizontal="center" vertical="center"/>
    </xf>
    <xf numFmtId="14" fontId="8" fillId="0" borderId="25" xfId="0" quotePrefix="1" applyNumberFormat="1" applyFont="1" applyFill="1" applyBorder="1" applyAlignment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8" fillId="0" borderId="25" xfId="0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</xf>
    <xf numFmtId="0" fontId="8" fillId="0" borderId="29" xfId="0" applyFont="1" applyFill="1" applyBorder="1" applyAlignment="1" applyProtection="1">
      <alignment horizontal="center" vertical="center"/>
    </xf>
    <xf numFmtId="0" fontId="8" fillId="0" borderId="23" xfId="0" applyFont="1" applyFill="1" applyBorder="1" applyAlignment="1" applyProtection="1">
      <alignment horizontal="center" vertical="center"/>
    </xf>
    <xf numFmtId="0" fontId="66" fillId="62" borderId="10" xfId="101" applyFont="1" applyBorder="1" applyProtection="1">
      <alignment horizontal="center" vertical="center"/>
      <protection locked="0"/>
    </xf>
    <xf numFmtId="0" fontId="66" fillId="62" borderId="5" xfId="101" applyFont="1" applyBorder="1" applyProtection="1">
      <alignment horizontal="center" vertical="center"/>
      <protection locked="0"/>
    </xf>
    <xf numFmtId="0" fontId="66" fillId="62" borderId="11" xfId="101" applyFont="1" applyBorder="1" applyProtection="1">
      <alignment horizontal="center" vertical="center"/>
      <protection locked="0"/>
    </xf>
    <xf numFmtId="0" fontId="66" fillId="62" borderId="14" xfId="101" applyFont="1" applyBorder="1" applyProtection="1">
      <alignment horizontal="center" vertical="center"/>
      <protection locked="0"/>
    </xf>
    <xf numFmtId="0" fontId="66" fillId="62" borderId="15" xfId="101" applyFont="1" applyBorder="1" applyProtection="1">
      <alignment horizontal="center" vertical="center"/>
      <protection locked="0"/>
    </xf>
    <xf numFmtId="0" fontId="66" fillId="62" borderId="16" xfId="101" applyFont="1" applyBorder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36" xfId="0" applyFont="1" applyFill="1" applyBorder="1" applyAlignment="1" applyProtection="1">
      <alignment horizontal="center" vertical="center"/>
      <protection locked="0"/>
    </xf>
    <xf numFmtId="0" fontId="65" fillId="62" borderId="38" xfId="101" applyBorder="1" applyProtection="1">
      <alignment horizontal="center" vertical="center"/>
    </xf>
    <xf numFmtId="0" fontId="65" fillId="62" borderId="25" xfId="101" applyBorder="1" applyProtection="1">
      <alignment horizontal="center" vertical="center"/>
    </xf>
    <xf numFmtId="0" fontId="8" fillId="0" borderId="29" xfId="0" applyFont="1" applyFill="1" applyBorder="1" applyAlignment="1" applyProtection="1">
      <alignment vertical="center"/>
    </xf>
    <xf numFmtId="0" fontId="8" fillId="0" borderId="23" xfId="0" applyFont="1" applyFill="1" applyBorder="1" applyAlignment="1" applyProtection="1">
      <alignment vertical="center"/>
    </xf>
    <xf numFmtId="0" fontId="8" fillId="0" borderId="24" xfId="0" applyNumberFormat="1" applyFont="1" applyFill="1" applyBorder="1" applyAlignment="1" applyProtection="1">
      <alignment horizontal="center" vertical="center" shrinkToFit="1"/>
    </xf>
    <xf numFmtId="0" fontId="8" fillId="0" borderId="25" xfId="0" applyNumberFormat="1" applyFont="1" applyFill="1" applyBorder="1" applyAlignment="1" applyProtection="1">
      <alignment horizontal="center" vertical="center" shrinkToFit="1"/>
    </xf>
    <xf numFmtId="0" fontId="65" fillId="62" borderId="3" xfId="101" applyBorder="1" applyProtection="1">
      <alignment horizontal="center" vertical="center"/>
    </xf>
    <xf numFmtId="0" fontId="65" fillId="62" borderId="39" xfId="101" applyBorder="1" applyProtection="1">
      <alignment horizontal="center" vertical="center"/>
    </xf>
    <xf numFmtId="0" fontId="65" fillId="62" borderId="40" xfId="101" applyBorder="1" applyProtection="1">
      <alignment horizontal="center" vertical="center"/>
    </xf>
    <xf numFmtId="0" fontId="10" fillId="0" borderId="0" xfId="0" applyNumberFormat="1" applyFont="1" applyFill="1" applyAlignment="1" applyProtection="1">
      <alignment horizontal="left" vertical="center"/>
    </xf>
    <xf numFmtId="183" fontId="8" fillId="0" borderId="0" xfId="0" applyNumberFormat="1" applyFont="1" applyFill="1" applyAlignment="1">
      <alignment horizontal="center" vertical="center"/>
    </xf>
    <xf numFmtId="0" fontId="11" fillId="35" borderId="0" xfId="0" applyNumberFormat="1" applyFont="1" applyFill="1" applyAlignment="1" applyProtection="1">
      <alignment horizontal="left" vertical="center" indent="4"/>
    </xf>
    <xf numFmtId="31" fontId="8" fillId="0" borderId="0" xfId="0" applyNumberFormat="1" applyFont="1" applyFill="1" applyAlignment="1">
      <alignment horizontal="center" vertical="center"/>
    </xf>
    <xf numFmtId="0" fontId="8" fillId="0" borderId="17" xfId="0" applyNumberFormat="1" applyFont="1" applyFill="1" applyBorder="1" applyAlignment="1" applyProtection="1">
      <alignment vertical="center" shrinkToFit="1"/>
      <protection locked="0"/>
    </xf>
    <xf numFmtId="0" fontId="8" fillId="0" borderId="27" xfId="0" applyNumberFormat="1" applyFont="1" applyFill="1" applyBorder="1" applyAlignment="1" applyProtection="1">
      <alignment vertical="center" shrinkToFit="1"/>
      <protection locked="0"/>
    </xf>
    <xf numFmtId="0" fontId="8" fillId="0" borderId="28" xfId="0" applyNumberFormat="1" applyFont="1" applyFill="1" applyBorder="1" applyAlignment="1" applyProtection="1">
      <alignment vertical="center" shrinkToFit="1"/>
      <protection locked="0"/>
    </xf>
    <xf numFmtId="0" fontId="12" fillId="0" borderId="17" xfId="110" applyNumberFormat="1" applyFill="1" applyBorder="1" applyAlignment="1" applyProtection="1">
      <alignment vertical="center" shrinkToFit="1"/>
      <protection locked="0"/>
    </xf>
    <xf numFmtId="0" fontId="12" fillId="0" borderId="27" xfId="110" applyNumberFormat="1" applyFill="1" applyBorder="1" applyAlignment="1" applyProtection="1">
      <alignment vertical="center" shrinkToFit="1"/>
      <protection locked="0"/>
    </xf>
    <xf numFmtId="0" fontId="33" fillId="0" borderId="27" xfId="110" applyNumberFormat="1" applyFont="1" applyFill="1" applyBorder="1" applyAlignment="1" applyProtection="1">
      <alignment vertical="center" shrinkToFit="1"/>
      <protection locked="0"/>
    </xf>
    <xf numFmtId="0" fontId="12" fillId="0" borderId="28" xfId="110" applyNumberFormat="1" applyFill="1" applyBorder="1" applyAlignment="1" applyProtection="1">
      <alignment vertical="center" shrinkToFit="1"/>
      <protection locked="0"/>
    </xf>
    <xf numFmtId="0" fontId="8" fillId="0" borderId="22" xfId="0" applyNumberFormat="1" applyFont="1" applyFill="1" applyBorder="1" applyAlignment="1" applyProtection="1">
      <alignment vertical="center" shrinkToFit="1"/>
      <protection locked="0"/>
    </xf>
    <xf numFmtId="0" fontId="8" fillId="0" borderId="29" xfId="0" applyNumberFormat="1" applyFont="1" applyFill="1" applyBorder="1" applyAlignment="1" applyProtection="1">
      <alignment vertical="center" shrinkToFit="1"/>
      <protection locked="0"/>
    </xf>
    <xf numFmtId="0" fontId="8" fillId="0" borderId="30" xfId="0" applyNumberFormat="1" applyFont="1" applyFill="1" applyBorder="1" applyAlignment="1" applyProtection="1">
      <alignment vertical="center" shrinkToFit="1"/>
      <protection locked="0"/>
    </xf>
    <xf numFmtId="0" fontId="65" fillId="62" borderId="10" xfId="101" applyBorder="1" applyProtection="1">
      <alignment horizontal="center" vertical="center"/>
      <protection locked="0"/>
    </xf>
    <xf numFmtId="0" fontId="65" fillId="62" borderId="5" xfId="101" applyBorder="1" applyProtection="1">
      <alignment horizontal="center" vertical="center"/>
      <protection locked="0"/>
    </xf>
    <xf numFmtId="0" fontId="65" fillId="62" borderId="14" xfId="101" applyBorder="1" applyProtection="1">
      <alignment horizontal="center" vertical="center"/>
      <protection locked="0"/>
    </xf>
    <xf numFmtId="0" fontId="65" fillId="62" borderId="15" xfId="101" applyBorder="1" applyProtection="1">
      <alignment horizontal="center" vertical="center"/>
      <protection locked="0"/>
    </xf>
    <xf numFmtId="0" fontId="8" fillId="0" borderId="53" xfId="0" applyFont="1" applyFill="1" applyBorder="1" applyAlignment="1">
      <alignment vertical="center" wrapText="1"/>
    </xf>
    <xf numFmtId="0" fontId="8" fillId="0" borderId="52" xfId="0" applyFont="1" applyBorder="1" applyAlignment="1">
      <alignment vertical="center" wrapText="1"/>
    </xf>
    <xf numFmtId="0" fontId="8" fillId="0" borderId="51" xfId="0" applyFont="1" applyBorder="1" applyAlignment="1">
      <alignment vertical="center" wrapTex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49" xfId="0" applyFont="1" applyFill="1" applyBorder="1" applyAlignment="1">
      <alignment vertical="center" wrapText="1"/>
    </xf>
    <xf numFmtId="0" fontId="8" fillId="0" borderId="48" xfId="0" applyFont="1" applyBorder="1" applyAlignment="1">
      <alignment vertical="center" wrapText="1"/>
    </xf>
    <xf numFmtId="0" fontId="8" fillId="0" borderId="47" xfId="0" applyFont="1" applyBorder="1" applyAlignment="1">
      <alignment vertical="center" wrapText="1"/>
    </xf>
    <xf numFmtId="14" fontId="8" fillId="0" borderId="57" xfId="0" applyNumberFormat="1" applyFont="1" applyFill="1" applyBorder="1" applyAlignment="1">
      <alignment vertical="center"/>
    </xf>
    <xf numFmtId="14" fontId="8" fillId="0" borderId="56" xfId="0" applyNumberFormat="1" applyFont="1" applyBorder="1" applyAlignment="1">
      <alignment vertical="center"/>
    </xf>
    <xf numFmtId="14" fontId="8" fillId="0" borderId="55" xfId="0" applyNumberFormat="1" applyFont="1" applyBorder="1" applyAlignment="1">
      <alignment vertical="center"/>
    </xf>
    <xf numFmtId="0" fontId="65" fillId="62" borderId="60" xfId="101" applyBorder="1">
      <alignment horizontal="center" vertical="center"/>
    </xf>
    <xf numFmtId="0" fontId="65" fillId="62" borderId="5" xfId="101" applyBorder="1">
      <alignment horizontal="center" vertical="center"/>
    </xf>
    <xf numFmtId="0" fontId="65" fillId="62" borderId="11" xfId="101" applyBorder="1">
      <alignment horizontal="center" vertical="center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>
      <alignment vertical="center"/>
    </xf>
    <xf numFmtId="14" fontId="65" fillId="62" borderId="9" xfId="101" applyNumberFormat="1" applyBorder="1" applyProtection="1">
      <alignment horizontal="center" vertical="center"/>
    </xf>
    <xf numFmtId="0" fontId="8" fillId="0" borderId="46" xfId="0" applyNumberFormat="1" applyFont="1" applyFill="1" applyBorder="1" applyAlignment="1" applyProtection="1">
      <alignment horizontal="center" vertical="center"/>
      <protection locked="0"/>
    </xf>
    <xf numFmtId="0" fontId="8" fillId="0" borderId="22" xfId="0" applyNumberFormat="1" applyFont="1" applyFill="1" applyBorder="1" applyAlignment="1" applyProtection="1">
      <alignment horizontal="center" vertical="center"/>
      <protection locked="0"/>
    </xf>
  </cellXfs>
  <cellStyles count="111">
    <cellStyle name="00.0" xfId="102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5"/>
    <cellStyle name="H_標準" xfId="101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06" builtinId="8" hidden="1"/>
    <cellStyle name="ハイパーリンク" xfId="108" builtinId="8" hidden="1"/>
    <cellStyle name="ハイパーリンク" xfId="110" builtinId="8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日時" xfId="100"/>
    <cellStyle name="入力" xfId="41" builtinId="20" hidden="1" customBuiltin="1"/>
    <cellStyle name="入力" xfId="87" builtinId="20" hidden="1" customBuiltin="1"/>
    <cellStyle name="標準" xfId="0" builtinId="0" customBuiltin="1"/>
    <cellStyle name="表示済みのハイパーリンク" xfId="91" builtinId="9" hidden="1"/>
    <cellStyle name="表示済みのハイパーリンク" xfId="98" builtinId="9" hidden="1"/>
    <cellStyle name="表示済みのハイパーリンク" xfId="107" builtinId="9" hidden="1"/>
    <cellStyle name="表示済みのハイパーリンク" xfId="109" builtinId="9" hidden="1"/>
    <cellStyle name="不要" xfId="99"/>
    <cellStyle name="要確認" xfId="104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printerSettings" Target="../printerSettings/printerSettings7.bin"/><Relationship Id="rId4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pageSetUpPr fitToPage="1"/>
  </sheetPr>
  <dimension ref="A1:X183"/>
  <sheetViews>
    <sheetView showGridLines="0" zoomScaleNormal="100" workbookViewId="0">
      <pane xSplit="3" ySplit="4" topLeftCell="D17" activePane="bottomRight" state="frozen"/>
      <selection activeCell="A37" sqref="A37"/>
      <selection pane="topRight" activeCell="A37" sqref="A37"/>
      <selection pane="bottomLeft" activeCell="A37" sqref="A37"/>
      <selection pane="bottomRight" activeCell="A35" sqref="A35"/>
    </sheetView>
  </sheetViews>
  <sheetFormatPr defaultRowHeight="15" customHeight="1"/>
  <cols>
    <col min="1" max="1" width="25.7109375" style="82" customWidth="1"/>
    <col min="2" max="2" width="25.7109375" style="83" customWidth="1"/>
    <col min="3" max="3" width="5.7109375" style="82" customWidth="1"/>
    <col min="4" max="4" width="25.7109375" style="82" customWidth="1"/>
    <col min="5" max="5" width="25.7109375" style="83" customWidth="1"/>
    <col min="6" max="6" width="5.7109375" style="82" customWidth="1"/>
    <col min="7" max="7" width="27.85546875" style="71" customWidth="1"/>
    <col min="8" max="8" width="13.42578125" style="71" customWidth="1"/>
    <col min="9" max="9" width="34.7109375" style="71" customWidth="1"/>
    <col min="10" max="10" width="26.85546875" style="71" customWidth="1"/>
    <col min="11" max="11" width="7.42578125" customWidth="1"/>
    <col min="12" max="12" width="9.5703125" style="71" customWidth="1"/>
    <col min="13" max="14" width="26.85546875" style="71" customWidth="1"/>
    <col min="15" max="16" width="15.7109375" customWidth="1"/>
    <col min="17" max="17" width="16.42578125" style="71" customWidth="1"/>
    <col min="18" max="18" width="34.7109375" style="71" customWidth="1"/>
    <col min="19" max="19" width="5.7109375" style="69" customWidth="1"/>
    <col min="20" max="20" width="22.85546875" style="71" customWidth="1"/>
    <col min="21" max="21" width="40.28515625" style="71" customWidth="1"/>
    <col min="22" max="22" width="5.7109375" style="69" customWidth="1"/>
    <col min="23" max="16384" width="9.140625" style="71"/>
  </cols>
  <sheetData>
    <row r="1" spans="1:24" ht="15" customHeight="1">
      <c r="A1" s="151">
        <v>1</v>
      </c>
      <c r="B1" s="152">
        <v>2</v>
      </c>
      <c r="C1" s="151">
        <v>3</v>
      </c>
      <c r="D1" s="151">
        <v>4</v>
      </c>
      <c r="E1" s="152">
        <v>5</v>
      </c>
      <c r="F1" s="151">
        <v>6</v>
      </c>
      <c r="G1" s="68">
        <v>7</v>
      </c>
      <c r="H1" s="68">
        <v>8</v>
      </c>
      <c r="I1" s="68">
        <v>9</v>
      </c>
      <c r="J1" s="68">
        <v>10</v>
      </c>
      <c r="K1">
        <v>11</v>
      </c>
      <c r="L1" s="68">
        <v>12</v>
      </c>
      <c r="M1" s="68">
        <v>13</v>
      </c>
      <c r="N1" s="68">
        <v>14</v>
      </c>
      <c r="O1">
        <v>15</v>
      </c>
      <c r="P1">
        <v>16</v>
      </c>
      <c r="Q1" s="71">
        <v>17</v>
      </c>
      <c r="R1" s="71">
        <v>18</v>
      </c>
    </row>
    <row r="3" spans="1:24" ht="15" customHeight="1">
      <c r="A3" s="140" t="s">
        <v>252</v>
      </c>
      <c r="B3" s="141"/>
      <c r="D3" s="80" t="s">
        <v>253</v>
      </c>
      <c r="E3" s="81"/>
      <c r="G3" s="140" t="s">
        <v>264</v>
      </c>
      <c r="L3" s="160" t="s">
        <v>355</v>
      </c>
      <c r="Q3" s="67" t="s">
        <v>147</v>
      </c>
      <c r="R3" s="68"/>
      <c r="T3" s="67" t="s">
        <v>109</v>
      </c>
      <c r="U3" s="70"/>
    </row>
    <row r="4" spans="1:24" ht="15" customHeight="1">
      <c r="A4" s="142" t="s">
        <v>110</v>
      </c>
      <c r="B4" s="142" t="s">
        <v>111</v>
      </c>
      <c r="D4" s="133" t="s">
        <v>110</v>
      </c>
      <c r="E4" s="133" t="s">
        <v>111</v>
      </c>
      <c r="G4" s="142" t="s">
        <v>311</v>
      </c>
      <c r="H4" s="142" t="s">
        <v>308</v>
      </c>
      <c r="I4" s="142" t="s">
        <v>309</v>
      </c>
      <c r="J4" s="142" t="s">
        <v>310</v>
      </c>
      <c r="L4" s="142" t="s">
        <v>318</v>
      </c>
      <c r="M4" s="142" t="s">
        <v>319</v>
      </c>
      <c r="N4"/>
      <c r="Q4" s="72" t="s">
        <v>110</v>
      </c>
      <c r="R4" s="72" t="s">
        <v>111</v>
      </c>
      <c r="T4" s="72" t="s">
        <v>110</v>
      </c>
      <c r="U4" s="72" t="s">
        <v>111</v>
      </c>
    </row>
    <row r="5" spans="1:24" ht="15" customHeight="1">
      <c r="A5" s="143" t="s">
        <v>254</v>
      </c>
      <c r="B5" s="144" t="s">
        <v>255</v>
      </c>
      <c r="D5" s="150" t="s">
        <v>256</v>
      </c>
      <c r="E5" s="150" t="s">
        <v>257</v>
      </c>
      <c r="G5" s="128" t="s">
        <v>143</v>
      </c>
      <c r="H5" s="128" t="s">
        <v>307</v>
      </c>
      <c r="I5" s="130" t="s">
        <v>246</v>
      </c>
      <c r="J5" s="130" t="s">
        <v>229</v>
      </c>
      <c r="L5" s="130">
        <v>2</v>
      </c>
      <c r="M5" s="130" t="s">
        <v>320</v>
      </c>
      <c r="N5"/>
      <c r="O5" s="90"/>
      <c r="P5" s="90"/>
      <c r="Q5" s="91" t="s">
        <v>223</v>
      </c>
      <c r="R5" s="76" t="s">
        <v>224</v>
      </c>
      <c r="S5" s="71"/>
      <c r="T5" s="92" t="s">
        <v>69</v>
      </c>
      <c r="U5" s="93" t="s">
        <v>241</v>
      </c>
      <c r="V5" s="71"/>
    </row>
    <row r="6" spans="1:24" ht="15" customHeight="1">
      <c r="A6" s="143" t="s">
        <v>258</v>
      </c>
      <c r="B6" s="145" t="b">
        <v>1</v>
      </c>
      <c r="D6" s="134" t="s">
        <v>254</v>
      </c>
      <c r="E6" s="135" t="s">
        <v>255</v>
      </c>
      <c r="G6" s="128" t="s">
        <v>207</v>
      </c>
      <c r="H6" s="128" t="s">
        <v>305</v>
      </c>
      <c r="I6" s="130" t="s">
        <v>245</v>
      </c>
      <c r="J6" s="130" t="s">
        <v>373</v>
      </c>
      <c r="L6" s="130">
        <v>3</v>
      </c>
      <c r="M6" s="130" t="s">
        <v>377</v>
      </c>
      <c r="N6" s="77"/>
      <c r="O6" s="90"/>
      <c r="P6" s="90"/>
      <c r="Q6" s="91" t="s">
        <v>227</v>
      </c>
      <c r="R6" s="76" t="s">
        <v>249</v>
      </c>
      <c r="S6" s="71"/>
      <c r="T6" s="92" t="s">
        <v>4</v>
      </c>
      <c r="U6" s="94">
        <v>43634</v>
      </c>
      <c r="V6" s="71"/>
    </row>
    <row r="7" spans="1:24" ht="15" customHeight="1">
      <c r="A7" s="143" t="s">
        <v>259</v>
      </c>
      <c r="B7" s="145" t="b">
        <v>1</v>
      </c>
      <c r="D7" s="134" t="s">
        <v>258</v>
      </c>
      <c r="E7" s="136" t="b">
        <v>1</v>
      </c>
      <c r="G7" s="128" t="s">
        <v>209</v>
      </c>
      <c r="H7" s="128" t="s">
        <v>306</v>
      </c>
      <c r="I7" s="130" t="s">
        <v>225</v>
      </c>
      <c r="J7" s="130" t="s">
        <v>231</v>
      </c>
      <c r="L7" s="130">
        <v>4</v>
      </c>
      <c r="M7" s="130" t="s">
        <v>321</v>
      </c>
      <c r="N7" s="77"/>
      <c r="O7" s="90"/>
      <c r="P7" s="90"/>
      <c r="Q7" s="91" t="s">
        <v>267</v>
      </c>
      <c r="R7" s="95" t="s">
        <v>250</v>
      </c>
      <c r="S7" s="71"/>
      <c r="T7" s="92" t="s">
        <v>148</v>
      </c>
      <c r="U7" s="96" t="s">
        <v>242</v>
      </c>
      <c r="V7" s="71"/>
      <c r="X7" s="71" t="s">
        <v>285</v>
      </c>
    </row>
    <row r="8" spans="1:24" ht="15" customHeight="1">
      <c r="A8" s="143" t="s">
        <v>260</v>
      </c>
      <c r="B8" s="144" t="s">
        <v>261</v>
      </c>
      <c r="D8" s="134" t="s">
        <v>259</v>
      </c>
      <c r="E8" s="136" t="b">
        <v>1</v>
      </c>
      <c r="G8" s="128" t="s">
        <v>247</v>
      </c>
      <c r="H8" s="128" t="s">
        <v>224</v>
      </c>
      <c r="I8" s="130"/>
      <c r="J8" s="130" t="s">
        <v>230</v>
      </c>
      <c r="L8" s="130">
        <v>5</v>
      </c>
      <c r="M8" s="130" t="s">
        <v>322</v>
      </c>
      <c r="N8" s="77"/>
      <c r="O8" s="90"/>
      <c r="P8" s="90"/>
      <c r="Q8" s="91" t="s">
        <v>238</v>
      </c>
      <c r="R8" s="97"/>
      <c r="S8" s="71"/>
      <c r="T8" s="92" t="s">
        <v>7</v>
      </c>
      <c r="U8" s="89">
        <v>43634</v>
      </c>
      <c r="V8" s="71"/>
    </row>
    <row r="9" spans="1:24" ht="15" customHeight="1">
      <c r="A9" s="143" t="s">
        <v>262</v>
      </c>
      <c r="B9" s="144" t="s">
        <v>263</v>
      </c>
      <c r="D9" s="134" t="s">
        <v>260</v>
      </c>
      <c r="E9" s="135" t="s">
        <v>261</v>
      </c>
      <c r="G9" s="128" t="s">
        <v>144</v>
      </c>
      <c r="H9" s="128"/>
      <c r="I9" s="130"/>
      <c r="J9" s="130"/>
      <c r="L9" s="130">
        <v>6</v>
      </c>
      <c r="M9" s="130" t="s">
        <v>408</v>
      </c>
      <c r="N9" s="77"/>
      <c r="O9" s="90"/>
      <c r="P9" s="90"/>
      <c r="Q9" s="91" t="s">
        <v>239</v>
      </c>
      <c r="R9" s="97"/>
      <c r="S9" s="71"/>
      <c r="T9" s="92" t="s">
        <v>6</v>
      </c>
      <c r="U9" s="89" t="s">
        <v>248</v>
      </c>
      <c r="V9" s="71"/>
    </row>
    <row r="10" spans="1:24" ht="15" customHeight="1">
      <c r="A10" s="143"/>
      <c r="B10" s="144"/>
      <c r="D10" s="134"/>
      <c r="E10" s="135"/>
      <c r="G10" s="130" t="s">
        <v>353</v>
      </c>
      <c r="H10" s="128"/>
      <c r="I10" s="130"/>
      <c r="J10" s="130"/>
      <c r="L10" s="130">
        <v>7</v>
      </c>
      <c r="M10" s="130" t="s">
        <v>378</v>
      </c>
      <c r="N10" s="77"/>
      <c r="O10" s="90"/>
      <c r="P10" s="90"/>
      <c r="Q10" s="91"/>
      <c r="R10" s="97"/>
      <c r="S10" s="71"/>
      <c r="T10" s="92"/>
      <c r="U10" s="89"/>
      <c r="V10" s="71"/>
    </row>
    <row r="11" spans="1:24" ht="15" customHeight="1">
      <c r="A11" s="143" t="s">
        <v>361</v>
      </c>
      <c r="B11" s="128" t="s">
        <v>305</v>
      </c>
      <c r="D11" s="134"/>
      <c r="E11" s="135"/>
      <c r="G11" s="130"/>
      <c r="H11" s="131"/>
      <c r="I11" s="130"/>
      <c r="J11" s="130"/>
      <c r="L11" s="130">
        <v>8</v>
      </c>
      <c r="M11" s="130" t="s">
        <v>323</v>
      </c>
      <c r="N11" s="77"/>
      <c r="O11" s="90"/>
      <c r="P11" s="90"/>
      <c r="Q11" s="91" t="s">
        <v>228</v>
      </c>
      <c r="R11" s="97"/>
      <c r="S11" s="71"/>
      <c r="T11" s="92"/>
      <c r="U11" s="89"/>
      <c r="V11" s="71"/>
    </row>
    <row r="12" spans="1:24" ht="15" customHeight="1">
      <c r="A12" s="143" t="s">
        <v>265</v>
      </c>
      <c r="B12" s="128" t="s">
        <v>357</v>
      </c>
      <c r="D12" s="134"/>
      <c r="E12" s="135"/>
      <c r="G12" s="129"/>
      <c r="H12" s="132"/>
      <c r="I12" s="129"/>
      <c r="J12" s="129"/>
      <c r="L12" s="130">
        <v>9</v>
      </c>
      <c r="M12" s="130" t="s">
        <v>324</v>
      </c>
      <c r="N12" s="77"/>
      <c r="O12" s="90"/>
      <c r="P12" s="90"/>
      <c r="Q12" s="91" t="s">
        <v>120</v>
      </c>
      <c r="R12" s="97"/>
      <c r="S12" s="71"/>
      <c r="T12" s="92"/>
      <c r="U12" s="98" t="e">
        <f>プロジェクト名 &amp; IF(システム名="",""," ["&amp;システム名&amp;"]") &amp; "DB設計書"</f>
        <v>#NAME?</v>
      </c>
      <c r="V12" s="71"/>
    </row>
    <row r="13" spans="1:24" ht="15" customHeight="1">
      <c r="A13" s="143" t="s">
        <v>266</v>
      </c>
      <c r="B13" s="144" t="s">
        <v>358</v>
      </c>
      <c r="D13" s="134"/>
      <c r="E13" s="135"/>
      <c r="H13"/>
      <c r="L13" s="130">
        <v>10</v>
      </c>
      <c r="M13" s="130" t="s">
        <v>325</v>
      </c>
      <c r="O13" s="90"/>
      <c r="P13" s="90"/>
      <c r="Q13" s="91" t="s">
        <v>142</v>
      </c>
      <c r="R13" s="97"/>
      <c r="S13" s="71"/>
      <c r="V13" s="71"/>
    </row>
    <row r="14" spans="1:24" ht="15" customHeight="1">
      <c r="A14" s="143" t="s">
        <v>268</v>
      </c>
      <c r="B14" s="144" t="s">
        <v>472</v>
      </c>
      <c r="D14" s="134"/>
      <c r="E14" s="135"/>
      <c r="H14"/>
      <c r="L14" s="130">
        <v>11</v>
      </c>
      <c r="M14" s="154" t="s">
        <v>400</v>
      </c>
      <c r="O14" s="90"/>
      <c r="P14" s="90"/>
      <c r="Q14" s="91" t="s">
        <v>232</v>
      </c>
      <c r="R14" s="97"/>
      <c r="S14" s="71"/>
      <c r="T14" s="74"/>
      <c r="U14" s="74"/>
      <c r="V14" s="71"/>
    </row>
    <row r="15" spans="1:24" ht="15" customHeight="1">
      <c r="A15" s="143" t="s">
        <v>356</v>
      </c>
      <c r="B15" s="144" t="s">
        <v>362</v>
      </c>
      <c r="D15" s="134"/>
      <c r="E15" s="135"/>
      <c r="H15"/>
      <c r="L15" s="130">
        <v>12</v>
      </c>
      <c r="M15" s="130" t="s">
        <v>326</v>
      </c>
      <c r="O15" s="90"/>
      <c r="P15" s="90"/>
      <c r="Q15" s="91" t="s">
        <v>233</v>
      </c>
      <c r="R15" s="76" t="s">
        <v>243</v>
      </c>
      <c r="S15" s="71"/>
      <c r="T15" s="74"/>
      <c r="U15" s="74"/>
      <c r="V15" s="71"/>
    </row>
    <row r="16" spans="1:24" ht="15" customHeight="1">
      <c r="A16" s="146" t="s">
        <v>352</v>
      </c>
      <c r="B16" s="144"/>
      <c r="D16" s="134"/>
      <c r="E16" s="135"/>
      <c r="H16"/>
      <c r="L16" s="130">
        <v>13</v>
      </c>
      <c r="M16" s="130" t="s">
        <v>327</v>
      </c>
      <c r="O16" s="90"/>
      <c r="P16" s="90"/>
      <c r="Q16" s="91" t="s">
        <v>234</v>
      </c>
      <c r="R16" s="76" t="s">
        <v>244</v>
      </c>
      <c r="S16" s="71"/>
      <c r="T16" s="74"/>
      <c r="U16" s="74"/>
      <c r="V16" s="71"/>
    </row>
    <row r="17" spans="1:22" ht="15" customHeight="1">
      <c r="A17" s="146" t="s">
        <v>351</v>
      </c>
      <c r="B17" s="144"/>
      <c r="D17" s="150"/>
      <c r="E17" s="150"/>
      <c r="L17" s="130">
        <v>14</v>
      </c>
      <c r="M17" s="130" t="s">
        <v>328</v>
      </c>
      <c r="O17" s="90"/>
      <c r="P17" s="90"/>
      <c r="Q17" s="91"/>
      <c r="R17" s="76"/>
      <c r="S17" s="71"/>
      <c r="T17" s="74"/>
      <c r="U17" s="74"/>
      <c r="V17" s="71"/>
    </row>
    <row r="18" spans="1:22" ht="15" customHeight="1">
      <c r="A18" s="143" t="s">
        <v>277</v>
      </c>
      <c r="B18" s="144" t="s">
        <v>359</v>
      </c>
      <c r="D18" s="137"/>
      <c r="E18" s="135"/>
      <c r="L18" s="130">
        <v>16</v>
      </c>
      <c r="M18" s="130" t="s">
        <v>329</v>
      </c>
      <c r="O18" s="90"/>
      <c r="P18" s="90"/>
      <c r="S18" s="71"/>
      <c r="T18" s="74"/>
      <c r="U18" s="74"/>
      <c r="V18" s="71"/>
    </row>
    <row r="19" spans="1:22" ht="15" customHeight="1">
      <c r="A19" s="143" t="s">
        <v>278</v>
      </c>
      <c r="B19" s="144" t="s">
        <v>360</v>
      </c>
      <c r="D19" s="137"/>
      <c r="E19" s="135"/>
      <c r="H19" s="99"/>
      <c r="L19" s="130">
        <v>17</v>
      </c>
      <c r="M19" s="130" t="s">
        <v>330</v>
      </c>
      <c r="O19" s="90"/>
      <c r="P19" s="90"/>
      <c r="Q19" s="237" t="s">
        <v>112</v>
      </c>
      <c r="R19" s="238"/>
      <c r="S19" s="71"/>
      <c r="T19" s="74"/>
      <c r="U19" s="74"/>
      <c r="V19" s="71"/>
    </row>
    <row r="20" spans="1:22" ht="15" customHeight="1">
      <c r="A20" s="143"/>
      <c r="B20" s="144"/>
      <c r="D20" s="137"/>
      <c r="E20" s="135"/>
      <c r="H20" s="99"/>
      <c r="L20" s="130">
        <v>18</v>
      </c>
      <c r="M20" s="130" t="s">
        <v>331</v>
      </c>
      <c r="O20" s="90"/>
      <c r="P20" s="90"/>
      <c r="Q20" s="75" t="s">
        <v>235</v>
      </c>
      <c r="R20" s="76">
        <v>10</v>
      </c>
      <c r="S20" s="71"/>
      <c r="T20" s="74"/>
      <c r="U20" s="74"/>
      <c r="V20" s="71"/>
    </row>
    <row r="21" spans="1:22" ht="15" customHeight="1">
      <c r="A21" s="146" t="s">
        <v>279</v>
      </c>
      <c r="B21" s="147" t="s">
        <v>302</v>
      </c>
      <c r="D21" s="137"/>
      <c r="E21" s="135"/>
      <c r="H21" s="99"/>
      <c r="L21" s="130">
        <v>19</v>
      </c>
      <c r="M21" s="130" t="s">
        <v>332</v>
      </c>
      <c r="O21" s="90"/>
      <c r="P21" s="90"/>
      <c r="Q21" s="75" t="s">
        <v>72</v>
      </c>
      <c r="R21" s="76">
        <v>8192</v>
      </c>
      <c r="S21" s="71"/>
      <c r="T21" s="74"/>
      <c r="U21" s="74"/>
      <c r="V21" s="71"/>
    </row>
    <row r="22" spans="1:22" ht="15" customHeight="1">
      <c r="A22" s="146" t="s">
        <v>280</v>
      </c>
      <c r="B22" s="144" t="s">
        <v>303</v>
      </c>
      <c r="D22" s="134"/>
      <c r="E22" s="135"/>
      <c r="H22" s="99"/>
      <c r="L22" s="130">
        <v>20</v>
      </c>
      <c r="M22" s="130" t="s">
        <v>333</v>
      </c>
      <c r="O22" s="90"/>
      <c r="P22" s="90"/>
      <c r="Q22" s="75"/>
      <c r="R22" s="76"/>
      <c r="S22" s="71"/>
      <c r="T22" s="74"/>
      <c r="U22" s="74"/>
      <c r="V22" s="71"/>
    </row>
    <row r="23" spans="1:22" ht="15" customHeight="1">
      <c r="A23" s="143" t="s">
        <v>282</v>
      </c>
      <c r="B23" s="144" t="s">
        <v>304</v>
      </c>
      <c r="D23" s="137"/>
      <c r="E23" s="135"/>
      <c r="H23" s="99"/>
      <c r="L23" s="130">
        <v>21</v>
      </c>
      <c r="M23" s="130" t="s">
        <v>334</v>
      </c>
      <c r="O23" s="90"/>
      <c r="P23" s="90"/>
      <c r="S23" s="71"/>
      <c r="T23" s="74"/>
      <c r="U23" s="74"/>
      <c r="V23" s="71"/>
    </row>
    <row r="24" spans="1:22" ht="15" customHeight="1">
      <c r="A24" s="143" t="s">
        <v>283</v>
      </c>
      <c r="B24" s="159">
        <v>44287</v>
      </c>
      <c r="D24" s="137"/>
      <c r="E24" s="135"/>
      <c r="H24" s="99"/>
      <c r="L24" s="130">
        <v>64</v>
      </c>
      <c r="M24" s="130" t="s">
        <v>335</v>
      </c>
      <c r="O24" s="90"/>
      <c r="P24" s="90"/>
      <c r="Q24" s="237"/>
      <c r="R24" s="238"/>
      <c r="S24" s="71"/>
      <c r="T24" s="74"/>
      <c r="U24" s="74"/>
      <c r="V24" s="71"/>
    </row>
    <row r="25" spans="1:22" ht="15" customHeight="1">
      <c r="A25" s="143"/>
      <c r="B25" s="144"/>
      <c r="D25" s="134"/>
      <c r="E25" s="135"/>
      <c r="H25" s="99"/>
      <c r="L25" s="130">
        <v>72</v>
      </c>
      <c r="M25" s="130" t="s">
        <v>336</v>
      </c>
      <c r="O25" s="90"/>
      <c r="P25" s="90"/>
      <c r="Q25" s="75"/>
      <c r="R25" s="76"/>
      <c r="S25" s="71"/>
      <c r="V25" s="71"/>
    </row>
    <row r="26" spans="1:22" ht="15" customHeight="1">
      <c r="A26" s="143"/>
      <c r="B26" s="144"/>
      <c r="D26" s="134"/>
      <c r="E26" s="135"/>
      <c r="H26" s="99"/>
      <c r="L26" s="130">
        <v>128</v>
      </c>
      <c r="M26" s="130" t="s">
        <v>337</v>
      </c>
      <c r="O26" s="90"/>
      <c r="P26" s="90"/>
      <c r="Q26" s="75" t="s">
        <v>72</v>
      </c>
      <c r="R26" s="76">
        <v>8192</v>
      </c>
      <c r="S26" s="71"/>
      <c r="T26" s="74"/>
      <c r="U26" s="74"/>
      <c r="V26" s="71"/>
    </row>
    <row r="27" spans="1:22" ht="15" customHeight="1">
      <c r="A27" s="143" t="s">
        <v>291</v>
      </c>
      <c r="B27" s="144">
        <v>289</v>
      </c>
      <c r="D27" s="134"/>
      <c r="E27" s="135"/>
      <c r="H27" s="99"/>
      <c r="L27" s="130">
        <v>129</v>
      </c>
      <c r="M27" s="130" t="s">
        <v>338</v>
      </c>
      <c r="O27" s="90"/>
      <c r="P27" s="90"/>
      <c r="Q27" s="75" t="s">
        <v>236</v>
      </c>
      <c r="R27" s="76">
        <v>1</v>
      </c>
      <c r="S27" s="71"/>
      <c r="T27" s="74"/>
      <c r="U27" s="74"/>
      <c r="V27" s="71"/>
    </row>
    <row r="28" spans="1:22" ht="15" customHeight="1">
      <c r="A28" s="143" t="s">
        <v>292</v>
      </c>
      <c r="B28" s="144">
        <v>1852</v>
      </c>
      <c r="D28" s="134"/>
      <c r="E28" s="135"/>
      <c r="H28" s="77"/>
      <c r="L28" s="130">
        <v>130</v>
      </c>
      <c r="M28" s="130" t="s">
        <v>339</v>
      </c>
      <c r="O28" s="90"/>
      <c r="P28" s="90"/>
      <c r="S28" s="71"/>
      <c r="T28" s="74"/>
      <c r="U28" s="74"/>
      <c r="V28" s="71"/>
    </row>
    <row r="29" spans="1:22" ht="15" customHeight="1">
      <c r="A29" s="143"/>
      <c r="B29" s="144"/>
      <c r="D29" s="134"/>
      <c r="E29" s="135"/>
      <c r="H29" s="77"/>
      <c r="L29" s="130">
        <v>131</v>
      </c>
      <c r="M29" s="130" t="s">
        <v>340</v>
      </c>
      <c r="O29" s="90"/>
      <c r="P29" s="90"/>
      <c r="S29" s="71"/>
      <c r="V29" s="71"/>
    </row>
    <row r="30" spans="1:22" ht="15" customHeight="1">
      <c r="A30" s="143" t="s">
        <v>432</v>
      </c>
      <c r="B30" s="144" t="s">
        <v>433</v>
      </c>
      <c r="D30" s="134"/>
      <c r="E30" s="135"/>
      <c r="H30" s="77"/>
      <c r="L30" s="130">
        <v>132</v>
      </c>
      <c r="M30" s="130" t="s">
        <v>341</v>
      </c>
      <c r="O30" s="90"/>
      <c r="P30" s="90"/>
      <c r="S30" s="71"/>
      <c r="V30" s="71"/>
    </row>
    <row r="31" spans="1:22" ht="15" customHeight="1">
      <c r="A31" s="143" t="s">
        <v>428</v>
      </c>
      <c r="B31" s="144" t="s">
        <v>430</v>
      </c>
      <c r="D31" s="134"/>
      <c r="E31" s="135"/>
      <c r="H31" s="77"/>
      <c r="L31" s="130">
        <v>133</v>
      </c>
      <c r="M31" s="130" t="s">
        <v>342</v>
      </c>
      <c r="O31" s="90"/>
      <c r="P31" s="90"/>
      <c r="S31" s="71"/>
      <c r="V31" s="71"/>
    </row>
    <row r="32" spans="1:22" ht="15" customHeight="1">
      <c r="A32" s="143" t="s">
        <v>429</v>
      </c>
      <c r="B32" s="144" t="s">
        <v>560</v>
      </c>
      <c r="D32" s="134"/>
      <c r="E32" s="135"/>
      <c r="H32" s="77"/>
      <c r="L32" s="130">
        <v>134</v>
      </c>
      <c r="M32" s="130" t="s">
        <v>343</v>
      </c>
      <c r="O32" s="90"/>
      <c r="P32" s="90"/>
      <c r="S32" s="71"/>
      <c r="V32" s="71"/>
    </row>
    <row r="33" spans="1:22" ht="15" customHeight="1">
      <c r="A33" s="143" t="s">
        <v>435</v>
      </c>
      <c r="B33" s="144" t="s">
        <v>434</v>
      </c>
      <c r="D33" s="134"/>
      <c r="E33" s="135"/>
      <c r="H33" s="77"/>
      <c r="L33" s="130">
        <v>135</v>
      </c>
      <c r="M33" s="130" t="s">
        <v>344</v>
      </c>
      <c r="O33" s="90"/>
      <c r="P33" s="90"/>
      <c r="S33" s="71"/>
      <c r="V33" s="71"/>
    </row>
    <row r="34" spans="1:22" ht="15" customHeight="1">
      <c r="A34" s="143"/>
      <c r="B34" s="144"/>
      <c r="D34" s="134"/>
      <c r="E34" s="135"/>
      <c r="H34" s="77"/>
      <c r="L34" s="130">
        <v>136</v>
      </c>
      <c r="M34" s="130" t="s">
        <v>345</v>
      </c>
      <c r="O34" s="90"/>
      <c r="P34" s="90"/>
      <c r="S34" s="71"/>
      <c r="V34" s="71"/>
    </row>
    <row r="35" spans="1:22" ht="15" customHeight="1">
      <c r="A35" s="143" t="s">
        <v>411</v>
      </c>
      <c r="B35" s="144" t="s">
        <v>412</v>
      </c>
      <c r="D35" s="134"/>
      <c r="E35" s="135"/>
      <c r="H35" s="77"/>
      <c r="L35" s="130">
        <v>138</v>
      </c>
      <c r="M35" s="130" t="s">
        <v>346</v>
      </c>
      <c r="O35" s="90"/>
      <c r="P35" s="90"/>
      <c r="S35" s="71"/>
      <c r="V35" s="71"/>
    </row>
    <row r="36" spans="1:22" ht="15" customHeight="1">
      <c r="A36" s="143" t="s">
        <v>410</v>
      </c>
      <c r="B36" s="144" t="s">
        <v>413</v>
      </c>
      <c r="D36" s="134"/>
      <c r="E36" s="135"/>
      <c r="H36" s="77"/>
      <c r="L36" s="130">
        <v>139</v>
      </c>
      <c r="M36" s="130" t="s">
        <v>347</v>
      </c>
      <c r="O36" s="90"/>
      <c r="P36" s="90"/>
      <c r="S36" s="71"/>
      <c r="V36" s="71"/>
    </row>
    <row r="37" spans="1:22" ht="15" customHeight="1">
      <c r="A37" s="143" t="s">
        <v>557</v>
      </c>
      <c r="B37" s="144" t="s">
        <v>415</v>
      </c>
      <c r="D37" s="134"/>
      <c r="E37" s="135"/>
      <c r="H37" s="77"/>
      <c r="L37" s="130">
        <v>200</v>
      </c>
      <c r="M37" s="130" t="s">
        <v>348</v>
      </c>
      <c r="O37" s="90"/>
      <c r="P37" s="90"/>
      <c r="S37" s="71"/>
      <c r="V37" s="71"/>
    </row>
    <row r="38" spans="1:22" ht="15" customHeight="1">
      <c r="A38" s="143" t="s">
        <v>414</v>
      </c>
      <c r="B38" s="144" t="s">
        <v>417</v>
      </c>
      <c r="D38" s="134"/>
      <c r="E38" s="135"/>
      <c r="H38" s="77"/>
      <c r="L38" s="130">
        <v>201</v>
      </c>
      <c r="M38" s="130" t="s">
        <v>349</v>
      </c>
      <c r="O38" s="90"/>
      <c r="P38" s="90"/>
      <c r="S38" s="71"/>
      <c r="V38" s="71"/>
    </row>
    <row r="39" spans="1:22" ht="15" customHeight="1">
      <c r="A39" s="143" t="s">
        <v>416</v>
      </c>
      <c r="B39" s="144" t="s">
        <v>559</v>
      </c>
      <c r="D39" s="134"/>
      <c r="E39" s="135"/>
      <c r="H39" s="77"/>
      <c r="L39" s="130">
        <v>202</v>
      </c>
      <c r="M39" s="130" t="s">
        <v>404</v>
      </c>
      <c r="O39" s="90"/>
      <c r="P39" s="90"/>
      <c r="S39" s="71"/>
      <c r="V39" s="71"/>
    </row>
    <row r="40" spans="1:22" ht="15" customHeight="1">
      <c r="A40" s="143" t="s">
        <v>418</v>
      </c>
      <c r="B40" s="144" t="s">
        <v>421</v>
      </c>
      <c r="D40" s="134"/>
      <c r="E40" s="135"/>
      <c r="H40" s="77"/>
      <c r="L40" s="130">
        <v>203</v>
      </c>
      <c r="M40" s="130" t="s">
        <v>407</v>
      </c>
      <c r="O40" s="90"/>
      <c r="P40" s="90"/>
      <c r="S40" s="71"/>
      <c r="V40" s="71"/>
    </row>
    <row r="41" spans="1:22" ht="15" customHeight="1">
      <c r="A41" s="143" t="s">
        <v>419</v>
      </c>
      <c r="B41" s="144" t="s">
        <v>425</v>
      </c>
      <c r="D41" s="134"/>
      <c r="E41" s="135"/>
      <c r="H41" s="77"/>
      <c r="L41" s="130">
        <v>204</v>
      </c>
      <c r="M41" s="130" t="s">
        <v>350</v>
      </c>
      <c r="O41" s="90"/>
      <c r="P41" s="90"/>
      <c r="S41" s="71"/>
      <c r="V41" s="71"/>
    </row>
    <row r="42" spans="1:22" ht="15" customHeight="1">
      <c r="A42" s="143" t="s">
        <v>422</v>
      </c>
      <c r="B42" s="144" t="s">
        <v>426</v>
      </c>
      <c r="D42" s="134"/>
      <c r="E42" s="135"/>
      <c r="H42" s="77"/>
      <c r="L42" s="129">
        <v>205</v>
      </c>
      <c r="M42" s="129" t="s">
        <v>409</v>
      </c>
      <c r="O42" s="90"/>
      <c r="P42" s="90"/>
      <c r="S42" s="71"/>
      <c r="V42" s="71"/>
    </row>
    <row r="43" spans="1:22" ht="15" customHeight="1">
      <c r="A43" s="143" t="s">
        <v>423</v>
      </c>
      <c r="B43" s="144" t="s">
        <v>427</v>
      </c>
      <c r="D43" s="134"/>
      <c r="E43" s="135"/>
      <c r="H43" s="77"/>
      <c r="O43" s="90"/>
      <c r="P43" s="90"/>
      <c r="S43" s="71"/>
      <c r="V43" s="71"/>
    </row>
    <row r="44" spans="1:22" ht="15" customHeight="1">
      <c r="A44" s="143" t="s">
        <v>424</v>
      </c>
      <c r="B44" s="144" t="s">
        <v>558</v>
      </c>
      <c r="D44" s="134"/>
      <c r="E44" s="135"/>
      <c r="H44" s="77"/>
      <c r="O44" s="90"/>
      <c r="P44" s="90"/>
      <c r="S44" s="71"/>
      <c r="V44" s="71"/>
    </row>
    <row r="45" spans="1:22" ht="15" customHeight="1">
      <c r="A45" s="143"/>
      <c r="B45" s="144"/>
      <c r="D45" s="134"/>
      <c r="E45" s="135"/>
      <c r="H45" s="77"/>
      <c r="O45" s="90"/>
      <c r="P45" s="90"/>
      <c r="S45" s="71"/>
      <c r="V45" s="71"/>
    </row>
    <row r="46" spans="1:22" ht="15" customHeight="1">
      <c r="A46" s="143"/>
      <c r="B46" s="144"/>
      <c r="D46" s="134"/>
      <c r="E46" s="135"/>
      <c r="H46" s="77"/>
      <c r="O46" s="90"/>
      <c r="P46" s="90"/>
      <c r="S46" s="71"/>
      <c r="V46" s="71"/>
    </row>
    <row r="47" spans="1:22" ht="15" customHeight="1">
      <c r="A47" s="143"/>
      <c r="B47" s="144"/>
      <c r="D47" s="134"/>
      <c r="E47" s="135"/>
      <c r="H47" s="77"/>
      <c r="O47" s="90"/>
      <c r="P47" s="90"/>
      <c r="S47" s="71"/>
      <c r="V47" s="71"/>
    </row>
    <row r="48" spans="1:22" ht="15" customHeight="1">
      <c r="A48" s="143"/>
      <c r="B48" s="144"/>
      <c r="D48" s="134"/>
      <c r="E48" s="135"/>
      <c r="H48" s="77"/>
      <c r="O48" s="90"/>
      <c r="P48" s="90"/>
      <c r="S48" s="71"/>
      <c r="V48" s="71"/>
    </row>
    <row r="49" spans="1:22" ht="15" customHeight="1">
      <c r="A49" s="143"/>
      <c r="B49" s="144"/>
      <c r="D49" s="134"/>
      <c r="E49" s="135"/>
      <c r="H49" s="77"/>
      <c r="O49" s="90"/>
      <c r="P49" s="90"/>
      <c r="S49" s="71"/>
      <c r="V49" s="71"/>
    </row>
    <row r="50" spans="1:22" ht="15" customHeight="1">
      <c r="A50" s="143"/>
      <c r="B50" s="144"/>
      <c r="D50" s="134"/>
      <c r="E50" s="135"/>
      <c r="H50" s="77"/>
      <c r="O50" s="90"/>
      <c r="P50" s="90"/>
      <c r="S50" s="71"/>
      <c r="V50" s="71"/>
    </row>
    <row r="51" spans="1:22" ht="15" customHeight="1">
      <c r="A51" s="143"/>
      <c r="B51" s="144"/>
      <c r="D51" s="134"/>
      <c r="E51" s="135"/>
      <c r="H51" s="77"/>
      <c r="O51" s="90"/>
      <c r="P51" s="90"/>
      <c r="S51" s="71"/>
      <c r="V51" s="71"/>
    </row>
    <row r="52" spans="1:22" ht="15" customHeight="1">
      <c r="A52" s="143"/>
      <c r="B52" s="144"/>
      <c r="D52" s="134"/>
      <c r="E52" s="135"/>
      <c r="H52" s="77"/>
      <c r="O52" s="90"/>
      <c r="P52" s="90"/>
      <c r="S52" s="71"/>
      <c r="T52" s="74"/>
      <c r="U52" s="74"/>
      <c r="V52" s="71"/>
    </row>
    <row r="53" spans="1:22" ht="15" customHeight="1">
      <c r="A53" s="143"/>
      <c r="B53" s="144"/>
      <c r="D53" s="134"/>
      <c r="E53" s="135"/>
      <c r="H53" s="77"/>
      <c r="O53" s="90"/>
      <c r="P53" s="90"/>
      <c r="S53" s="71"/>
      <c r="T53" s="74"/>
      <c r="U53" s="74"/>
      <c r="V53" s="71"/>
    </row>
    <row r="54" spans="1:22" ht="15" customHeight="1">
      <c r="A54" s="143"/>
      <c r="B54" s="144"/>
      <c r="D54" s="134"/>
      <c r="E54" s="135"/>
      <c r="H54" s="77"/>
      <c r="O54" s="90"/>
      <c r="P54" s="90"/>
      <c r="S54" s="71"/>
      <c r="T54" s="74"/>
      <c r="U54" s="74"/>
      <c r="V54" s="71"/>
    </row>
    <row r="55" spans="1:22" ht="15" customHeight="1">
      <c r="A55" s="143"/>
      <c r="B55" s="144"/>
      <c r="D55" s="134"/>
      <c r="E55" s="135"/>
      <c r="H55" s="77"/>
      <c r="O55" s="90"/>
      <c r="P55" s="90"/>
      <c r="S55" s="71"/>
      <c r="V55" s="71"/>
    </row>
    <row r="56" spans="1:22" ht="15" customHeight="1">
      <c r="A56" s="143"/>
      <c r="B56" s="144"/>
      <c r="D56" s="134"/>
      <c r="E56" s="135"/>
      <c r="H56" s="77"/>
      <c r="O56" s="90"/>
      <c r="P56" s="90"/>
      <c r="S56" s="71"/>
      <c r="V56" s="71"/>
    </row>
    <row r="57" spans="1:22" ht="15" customHeight="1">
      <c r="A57" s="143"/>
      <c r="B57" s="144"/>
      <c r="D57" s="134"/>
      <c r="E57" s="135"/>
      <c r="H57" s="77"/>
      <c r="O57" s="90"/>
      <c r="P57" s="90"/>
      <c r="S57" s="71"/>
      <c r="V57" s="71"/>
    </row>
    <row r="58" spans="1:22" ht="15" customHeight="1">
      <c r="A58" s="143"/>
      <c r="B58" s="144"/>
      <c r="D58" s="134"/>
      <c r="E58" s="135"/>
      <c r="H58" s="77"/>
      <c r="O58" s="90"/>
      <c r="P58" s="90"/>
      <c r="S58" s="71"/>
      <c r="V58" s="71"/>
    </row>
    <row r="59" spans="1:22" ht="15" customHeight="1">
      <c r="A59" s="143"/>
      <c r="B59" s="144"/>
      <c r="D59" s="134"/>
      <c r="E59" s="135"/>
      <c r="H59" s="77"/>
      <c r="O59" s="90"/>
      <c r="P59" s="90"/>
      <c r="S59" s="71"/>
      <c r="V59" s="71"/>
    </row>
    <row r="60" spans="1:22" ht="15" customHeight="1">
      <c r="A60" s="143"/>
      <c r="B60" s="144"/>
      <c r="D60" s="134"/>
      <c r="E60" s="135"/>
      <c r="H60" s="77"/>
      <c r="O60" s="90"/>
      <c r="P60" s="90"/>
      <c r="S60" s="71"/>
      <c r="V60" s="71"/>
    </row>
    <row r="61" spans="1:22" ht="15" customHeight="1">
      <c r="A61" s="143"/>
      <c r="B61" s="144"/>
      <c r="D61" s="134"/>
      <c r="E61" s="135"/>
      <c r="H61" s="77"/>
      <c r="O61" s="90"/>
      <c r="P61" s="90"/>
      <c r="S61" s="71"/>
      <c r="V61" s="71"/>
    </row>
    <row r="62" spans="1:22" ht="15" customHeight="1">
      <c r="A62" s="143"/>
      <c r="B62" s="149"/>
      <c r="D62" s="138"/>
      <c r="E62" s="139"/>
      <c r="H62" s="77"/>
      <c r="O62" s="90"/>
      <c r="P62" s="90"/>
      <c r="S62" s="71"/>
      <c r="V62" s="71"/>
    </row>
    <row r="63" spans="1:22" ht="15" customHeight="1">
      <c r="A63" s="148"/>
      <c r="H63" s="77"/>
    </row>
    <row r="64" spans="1:22" ht="15" customHeight="1">
      <c r="H64" s="77"/>
    </row>
    <row r="65" spans="8:8" ht="15" customHeight="1">
      <c r="H65" s="77"/>
    </row>
    <row r="66" spans="8:8" ht="15" customHeight="1">
      <c r="H66" s="77"/>
    </row>
    <row r="67" spans="8:8" ht="15" customHeight="1">
      <c r="H67" s="77"/>
    </row>
    <row r="68" spans="8:8" ht="15" customHeight="1">
      <c r="H68" s="77"/>
    </row>
    <row r="69" spans="8:8" ht="15" customHeight="1">
      <c r="H69" s="77"/>
    </row>
    <row r="70" spans="8:8" ht="15" customHeight="1">
      <c r="H70" s="77"/>
    </row>
    <row r="71" spans="8:8" ht="15" customHeight="1">
      <c r="H71" s="77"/>
    </row>
    <row r="72" spans="8:8" ht="15" customHeight="1">
      <c r="H72" s="77"/>
    </row>
    <row r="73" spans="8:8" ht="15" customHeight="1">
      <c r="H73" s="77"/>
    </row>
    <row r="74" spans="8:8" ht="15" customHeight="1">
      <c r="H74" s="77"/>
    </row>
    <row r="75" spans="8:8" ht="15" customHeight="1">
      <c r="H75" s="77"/>
    </row>
    <row r="76" spans="8:8" ht="15" customHeight="1">
      <c r="H76" s="77"/>
    </row>
    <row r="77" spans="8:8" ht="15" customHeight="1">
      <c r="H77" s="77"/>
    </row>
    <row r="78" spans="8:8" ht="15" customHeight="1">
      <c r="H78" s="77"/>
    </row>
    <row r="79" spans="8:8" ht="15" customHeight="1">
      <c r="H79" s="77"/>
    </row>
    <row r="80" spans="8:8" ht="15" customHeight="1">
      <c r="H80" s="77"/>
    </row>
    <row r="81" spans="8:8" ht="15" customHeight="1">
      <c r="H81" s="77"/>
    </row>
    <row r="82" spans="8:8" ht="15" customHeight="1">
      <c r="H82" s="77"/>
    </row>
    <row r="83" spans="8:8" ht="15" customHeight="1">
      <c r="H83" s="77"/>
    </row>
    <row r="84" spans="8:8" ht="15" customHeight="1">
      <c r="H84" s="77"/>
    </row>
    <row r="85" spans="8:8" ht="15" customHeight="1">
      <c r="H85" s="77"/>
    </row>
    <row r="86" spans="8:8" ht="15" customHeight="1">
      <c r="H86" s="77"/>
    </row>
    <row r="87" spans="8:8" ht="15" customHeight="1">
      <c r="H87" s="77"/>
    </row>
    <row r="88" spans="8:8" ht="15" customHeight="1">
      <c r="H88" s="77"/>
    </row>
    <row r="89" spans="8:8" ht="15" customHeight="1">
      <c r="H89" s="77"/>
    </row>
    <row r="90" spans="8:8" ht="15" customHeight="1">
      <c r="H90" s="77"/>
    </row>
    <row r="91" spans="8:8" ht="15" customHeight="1">
      <c r="H91" s="77"/>
    </row>
    <row r="92" spans="8:8" ht="15" customHeight="1">
      <c r="H92" s="77"/>
    </row>
    <row r="93" spans="8:8" ht="15" customHeight="1">
      <c r="H93" s="77"/>
    </row>
    <row r="94" spans="8:8" ht="15" customHeight="1">
      <c r="H94" s="77"/>
    </row>
    <row r="95" spans="8:8" ht="15" customHeight="1">
      <c r="H95" s="77"/>
    </row>
    <row r="96" spans="8:8" ht="15" customHeight="1">
      <c r="H96" s="77"/>
    </row>
    <row r="97" spans="8:8" ht="15" customHeight="1">
      <c r="H97" s="77"/>
    </row>
    <row r="98" spans="8:8" ht="15" customHeight="1">
      <c r="H98" s="77"/>
    </row>
    <row r="99" spans="8:8" ht="15" customHeight="1">
      <c r="H99" s="77"/>
    </row>
    <row r="100" spans="8:8" ht="15" customHeight="1">
      <c r="H100" s="77"/>
    </row>
    <row r="101" spans="8:8" ht="15" customHeight="1">
      <c r="H101" s="77"/>
    </row>
    <row r="102" spans="8:8" ht="15" customHeight="1">
      <c r="H102" s="77"/>
    </row>
    <row r="103" spans="8:8" ht="15" customHeight="1">
      <c r="H103" s="78"/>
    </row>
    <row r="104" spans="8:8" ht="15" customHeight="1">
      <c r="H104" s="79"/>
    </row>
    <row r="105" spans="8:8" ht="15" customHeight="1">
      <c r="H105" s="79"/>
    </row>
    <row r="106" spans="8:8" ht="15" customHeight="1">
      <c r="H106" s="79"/>
    </row>
    <row r="107" spans="8:8" ht="15" customHeight="1">
      <c r="H107" s="79"/>
    </row>
    <row r="108" spans="8:8" ht="15" customHeight="1">
      <c r="H108" s="79"/>
    </row>
    <row r="109" spans="8:8" ht="15" customHeight="1">
      <c r="H109" s="79"/>
    </row>
    <row r="110" spans="8:8" ht="15" customHeight="1">
      <c r="H110" s="79"/>
    </row>
    <row r="111" spans="8:8" ht="15" customHeight="1">
      <c r="H111" s="79"/>
    </row>
    <row r="112" spans="8:8" ht="15" customHeight="1">
      <c r="H112" s="79"/>
    </row>
    <row r="113" spans="8:8" ht="15" customHeight="1">
      <c r="H113" s="79"/>
    </row>
    <row r="114" spans="8:8" ht="15" customHeight="1">
      <c r="H114" s="79"/>
    </row>
    <row r="115" spans="8:8" ht="15" customHeight="1">
      <c r="H115" s="79"/>
    </row>
    <row r="116" spans="8:8" ht="15" customHeight="1">
      <c r="H116" s="79"/>
    </row>
    <row r="117" spans="8:8" ht="15" customHeight="1">
      <c r="H117" s="79"/>
    </row>
    <row r="118" spans="8:8" ht="15" customHeight="1">
      <c r="H118" s="79"/>
    </row>
    <row r="119" spans="8:8" ht="15" customHeight="1">
      <c r="H119" s="79"/>
    </row>
    <row r="120" spans="8:8" ht="15" customHeight="1">
      <c r="H120" s="79"/>
    </row>
    <row r="121" spans="8:8" ht="15" customHeight="1">
      <c r="H121" s="79"/>
    </row>
    <row r="122" spans="8:8" ht="15" customHeight="1">
      <c r="H122" s="79"/>
    </row>
    <row r="123" spans="8:8" ht="15" customHeight="1">
      <c r="H123" s="79"/>
    </row>
    <row r="124" spans="8:8" ht="15" customHeight="1">
      <c r="H124" s="79"/>
    </row>
    <row r="125" spans="8:8" ht="15" customHeight="1">
      <c r="H125" s="79"/>
    </row>
    <row r="126" spans="8:8" ht="15" customHeight="1">
      <c r="H126" s="79"/>
    </row>
    <row r="127" spans="8:8" ht="15" customHeight="1">
      <c r="H127" s="79"/>
    </row>
    <row r="128" spans="8:8" ht="15" customHeight="1">
      <c r="H128" s="79"/>
    </row>
    <row r="129" spans="8:8" ht="15" customHeight="1">
      <c r="H129" s="79"/>
    </row>
    <row r="130" spans="8:8" ht="15" customHeight="1">
      <c r="H130" s="79"/>
    </row>
    <row r="131" spans="8:8" ht="15" customHeight="1">
      <c r="H131" s="79"/>
    </row>
    <row r="132" spans="8:8" ht="15" customHeight="1">
      <c r="H132" s="79"/>
    </row>
    <row r="133" spans="8:8" ht="15" customHeight="1">
      <c r="H133" s="79"/>
    </row>
    <row r="134" spans="8:8" ht="15" customHeight="1">
      <c r="H134" s="79"/>
    </row>
    <row r="135" spans="8:8" ht="15" customHeight="1">
      <c r="H135" s="79"/>
    </row>
    <row r="136" spans="8:8" ht="15" customHeight="1">
      <c r="H136" s="79"/>
    </row>
    <row r="137" spans="8:8" ht="15" customHeight="1">
      <c r="H137" s="79"/>
    </row>
    <row r="138" spans="8:8" ht="15" customHeight="1">
      <c r="H138" s="79"/>
    </row>
    <row r="139" spans="8:8" ht="15" customHeight="1">
      <c r="H139" s="79"/>
    </row>
    <row r="140" spans="8:8" ht="15" customHeight="1">
      <c r="H140" s="79"/>
    </row>
    <row r="141" spans="8:8" ht="15" customHeight="1">
      <c r="H141" s="79"/>
    </row>
    <row r="142" spans="8:8" ht="15" customHeight="1">
      <c r="H142" s="79"/>
    </row>
    <row r="143" spans="8:8" ht="15" customHeight="1">
      <c r="H143" s="79"/>
    </row>
    <row r="144" spans="8:8" ht="15" customHeight="1">
      <c r="H144" s="79"/>
    </row>
    <row r="145" spans="8:8" ht="15" customHeight="1">
      <c r="H145" s="79"/>
    </row>
    <row r="146" spans="8:8" ht="15" customHeight="1">
      <c r="H146" s="79"/>
    </row>
    <row r="147" spans="8:8" ht="15" customHeight="1">
      <c r="H147" s="79"/>
    </row>
    <row r="148" spans="8:8" ht="15" customHeight="1">
      <c r="H148" s="79"/>
    </row>
    <row r="149" spans="8:8" ht="15" customHeight="1">
      <c r="H149" s="79"/>
    </row>
    <row r="150" spans="8:8" ht="15" customHeight="1">
      <c r="H150" s="79"/>
    </row>
    <row r="151" spans="8:8" ht="15" customHeight="1">
      <c r="H151" s="79"/>
    </row>
    <row r="152" spans="8:8" ht="15" customHeight="1">
      <c r="H152" s="79"/>
    </row>
    <row r="153" spans="8:8" ht="15" customHeight="1">
      <c r="H153" s="79"/>
    </row>
    <row r="154" spans="8:8" ht="15" customHeight="1">
      <c r="H154" s="79"/>
    </row>
    <row r="155" spans="8:8" ht="15" customHeight="1">
      <c r="H155" s="79"/>
    </row>
    <row r="156" spans="8:8" ht="15" customHeight="1">
      <c r="H156" s="79"/>
    </row>
    <row r="157" spans="8:8" ht="15" customHeight="1">
      <c r="H157" s="79"/>
    </row>
    <row r="158" spans="8:8" ht="15" customHeight="1">
      <c r="H158" s="79"/>
    </row>
    <row r="159" spans="8:8" ht="15" customHeight="1">
      <c r="H159" s="79"/>
    </row>
    <row r="160" spans="8:8" ht="15" customHeight="1">
      <c r="H160" s="79"/>
    </row>
    <row r="161" spans="8:8" ht="15" customHeight="1">
      <c r="H161" s="79"/>
    </row>
    <row r="162" spans="8:8" ht="15" customHeight="1">
      <c r="H162" s="79"/>
    </row>
    <row r="163" spans="8:8" ht="15" customHeight="1">
      <c r="H163" s="79"/>
    </row>
    <row r="164" spans="8:8" ht="15" customHeight="1">
      <c r="H164" s="79"/>
    </row>
    <row r="165" spans="8:8" ht="15" customHeight="1">
      <c r="H165" s="79"/>
    </row>
    <row r="166" spans="8:8" ht="15" customHeight="1">
      <c r="H166" s="79"/>
    </row>
    <row r="167" spans="8:8" ht="15" customHeight="1">
      <c r="H167" s="79"/>
    </row>
    <row r="168" spans="8:8" ht="15" customHeight="1">
      <c r="H168" s="79"/>
    </row>
    <row r="169" spans="8:8" ht="15" customHeight="1">
      <c r="H169" s="79"/>
    </row>
    <row r="170" spans="8:8" ht="15" customHeight="1">
      <c r="H170" s="79"/>
    </row>
    <row r="171" spans="8:8" ht="15" customHeight="1">
      <c r="H171" s="79"/>
    </row>
    <row r="172" spans="8:8" ht="15" customHeight="1">
      <c r="H172" s="79"/>
    </row>
    <row r="173" spans="8:8" ht="15" customHeight="1">
      <c r="H173" s="79"/>
    </row>
    <row r="174" spans="8:8" ht="15" customHeight="1">
      <c r="H174" s="79"/>
    </row>
    <row r="175" spans="8:8" ht="15" customHeight="1">
      <c r="H175" s="79"/>
    </row>
    <row r="176" spans="8:8" ht="15" customHeight="1">
      <c r="H176" s="79"/>
    </row>
    <row r="177" spans="8:8" ht="15" customHeight="1">
      <c r="H177" s="79"/>
    </row>
    <row r="178" spans="8:8" ht="15" customHeight="1">
      <c r="H178" s="79"/>
    </row>
    <row r="179" spans="8:8" ht="15" customHeight="1">
      <c r="H179" s="79"/>
    </row>
    <row r="180" spans="8:8" ht="15" customHeight="1">
      <c r="H180" s="79"/>
    </row>
    <row r="181" spans="8:8" ht="15" customHeight="1">
      <c r="H181" s="79"/>
    </row>
    <row r="182" spans="8:8" ht="15" customHeight="1">
      <c r="H182" s="79"/>
    </row>
    <row r="183" spans="8:8" ht="15" customHeight="1">
      <c r="H183" s="73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B11">
      <formula1>DBList</formula1>
    </dataValidation>
    <dataValidation type="list" allowBlank="1" showErrorMessage="1" prompt="利用DB" sqref="B12">
      <formula1>ODBCDriverList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InputMessage="1" showErrorMessage="1" sqref="E7:E8 B6:B7 E30:E33">
      <formula1>"TRUE,FALSE"</formula1>
    </dataValidation>
    <dataValidation type="list" showInputMessage="1" showErrorMessage="1" sqref="R17">
      <formula1>"Laravel"</formula1>
    </dataValidation>
    <dataValidation type="list" showInputMessage="1" showErrorMessage="1" sqref="R16">
      <formula1>"CRLF,CR,LF"</formula1>
    </dataValidation>
    <dataValidation type="list" showInputMessage="1" showErrorMessage="1" sqref="R15">
      <formula1>"Shift-JIS,EUC-JP,UTF-8"</formula1>
    </dataValidation>
    <dataValidation showInputMessage="1" showErrorMessage="1" sqref="R14"/>
    <dataValidation imeMode="off" allowBlank="1" showInputMessage="1" showErrorMessage="1" sqref="R8"/>
    <dataValidation imeMode="disabled" allowBlank="1" showInputMessage="1" showErrorMessage="1" sqref="R6:R7 R9:R13"/>
    <dataValidation type="list" allowBlank="1" showErrorMessage="1" prompt="利用DB" sqref="R5">
      <formula1>ODBCDriver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9">
    <pageSetUpPr fitToPage="1"/>
  </sheetPr>
  <dimension ref="A1:X183"/>
  <sheetViews>
    <sheetView showGridLines="0" zoomScaleNormal="100" workbookViewId="0">
      <pane xSplit="3" ySplit="4" topLeftCell="D5" activePane="bottomRight" state="frozen"/>
      <selection activeCell="A37" sqref="A37"/>
      <selection pane="topRight" activeCell="A37" sqref="A37"/>
      <selection pane="bottomLeft" activeCell="A37" sqref="A37"/>
      <selection pane="bottomRight" activeCell="B24" sqref="B24"/>
    </sheetView>
  </sheetViews>
  <sheetFormatPr defaultRowHeight="15" customHeight="1"/>
  <cols>
    <col min="1" max="1" width="25.7109375" style="82" customWidth="1"/>
    <col min="2" max="2" width="25.7109375" style="83" customWidth="1"/>
    <col min="3" max="3" width="5.7109375" style="82" customWidth="1"/>
    <col min="4" max="4" width="25.7109375" style="82" customWidth="1"/>
    <col min="5" max="5" width="25.7109375" style="83" customWidth="1"/>
    <col min="6" max="6" width="5.7109375" style="82" customWidth="1"/>
    <col min="7" max="7" width="27.85546875" style="71" customWidth="1"/>
    <col min="8" max="8" width="13.42578125" style="71" customWidth="1"/>
    <col min="9" max="9" width="34.7109375" style="71" customWidth="1"/>
    <col min="10" max="10" width="26.85546875" style="71" customWidth="1"/>
    <col min="11" max="11" width="7.42578125" customWidth="1"/>
    <col min="12" max="12" width="9.5703125" style="71" customWidth="1"/>
    <col min="13" max="14" width="26.85546875" style="71" customWidth="1"/>
    <col min="15" max="16" width="15.7109375" customWidth="1"/>
    <col min="17" max="17" width="16.42578125" style="71" customWidth="1"/>
    <col min="18" max="18" width="34.7109375" style="71" customWidth="1"/>
    <col min="19" max="19" width="5.7109375" style="69" customWidth="1"/>
    <col min="20" max="20" width="22.85546875" style="71" customWidth="1"/>
    <col min="21" max="21" width="40.28515625" style="71" customWidth="1"/>
    <col min="22" max="22" width="5.7109375" style="69" customWidth="1"/>
    <col min="23" max="16384" width="9.140625" style="71"/>
  </cols>
  <sheetData>
    <row r="1" spans="1:24" ht="15" customHeight="1">
      <c r="A1" s="151">
        <v>1</v>
      </c>
      <c r="B1" s="152">
        <v>2</v>
      </c>
      <c r="C1" s="151">
        <v>3</v>
      </c>
      <c r="D1" s="151">
        <v>4</v>
      </c>
      <c r="E1" s="152">
        <v>5</v>
      </c>
      <c r="F1" s="151">
        <v>6</v>
      </c>
      <c r="G1" s="68">
        <v>7</v>
      </c>
      <c r="H1" s="68">
        <v>8</v>
      </c>
      <c r="I1" s="68">
        <v>9</v>
      </c>
      <c r="J1" s="68">
        <v>10</v>
      </c>
      <c r="K1">
        <v>11</v>
      </c>
      <c r="L1" s="68">
        <v>12</v>
      </c>
      <c r="M1" s="68">
        <v>13</v>
      </c>
      <c r="N1" s="68">
        <v>14</v>
      </c>
      <c r="O1">
        <v>15</v>
      </c>
      <c r="P1">
        <v>16</v>
      </c>
      <c r="Q1" s="71">
        <v>17</v>
      </c>
      <c r="R1" s="71">
        <v>18</v>
      </c>
    </row>
    <row r="3" spans="1:24" ht="15" customHeight="1">
      <c r="A3" s="140" t="s">
        <v>252</v>
      </c>
      <c r="B3" s="141"/>
      <c r="D3" s="80" t="s">
        <v>253</v>
      </c>
      <c r="E3" s="81"/>
      <c r="G3" s="140" t="s">
        <v>264</v>
      </c>
      <c r="L3" s="160" t="s">
        <v>355</v>
      </c>
      <c r="Q3" s="67" t="s">
        <v>147</v>
      </c>
      <c r="R3" s="68"/>
      <c r="T3" s="67" t="s">
        <v>109</v>
      </c>
      <c r="U3" s="70"/>
    </row>
    <row r="4" spans="1:24" ht="15" customHeight="1">
      <c r="A4" s="142" t="s">
        <v>110</v>
      </c>
      <c r="B4" s="142" t="s">
        <v>111</v>
      </c>
      <c r="D4" s="133" t="s">
        <v>110</v>
      </c>
      <c r="E4" s="133" t="s">
        <v>111</v>
      </c>
      <c r="G4" s="142" t="s">
        <v>311</v>
      </c>
      <c r="H4" s="142" t="s">
        <v>308</v>
      </c>
      <c r="I4" s="142" t="s">
        <v>309</v>
      </c>
      <c r="J4" s="142" t="s">
        <v>310</v>
      </c>
      <c r="L4" s="142" t="s">
        <v>318</v>
      </c>
      <c r="M4" s="142" t="s">
        <v>319</v>
      </c>
      <c r="N4"/>
      <c r="Q4" s="72" t="s">
        <v>110</v>
      </c>
      <c r="R4" s="72" t="s">
        <v>111</v>
      </c>
      <c r="T4" s="72" t="s">
        <v>110</v>
      </c>
      <c r="U4" s="72" t="s">
        <v>111</v>
      </c>
    </row>
    <row r="5" spans="1:24" ht="15" customHeight="1">
      <c r="A5" s="143" t="s">
        <v>254</v>
      </c>
      <c r="B5" s="144" t="s">
        <v>255</v>
      </c>
      <c r="D5" s="150" t="s">
        <v>256</v>
      </c>
      <c r="E5" s="150" t="s">
        <v>257</v>
      </c>
      <c r="G5" s="128" t="s">
        <v>143</v>
      </c>
      <c r="H5" s="128" t="s">
        <v>307</v>
      </c>
      <c r="I5" s="130" t="s">
        <v>246</v>
      </c>
      <c r="J5" s="130" t="s">
        <v>229</v>
      </c>
      <c r="L5" s="130">
        <v>2</v>
      </c>
      <c r="M5" s="130" t="s">
        <v>320</v>
      </c>
      <c r="N5"/>
      <c r="O5" s="90"/>
      <c r="P5" s="90"/>
      <c r="Q5" s="91" t="s">
        <v>223</v>
      </c>
      <c r="R5" s="76" t="s">
        <v>224</v>
      </c>
      <c r="S5" s="71"/>
      <c r="T5" s="92" t="s">
        <v>69</v>
      </c>
      <c r="U5" s="93" t="s">
        <v>241</v>
      </c>
      <c r="V5" s="71"/>
    </row>
    <row r="6" spans="1:24" ht="15" customHeight="1">
      <c r="A6" s="143" t="s">
        <v>258</v>
      </c>
      <c r="B6" s="145" t="b">
        <v>1</v>
      </c>
      <c r="D6" s="134" t="s">
        <v>254</v>
      </c>
      <c r="E6" s="135" t="s">
        <v>255</v>
      </c>
      <c r="G6" s="128" t="s">
        <v>207</v>
      </c>
      <c r="H6" s="128" t="s">
        <v>305</v>
      </c>
      <c r="I6" s="130" t="s">
        <v>245</v>
      </c>
      <c r="J6" s="130" t="s">
        <v>373</v>
      </c>
      <c r="L6" s="130">
        <v>3</v>
      </c>
      <c r="M6" s="130" t="s">
        <v>377</v>
      </c>
      <c r="N6" s="77"/>
      <c r="O6" s="90"/>
      <c r="P6" s="90"/>
      <c r="Q6" s="91" t="s">
        <v>227</v>
      </c>
      <c r="R6" s="76" t="s">
        <v>249</v>
      </c>
      <c r="S6" s="71"/>
      <c r="T6" s="92" t="s">
        <v>4</v>
      </c>
      <c r="U6" s="94">
        <v>43634</v>
      </c>
      <c r="V6" s="71"/>
    </row>
    <row r="7" spans="1:24" ht="15" customHeight="1">
      <c r="A7" s="143" t="s">
        <v>259</v>
      </c>
      <c r="B7" s="145" t="b">
        <v>1</v>
      </c>
      <c r="D7" s="134" t="s">
        <v>258</v>
      </c>
      <c r="E7" s="136" t="b">
        <v>1</v>
      </c>
      <c r="G7" s="128" t="s">
        <v>209</v>
      </c>
      <c r="H7" s="128" t="s">
        <v>306</v>
      </c>
      <c r="I7" s="130" t="s">
        <v>225</v>
      </c>
      <c r="J7" s="130" t="s">
        <v>231</v>
      </c>
      <c r="L7" s="130">
        <v>4</v>
      </c>
      <c r="M7" s="130" t="s">
        <v>321</v>
      </c>
      <c r="N7" s="77"/>
      <c r="O7" s="90"/>
      <c r="P7" s="90"/>
      <c r="Q7" s="91" t="s">
        <v>267</v>
      </c>
      <c r="R7" s="95" t="s">
        <v>250</v>
      </c>
      <c r="S7" s="71"/>
      <c r="T7" s="92" t="s">
        <v>148</v>
      </c>
      <c r="U7" s="96" t="s">
        <v>242</v>
      </c>
      <c r="V7" s="71"/>
      <c r="X7" s="71" t="s">
        <v>285</v>
      </c>
    </row>
    <row r="8" spans="1:24" ht="15" customHeight="1">
      <c r="A8" s="143" t="s">
        <v>260</v>
      </c>
      <c r="B8" s="144" t="s">
        <v>261</v>
      </c>
      <c r="D8" s="134" t="s">
        <v>259</v>
      </c>
      <c r="E8" s="136" t="b">
        <v>1</v>
      </c>
      <c r="G8" s="128" t="s">
        <v>247</v>
      </c>
      <c r="H8" s="128" t="s">
        <v>224</v>
      </c>
      <c r="I8" s="130"/>
      <c r="J8" s="130" t="s">
        <v>230</v>
      </c>
      <c r="L8" s="130">
        <v>5</v>
      </c>
      <c r="M8" s="130" t="s">
        <v>322</v>
      </c>
      <c r="N8" s="77"/>
      <c r="O8" s="90"/>
      <c r="P8" s="90"/>
      <c r="Q8" s="91" t="s">
        <v>238</v>
      </c>
      <c r="R8" s="97"/>
      <c r="S8" s="71"/>
      <c r="T8" s="92" t="s">
        <v>7</v>
      </c>
      <c r="U8" s="89">
        <v>43634</v>
      </c>
      <c r="V8" s="71"/>
    </row>
    <row r="9" spans="1:24" ht="15" customHeight="1">
      <c r="A9" s="143" t="s">
        <v>262</v>
      </c>
      <c r="B9" s="144" t="s">
        <v>263</v>
      </c>
      <c r="D9" s="134" t="s">
        <v>260</v>
      </c>
      <c r="E9" s="135" t="s">
        <v>261</v>
      </c>
      <c r="G9" s="128" t="s">
        <v>144</v>
      </c>
      <c r="H9" s="128"/>
      <c r="I9" s="130"/>
      <c r="J9" s="130"/>
      <c r="L9" s="130">
        <v>6</v>
      </c>
      <c r="M9" s="130" t="s">
        <v>408</v>
      </c>
      <c r="N9" s="77"/>
      <c r="O9" s="90"/>
      <c r="P9" s="90"/>
      <c r="Q9" s="91" t="s">
        <v>239</v>
      </c>
      <c r="R9" s="97"/>
      <c r="S9" s="71"/>
      <c r="T9" s="92" t="s">
        <v>6</v>
      </c>
      <c r="U9" s="89" t="s">
        <v>248</v>
      </c>
      <c r="V9" s="71"/>
    </row>
    <row r="10" spans="1:24" ht="15" customHeight="1">
      <c r="A10" s="143"/>
      <c r="B10" s="144"/>
      <c r="D10" s="134"/>
      <c r="E10" s="135"/>
      <c r="G10" s="130" t="s">
        <v>353</v>
      </c>
      <c r="H10" s="128"/>
      <c r="I10" s="130"/>
      <c r="J10" s="130"/>
      <c r="L10" s="130">
        <v>7</v>
      </c>
      <c r="M10" s="130" t="s">
        <v>378</v>
      </c>
      <c r="N10" s="77"/>
      <c r="O10" s="90"/>
      <c r="P10" s="90"/>
      <c r="Q10" s="91"/>
      <c r="R10" s="97"/>
      <c r="S10" s="71"/>
      <c r="T10" s="92"/>
      <c r="U10" s="89"/>
      <c r="V10" s="71"/>
    </row>
    <row r="11" spans="1:24" ht="15" customHeight="1">
      <c r="A11" s="143" t="s">
        <v>361</v>
      </c>
      <c r="B11" s="128" t="s">
        <v>307</v>
      </c>
      <c r="D11" s="134"/>
      <c r="E11" s="135"/>
      <c r="G11" s="130"/>
      <c r="H11" s="131"/>
      <c r="I11" s="130"/>
      <c r="J11" s="130"/>
      <c r="L11" s="130">
        <v>8</v>
      </c>
      <c r="M11" s="130" t="s">
        <v>323</v>
      </c>
      <c r="N11" s="77"/>
      <c r="O11" s="90"/>
      <c r="P11" s="90"/>
      <c r="Q11" s="91" t="s">
        <v>228</v>
      </c>
      <c r="R11" s="97"/>
      <c r="S11" s="71"/>
      <c r="T11" s="92"/>
      <c r="U11" s="89"/>
      <c r="V11" s="71"/>
    </row>
    <row r="12" spans="1:24" ht="15" customHeight="1">
      <c r="A12" s="143" t="s">
        <v>265</v>
      </c>
      <c r="B12" s="128" t="s">
        <v>307</v>
      </c>
      <c r="D12" s="134"/>
      <c r="E12" s="135"/>
      <c r="G12" s="129"/>
      <c r="H12" s="132"/>
      <c r="I12" s="129"/>
      <c r="J12" s="129"/>
      <c r="L12" s="130">
        <v>9</v>
      </c>
      <c r="M12" s="130" t="s">
        <v>324</v>
      </c>
      <c r="N12" s="77"/>
      <c r="O12" s="90"/>
      <c r="P12" s="90"/>
      <c r="Q12" s="91" t="s">
        <v>120</v>
      </c>
      <c r="R12" s="97"/>
      <c r="S12" s="71"/>
      <c r="T12" s="92"/>
      <c r="U12" s="98" t="e">
        <f>プロジェクト名 &amp; IF(システム名="",""," ["&amp;システム名&amp;"]") &amp; "DB設計書"</f>
        <v>#NAME?</v>
      </c>
      <c r="V12" s="71"/>
    </row>
    <row r="13" spans="1:24" ht="15" customHeight="1">
      <c r="A13" s="143" t="s">
        <v>266</v>
      </c>
      <c r="B13" s="144" t="s">
        <v>375</v>
      </c>
      <c r="D13" s="134"/>
      <c r="E13" s="135"/>
      <c r="H13"/>
      <c r="L13" s="130">
        <v>10</v>
      </c>
      <c r="M13" s="130" t="s">
        <v>325</v>
      </c>
      <c r="O13" s="90"/>
      <c r="P13" s="90"/>
      <c r="Q13" s="91" t="s">
        <v>142</v>
      </c>
      <c r="R13" s="97"/>
      <c r="S13" s="71"/>
      <c r="V13" s="71"/>
    </row>
    <row r="14" spans="1:24" ht="15" customHeight="1">
      <c r="A14" s="143" t="s">
        <v>268</v>
      </c>
      <c r="B14" s="144" t="s">
        <v>376</v>
      </c>
      <c r="D14" s="134"/>
      <c r="E14" s="135"/>
      <c r="H14"/>
      <c r="L14" s="130">
        <v>11</v>
      </c>
      <c r="M14" s="154" t="s">
        <v>400</v>
      </c>
      <c r="O14" s="90"/>
      <c r="P14" s="90"/>
      <c r="Q14" s="91" t="s">
        <v>232</v>
      </c>
      <c r="R14" s="97"/>
      <c r="S14" s="71"/>
      <c r="T14" s="74"/>
      <c r="U14" s="74"/>
      <c r="V14" s="71"/>
    </row>
    <row r="15" spans="1:24" ht="15" customHeight="1">
      <c r="A15" s="143" t="s">
        <v>356</v>
      </c>
      <c r="B15" s="144"/>
      <c r="D15" s="134"/>
      <c r="E15" s="135"/>
      <c r="H15"/>
      <c r="L15" s="130">
        <v>12</v>
      </c>
      <c r="M15" s="130" t="s">
        <v>326</v>
      </c>
      <c r="O15" s="90"/>
      <c r="P15" s="90"/>
      <c r="Q15" s="91" t="s">
        <v>233</v>
      </c>
      <c r="R15" s="76" t="s">
        <v>243</v>
      </c>
      <c r="S15" s="71"/>
      <c r="T15" s="74"/>
      <c r="U15" s="74"/>
      <c r="V15" s="71"/>
    </row>
    <row r="16" spans="1:24" ht="15" customHeight="1">
      <c r="A16" s="146" t="s">
        <v>352</v>
      </c>
      <c r="B16" s="144"/>
      <c r="D16" s="134"/>
      <c r="E16" s="135"/>
      <c r="H16"/>
      <c r="L16" s="130">
        <v>13</v>
      </c>
      <c r="M16" s="130" t="s">
        <v>327</v>
      </c>
      <c r="O16" s="90"/>
      <c r="P16" s="90"/>
      <c r="Q16" s="91" t="s">
        <v>234</v>
      </c>
      <c r="R16" s="76" t="s">
        <v>244</v>
      </c>
      <c r="S16" s="71"/>
      <c r="T16" s="74"/>
      <c r="U16" s="74"/>
      <c r="V16" s="71"/>
    </row>
    <row r="17" spans="1:22" ht="15" customHeight="1">
      <c r="A17" s="146" t="s">
        <v>351</v>
      </c>
      <c r="B17" s="144"/>
      <c r="D17" s="150"/>
      <c r="E17" s="150"/>
      <c r="L17" s="130">
        <v>14</v>
      </c>
      <c r="M17" s="130" t="s">
        <v>328</v>
      </c>
      <c r="O17" s="90"/>
      <c r="P17" s="90"/>
      <c r="Q17" s="91"/>
      <c r="R17" s="76"/>
      <c r="S17" s="71"/>
      <c r="T17" s="74"/>
      <c r="U17" s="74"/>
      <c r="V17" s="71"/>
    </row>
    <row r="18" spans="1:22" ht="15" customHeight="1">
      <c r="A18" s="143" t="s">
        <v>277</v>
      </c>
      <c r="B18" s="144"/>
      <c r="D18" s="137"/>
      <c r="E18" s="135"/>
      <c r="L18" s="130">
        <v>16</v>
      </c>
      <c r="M18" s="130" t="s">
        <v>329</v>
      </c>
      <c r="O18" s="90"/>
      <c r="P18" s="90"/>
      <c r="S18" s="71"/>
      <c r="T18" s="74"/>
      <c r="U18" s="74"/>
      <c r="V18" s="71"/>
    </row>
    <row r="19" spans="1:22" ht="15" customHeight="1">
      <c r="A19" s="143" t="s">
        <v>278</v>
      </c>
      <c r="B19" s="144"/>
      <c r="D19" s="137"/>
      <c r="E19" s="135"/>
      <c r="H19" s="99"/>
      <c r="L19" s="130">
        <v>17</v>
      </c>
      <c r="M19" s="130" t="s">
        <v>330</v>
      </c>
      <c r="O19" s="90"/>
      <c r="P19" s="90"/>
      <c r="Q19" s="237" t="s">
        <v>112</v>
      </c>
      <c r="R19" s="238"/>
      <c r="S19" s="71"/>
      <c r="T19" s="74"/>
      <c r="U19" s="74"/>
      <c r="V19" s="71"/>
    </row>
    <row r="20" spans="1:22" ht="15" customHeight="1">
      <c r="A20" s="143"/>
      <c r="B20" s="144"/>
      <c r="D20" s="137"/>
      <c r="E20" s="135"/>
      <c r="H20" s="99"/>
      <c r="L20" s="130">
        <v>18</v>
      </c>
      <c r="M20" s="130" t="s">
        <v>331</v>
      </c>
      <c r="O20" s="90"/>
      <c r="P20" s="90"/>
      <c r="Q20" s="75" t="s">
        <v>235</v>
      </c>
      <c r="R20" s="76">
        <v>10</v>
      </c>
      <c r="S20" s="71"/>
      <c r="T20" s="74"/>
      <c r="U20" s="74"/>
      <c r="V20" s="71"/>
    </row>
    <row r="21" spans="1:22" ht="15" customHeight="1">
      <c r="A21" s="146" t="s">
        <v>279</v>
      </c>
      <c r="B21" s="147" t="s">
        <v>302</v>
      </c>
      <c r="D21" s="137"/>
      <c r="E21" s="135"/>
      <c r="H21" s="99"/>
      <c r="L21" s="130">
        <v>19</v>
      </c>
      <c r="M21" s="130" t="s">
        <v>332</v>
      </c>
      <c r="O21" s="90"/>
      <c r="P21" s="90"/>
      <c r="Q21" s="75" t="s">
        <v>72</v>
      </c>
      <c r="R21" s="76">
        <v>8192</v>
      </c>
      <c r="S21" s="71"/>
      <c r="T21" s="74"/>
      <c r="U21" s="74"/>
      <c r="V21" s="71"/>
    </row>
    <row r="22" spans="1:22" ht="15" customHeight="1">
      <c r="A22" s="146" t="s">
        <v>280</v>
      </c>
      <c r="B22" s="144" t="s">
        <v>303</v>
      </c>
      <c r="D22" s="134"/>
      <c r="E22" s="135"/>
      <c r="H22" s="99"/>
      <c r="L22" s="130">
        <v>20</v>
      </c>
      <c r="M22" s="130" t="s">
        <v>333</v>
      </c>
      <c r="O22" s="90"/>
      <c r="P22" s="90"/>
      <c r="Q22" s="75"/>
      <c r="R22" s="76"/>
      <c r="S22" s="71"/>
      <c r="T22" s="74"/>
      <c r="U22" s="74"/>
      <c r="V22" s="71"/>
    </row>
    <row r="23" spans="1:22" ht="15" customHeight="1">
      <c r="A23" s="143" t="s">
        <v>282</v>
      </c>
      <c r="B23" s="144" t="s">
        <v>304</v>
      </c>
      <c r="D23" s="137"/>
      <c r="E23" s="135"/>
      <c r="H23" s="99"/>
      <c r="L23" s="130">
        <v>21</v>
      </c>
      <c r="M23" s="130" t="s">
        <v>334</v>
      </c>
      <c r="O23" s="90"/>
      <c r="P23" s="90"/>
      <c r="S23" s="71"/>
      <c r="T23" s="74"/>
      <c r="U23" s="74"/>
      <c r="V23" s="71"/>
    </row>
    <row r="24" spans="1:22" ht="15" customHeight="1">
      <c r="A24" s="143" t="s">
        <v>283</v>
      </c>
      <c r="B24" s="159">
        <v>44287</v>
      </c>
      <c r="D24" s="137"/>
      <c r="E24" s="135"/>
      <c r="H24" s="99"/>
      <c r="L24" s="130">
        <v>64</v>
      </c>
      <c r="M24" s="130" t="s">
        <v>335</v>
      </c>
      <c r="O24" s="90"/>
      <c r="P24" s="90"/>
      <c r="Q24" s="237"/>
      <c r="R24" s="238"/>
      <c r="S24" s="71"/>
      <c r="T24" s="74"/>
      <c r="U24" s="74"/>
      <c r="V24" s="71"/>
    </row>
    <row r="25" spans="1:22" ht="15" customHeight="1">
      <c r="A25" s="143"/>
      <c r="B25" s="144"/>
      <c r="D25" s="134"/>
      <c r="E25" s="135"/>
      <c r="H25" s="99"/>
      <c r="L25" s="130">
        <v>72</v>
      </c>
      <c r="M25" s="130" t="s">
        <v>336</v>
      </c>
      <c r="O25" s="90"/>
      <c r="P25" s="90"/>
      <c r="Q25" s="75"/>
      <c r="R25" s="76"/>
      <c r="S25" s="71"/>
      <c r="V25" s="71"/>
    </row>
    <row r="26" spans="1:22" ht="15" customHeight="1">
      <c r="A26" s="143"/>
      <c r="B26" s="144"/>
      <c r="D26" s="134"/>
      <c r="E26" s="135"/>
      <c r="H26" s="99"/>
      <c r="L26" s="130">
        <v>128</v>
      </c>
      <c r="M26" s="130" t="s">
        <v>337</v>
      </c>
      <c r="O26" s="90"/>
      <c r="P26" s="90"/>
      <c r="Q26" s="75" t="s">
        <v>72</v>
      </c>
      <c r="R26" s="76">
        <v>8192</v>
      </c>
      <c r="S26" s="71"/>
      <c r="T26" s="74"/>
      <c r="U26" s="74"/>
      <c r="V26" s="71"/>
    </row>
    <row r="27" spans="1:22" ht="15" customHeight="1">
      <c r="A27" s="143" t="s">
        <v>291</v>
      </c>
      <c r="B27" s="144">
        <v>289</v>
      </c>
      <c r="D27" s="134"/>
      <c r="E27" s="135"/>
      <c r="H27" s="99"/>
      <c r="L27" s="130">
        <v>129</v>
      </c>
      <c r="M27" s="130" t="s">
        <v>338</v>
      </c>
      <c r="O27" s="90"/>
      <c r="P27" s="90"/>
      <c r="Q27" s="75" t="s">
        <v>236</v>
      </c>
      <c r="R27" s="76">
        <v>1</v>
      </c>
      <c r="S27" s="71"/>
      <c r="T27" s="74"/>
      <c r="U27" s="74"/>
      <c r="V27" s="71"/>
    </row>
    <row r="28" spans="1:22" ht="15" customHeight="1">
      <c r="A28" s="143" t="s">
        <v>292</v>
      </c>
      <c r="B28" s="144">
        <v>1852</v>
      </c>
      <c r="D28" s="134"/>
      <c r="E28" s="135"/>
      <c r="H28" s="77"/>
      <c r="L28" s="130">
        <v>130</v>
      </c>
      <c r="M28" s="130" t="s">
        <v>339</v>
      </c>
      <c r="O28" s="90"/>
      <c r="P28" s="90"/>
      <c r="S28" s="71"/>
      <c r="T28" s="74"/>
      <c r="U28" s="74"/>
      <c r="V28" s="71"/>
    </row>
    <row r="29" spans="1:22" ht="15" customHeight="1">
      <c r="A29" s="143"/>
      <c r="B29" s="144"/>
      <c r="D29" s="134"/>
      <c r="E29" s="135"/>
      <c r="H29" s="77"/>
      <c r="L29" s="130">
        <v>131</v>
      </c>
      <c r="M29" s="130" t="s">
        <v>340</v>
      </c>
      <c r="O29" s="90"/>
      <c r="P29" s="90"/>
      <c r="S29" s="71"/>
      <c r="V29" s="71"/>
    </row>
    <row r="30" spans="1:22" ht="15" customHeight="1">
      <c r="A30" s="143" t="s">
        <v>432</v>
      </c>
      <c r="B30" s="144" t="s">
        <v>433</v>
      </c>
      <c r="D30" s="134"/>
      <c r="E30" s="135"/>
      <c r="H30" s="77"/>
      <c r="L30" s="130">
        <v>132</v>
      </c>
      <c r="M30" s="130" t="s">
        <v>341</v>
      </c>
      <c r="O30" s="90"/>
      <c r="P30" s="90"/>
      <c r="S30" s="71"/>
      <c r="V30" s="71"/>
    </row>
    <row r="31" spans="1:22" ht="15" customHeight="1">
      <c r="A31" s="143" t="s">
        <v>428</v>
      </c>
      <c r="B31" s="144" t="s">
        <v>430</v>
      </c>
      <c r="D31" s="134"/>
      <c r="E31" s="135"/>
      <c r="H31" s="77"/>
      <c r="L31" s="130">
        <v>133</v>
      </c>
      <c r="M31" s="130" t="s">
        <v>342</v>
      </c>
      <c r="O31" s="90"/>
      <c r="P31" s="90"/>
      <c r="S31" s="71"/>
      <c r="V31" s="71"/>
    </row>
    <row r="32" spans="1:22" ht="15" customHeight="1">
      <c r="A32" s="143" t="s">
        <v>429</v>
      </c>
      <c r="B32" s="144" t="s">
        <v>431</v>
      </c>
      <c r="D32" s="134"/>
      <c r="E32" s="135"/>
      <c r="H32" s="77"/>
      <c r="L32" s="130">
        <v>134</v>
      </c>
      <c r="M32" s="130" t="s">
        <v>343</v>
      </c>
      <c r="O32" s="90"/>
      <c r="P32" s="90"/>
      <c r="S32" s="71"/>
      <c r="V32" s="71"/>
    </row>
    <row r="33" spans="1:22" ht="15" customHeight="1">
      <c r="A33" s="143"/>
      <c r="B33" s="144"/>
      <c r="D33" s="134"/>
      <c r="E33" s="135"/>
      <c r="H33" s="77"/>
      <c r="L33" s="130">
        <v>135</v>
      </c>
      <c r="M33" s="130" t="s">
        <v>344</v>
      </c>
      <c r="O33" s="90"/>
      <c r="P33" s="90"/>
      <c r="S33" s="71"/>
      <c r="V33" s="71"/>
    </row>
    <row r="34" spans="1:22" ht="15" customHeight="1">
      <c r="A34" s="143" t="s">
        <v>411</v>
      </c>
      <c r="B34" s="144" t="s">
        <v>412</v>
      </c>
      <c r="D34" s="134"/>
      <c r="E34" s="135"/>
      <c r="H34" s="77"/>
      <c r="L34" s="130">
        <v>136</v>
      </c>
      <c r="M34" s="130" t="s">
        <v>345</v>
      </c>
      <c r="O34" s="90"/>
      <c r="P34" s="90"/>
      <c r="S34" s="71"/>
      <c r="V34" s="71"/>
    </row>
    <row r="35" spans="1:22" ht="15" customHeight="1">
      <c r="A35" s="143" t="s">
        <v>410</v>
      </c>
      <c r="B35" s="144" t="s">
        <v>413</v>
      </c>
      <c r="D35" s="134"/>
      <c r="E35" s="135"/>
      <c r="H35" s="77"/>
      <c r="L35" s="130">
        <v>138</v>
      </c>
      <c r="M35" s="130" t="s">
        <v>346</v>
      </c>
      <c r="O35" s="90"/>
      <c r="P35" s="90"/>
      <c r="S35" s="71"/>
      <c r="V35" s="71"/>
    </row>
    <row r="36" spans="1:22" ht="15" customHeight="1">
      <c r="A36" s="143" t="s">
        <v>414</v>
      </c>
      <c r="B36" s="144" t="s">
        <v>415</v>
      </c>
      <c r="D36" s="134"/>
      <c r="E36" s="135"/>
      <c r="H36" s="77"/>
      <c r="L36" s="130">
        <v>139</v>
      </c>
      <c r="M36" s="130" t="s">
        <v>347</v>
      </c>
      <c r="O36" s="90"/>
      <c r="P36" s="90"/>
      <c r="S36" s="71"/>
      <c r="V36" s="71"/>
    </row>
    <row r="37" spans="1:22" ht="15" customHeight="1">
      <c r="A37" s="143" t="s">
        <v>416</v>
      </c>
      <c r="B37" s="144" t="s">
        <v>417</v>
      </c>
      <c r="D37" s="134"/>
      <c r="E37" s="135"/>
      <c r="H37" s="77"/>
      <c r="L37" s="130">
        <v>200</v>
      </c>
      <c r="M37" s="130" t="s">
        <v>348</v>
      </c>
      <c r="O37" s="90"/>
      <c r="P37" s="90"/>
      <c r="S37" s="71"/>
      <c r="V37" s="71"/>
    </row>
    <row r="38" spans="1:22" ht="15" customHeight="1">
      <c r="A38" s="143" t="s">
        <v>418</v>
      </c>
      <c r="B38" s="144" t="s">
        <v>420</v>
      </c>
      <c r="D38" s="134"/>
      <c r="E38" s="135"/>
      <c r="H38" s="77"/>
      <c r="L38" s="130">
        <v>201</v>
      </c>
      <c r="M38" s="130" t="s">
        <v>349</v>
      </c>
      <c r="O38" s="90"/>
      <c r="P38" s="90"/>
      <c r="S38" s="71"/>
      <c r="V38" s="71"/>
    </row>
    <row r="39" spans="1:22" ht="15" customHeight="1">
      <c r="A39" s="143" t="s">
        <v>419</v>
      </c>
      <c r="B39" s="144" t="s">
        <v>421</v>
      </c>
      <c r="D39" s="134"/>
      <c r="E39" s="135"/>
      <c r="H39" s="77"/>
      <c r="L39" s="130">
        <v>202</v>
      </c>
      <c r="M39" s="130" t="s">
        <v>406</v>
      </c>
      <c r="O39" s="90"/>
      <c r="P39" s="90"/>
      <c r="S39" s="71"/>
      <c r="V39" s="71"/>
    </row>
    <row r="40" spans="1:22" ht="15" customHeight="1">
      <c r="A40" s="143" t="s">
        <v>422</v>
      </c>
      <c r="B40" s="144" t="s">
        <v>425</v>
      </c>
      <c r="D40" s="134"/>
      <c r="E40" s="135"/>
      <c r="H40" s="77"/>
      <c r="L40" s="130">
        <v>203</v>
      </c>
      <c r="M40" s="130" t="s">
        <v>407</v>
      </c>
      <c r="O40" s="90"/>
      <c r="P40" s="90"/>
      <c r="S40" s="71"/>
      <c r="V40" s="71"/>
    </row>
    <row r="41" spans="1:22" ht="15" customHeight="1">
      <c r="A41" s="143" t="s">
        <v>423</v>
      </c>
      <c r="B41" s="144" t="s">
        <v>426</v>
      </c>
      <c r="D41" s="134"/>
      <c r="E41" s="135"/>
      <c r="H41" s="77"/>
      <c r="L41" s="130">
        <v>204</v>
      </c>
      <c r="M41" s="130" t="s">
        <v>350</v>
      </c>
      <c r="O41" s="90"/>
      <c r="P41" s="90"/>
      <c r="S41" s="71"/>
      <c r="V41" s="71"/>
    </row>
    <row r="42" spans="1:22" ht="15" customHeight="1">
      <c r="A42" s="143" t="s">
        <v>424</v>
      </c>
      <c r="B42" s="144" t="s">
        <v>427</v>
      </c>
      <c r="D42" s="134"/>
      <c r="E42" s="135"/>
      <c r="H42" s="77"/>
      <c r="L42" s="129">
        <v>205</v>
      </c>
      <c r="M42" s="129" t="s">
        <v>409</v>
      </c>
      <c r="O42" s="90"/>
      <c r="P42" s="90"/>
      <c r="S42" s="71"/>
      <c r="V42" s="71"/>
    </row>
    <row r="43" spans="1:22" ht="15" customHeight="1">
      <c r="A43" s="143"/>
      <c r="B43" s="144"/>
      <c r="D43" s="134"/>
      <c r="E43" s="135"/>
      <c r="H43" s="77"/>
      <c r="O43" s="90"/>
      <c r="P43" s="90"/>
      <c r="S43" s="71"/>
      <c r="V43" s="71"/>
    </row>
    <row r="44" spans="1:22" ht="15" customHeight="1">
      <c r="A44" s="143"/>
      <c r="B44" s="144"/>
      <c r="D44" s="134"/>
      <c r="E44" s="135"/>
      <c r="H44" s="77"/>
      <c r="O44" s="90"/>
      <c r="P44" s="90"/>
      <c r="S44" s="71"/>
      <c r="V44" s="71"/>
    </row>
    <row r="45" spans="1:22" ht="15" customHeight="1">
      <c r="A45" s="143"/>
      <c r="B45" s="144"/>
      <c r="D45" s="134"/>
      <c r="E45" s="135"/>
      <c r="H45" s="77"/>
      <c r="O45" s="90"/>
      <c r="P45" s="90"/>
      <c r="S45" s="71"/>
      <c r="V45" s="71"/>
    </row>
    <row r="46" spans="1:22" ht="15" customHeight="1">
      <c r="A46" s="143"/>
      <c r="B46" s="144"/>
      <c r="D46" s="134"/>
      <c r="E46" s="135"/>
      <c r="H46" s="77"/>
      <c r="O46" s="90"/>
      <c r="P46" s="90"/>
      <c r="S46" s="71"/>
      <c r="V46" s="71"/>
    </row>
    <row r="47" spans="1:22" ht="15" customHeight="1">
      <c r="A47" s="143"/>
      <c r="B47" s="144"/>
      <c r="D47" s="134"/>
      <c r="E47" s="135"/>
      <c r="H47" s="77"/>
      <c r="O47" s="90"/>
      <c r="P47" s="90"/>
      <c r="S47" s="71"/>
      <c r="V47" s="71"/>
    </row>
    <row r="48" spans="1:22" ht="15" customHeight="1">
      <c r="A48" s="143"/>
      <c r="B48" s="144"/>
      <c r="D48" s="134"/>
      <c r="E48" s="135"/>
      <c r="H48" s="77"/>
      <c r="O48" s="90"/>
      <c r="P48" s="90"/>
      <c r="S48" s="71"/>
      <c r="V48" s="71"/>
    </row>
    <row r="49" spans="1:22" ht="15" customHeight="1">
      <c r="A49" s="143"/>
      <c r="B49" s="144"/>
      <c r="D49" s="134"/>
      <c r="E49" s="135"/>
      <c r="H49" s="77"/>
      <c r="O49" s="90"/>
      <c r="P49" s="90"/>
      <c r="S49" s="71"/>
      <c r="V49" s="71"/>
    </row>
    <row r="50" spans="1:22" ht="15" customHeight="1">
      <c r="A50" s="143"/>
      <c r="B50" s="144"/>
      <c r="D50" s="134"/>
      <c r="E50" s="135"/>
      <c r="H50" s="77"/>
      <c r="O50" s="90"/>
      <c r="P50" s="90"/>
      <c r="S50" s="71"/>
      <c r="V50" s="71"/>
    </row>
    <row r="51" spans="1:22" ht="15" customHeight="1">
      <c r="A51" s="143"/>
      <c r="B51" s="144"/>
      <c r="D51" s="134"/>
      <c r="E51" s="135"/>
      <c r="H51" s="77"/>
      <c r="O51" s="90"/>
      <c r="P51" s="90"/>
      <c r="S51" s="71"/>
      <c r="V51" s="71"/>
    </row>
    <row r="52" spans="1:22" ht="15" customHeight="1">
      <c r="A52" s="143"/>
      <c r="B52" s="144"/>
      <c r="D52" s="134"/>
      <c r="E52" s="135"/>
      <c r="H52" s="77"/>
      <c r="O52" s="90"/>
      <c r="P52" s="90"/>
      <c r="S52" s="71"/>
      <c r="T52" s="74"/>
      <c r="U52" s="74"/>
      <c r="V52" s="71"/>
    </row>
    <row r="53" spans="1:22" ht="15" customHeight="1">
      <c r="A53" s="143"/>
      <c r="B53" s="144"/>
      <c r="D53" s="134"/>
      <c r="E53" s="135"/>
      <c r="H53" s="77"/>
      <c r="O53" s="90"/>
      <c r="P53" s="90"/>
      <c r="S53" s="71"/>
      <c r="T53" s="74"/>
      <c r="U53" s="74"/>
      <c r="V53" s="71"/>
    </row>
    <row r="54" spans="1:22" ht="15" customHeight="1">
      <c r="A54" s="143"/>
      <c r="B54" s="144"/>
      <c r="D54" s="134"/>
      <c r="E54" s="135"/>
      <c r="H54" s="77"/>
      <c r="O54" s="90"/>
      <c r="P54" s="90"/>
      <c r="S54" s="71"/>
      <c r="T54" s="74"/>
      <c r="U54" s="74"/>
      <c r="V54" s="71"/>
    </row>
    <row r="55" spans="1:22" ht="15" customHeight="1">
      <c r="A55" s="143"/>
      <c r="B55" s="144"/>
      <c r="D55" s="134"/>
      <c r="E55" s="135"/>
      <c r="H55" s="77"/>
      <c r="O55" s="90"/>
      <c r="P55" s="90"/>
      <c r="S55" s="71"/>
      <c r="V55" s="71"/>
    </row>
    <row r="56" spans="1:22" ht="15" customHeight="1">
      <c r="A56" s="143"/>
      <c r="B56" s="144"/>
      <c r="D56" s="134"/>
      <c r="E56" s="135"/>
      <c r="H56" s="77"/>
      <c r="O56" s="90"/>
      <c r="P56" s="90"/>
      <c r="S56" s="71"/>
      <c r="V56" s="71"/>
    </row>
    <row r="57" spans="1:22" ht="15" customHeight="1">
      <c r="A57" s="143"/>
      <c r="B57" s="144"/>
      <c r="D57" s="134"/>
      <c r="E57" s="135"/>
      <c r="H57" s="77"/>
      <c r="O57" s="90"/>
      <c r="P57" s="90"/>
      <c r="S57" s="71"/>
      <c r="V57" s="71"/>
    </row>
    <row r="58" spans="1:22" ht="15" customHeight="1">
      <c r="A58" s="143"/>
      <c r="B58" s="144"/>
      <c r="D58" s="134"/>
      <c r="E58" s="135"/>
      <c r="H58" s="77"/>
      <c r="O58" s="90"/>
      <c r="P58" s="90"/>
      <c r="S58" s="71"/>
      <c r="V58" s="71"/>
    </row>
    <row r="59" spans="1:22" ht="15" customHeight="1">
      <c r="A59" s="143"/>
      <c r="B59" s="144"/>
      <c r="D59" s="134"/>
      <c r="E59" s="135"/>
      <c r="H59" s="77"/>
      <c r="O59" s="90"/>
      <c r="P59" s="90"/>
      <c r="S59" s="71"/>
      <c r="V59" s="71"/>
    </row>
    <row r="60" spans="1:22" ht="15" customHeight="1">
      <c r="A60" s="143"/>
      <c r="B60" s="144"/>
      <c r="D60" s="134"/>
      <c r="E60" s="135"/>
      <c r="H60" s="77"/>
      <c r="O60" s="90"/>
      <c r="P60" s="90"/>
      <c r="S60" s="71"/>
      <c r="V60" s="71"/>
    </row>
    <row r="61" spans="1:22" ht="15" customHeight="1">
      <c r="A61" s="143"/>
      <c r="B61" s="144"/>
      <c r="D61" s="134"/>
      <c r="E61" s="135"/>
      <c r="H61" s="77"/>
      <c r="O61" s="90"/>
      <c r="P61" s="90"/>
      <c r="S61" s="71"/>
      <c r="V61" s="71"/>
    </row>
    <row r="62" spans="1:22" ht="15" customHeight="1">
      <c r="A62" s="143"/>
      <c r="B62" s="144"/>
      <c r="D62" s="138"/>
      <c r="E62" s="139"/>
      <c r="H62" s="77"/>
      <c r="O62" s="90"/>
      <c r="P62" s="90"/>
      <c r="S62" s="71"/>
      <c r="V62" s="71"/>
    </row>
    <row r="63" spans="1:22" ht="15" customHeight="1">
      <c r="A63" s="143"/>
      <c r="B63" s="149"/>
      <c r="H63" s="77"/>
    </row>
    <row r="64" spans="1:22" ht="15" customHeight="1">
      <c r="A64" s="143"/>
      <c r="H64" s="77"/>
    </row>
    <row r="65" spans="1:8" ht="15" customHeight="1">
      <c r="A65" s="148"/>
      <c r="H65" s="77"/>
    </row>
    <row r="66" spans="1:8" ht="15" customHeight="1">
      <c r="H66" s="77"/>
    </row>
    <row r="67" spans="1:8" ht="15" customHeight="1">
      <c r="H67" s="77"/>
    </row>
    <row r="68" spans="1:8" ht="15" customHeight="1">
      <c r="H68" s="77"/>
    </row>
    <row r="69" spans="1:8" ht="15" customHeight="1">
      <c r="H69" s="77"/>
    </row>
    <row r="70" spans="1:8" ht="15" customHeight="1">
      <c r="H70" s="77"/>
    </row>
    <row r="71" spans="1:8" ht="15" customHeight="1">
      <c r="H71" s="77"/>
    </row>
    <row r="72" spans="1:8" ht="15" customHeight="1">
      <c r="H72" s="77"/>
    </row>
    <row r="73" spans="1:8" ht="15" customHeight="1">
      <c r="H73" s="77"/>
    </row>
    <row r="74" spans="1:8" ht="15" customHeight="1">
      <c r="H74" s="77"/>
    </row>
    <row r="75" spans="1:8" ht="15" customHeight="1">
      <c r="H75" s="77"/>
    </row>
    <row r="76" spans="1:8" ht="15" customHeight="1">
      <c r="H76" s="77"/>
    </row>
    <row r="77" spans="1:8" ht="15" customHeight="1">
      <c r="H77" s="77"/>
    </row>
    <row r="78" spans="1:8" ht="15" customHeight="1">
      <c r="H78" s="77"/>
    </row>
    <row r="79" spans="1:8" ht="15" customHeight="1">
      <c r="H79" s="77"/>
    </row>
    <row r="80" spans="1:8" ht="15" customHeight="1">
      <c r="H80" s="77"/>
    </row>
    <row r="81" spans="8:8" ht="15" customHeight="1">
      <c r="H81" s="77"/>
    </row>
    <row r="82" spans="8:8" ht="15" customHeight="1">
      <c r="H82" s="77"/>
    </row>
    <row r="83" spans="8:8" ht="15" customHeight="1">
      <c r="H83" s="77"/>
    </row>
    <row r="84" spans="8:8" ht="15" customHeight="1">
      <c r="H84" s="77"/>
    </row>
    <row r="85" spans="8:8" ht="15" customHeight="1">
      <c r="H85" s="77"/>
    </row>
    <row r="86" spans="8:8" ht="15" customHeight="1">
      <c r="H86" s="77"/>
    </row>
    <row r="87" spans="8:8" ht="15" customHeight="1">
      <c r="H87" s="77"/>
    </row>
    <row r="88" spans="8:8" ht="15" customHeight="1">
      <c r="H88" s="77"/>
    </row>
    <row r="89" spans="8:8" ht="15" customHeight="1">
      <c r="H89" s="77"/>
    </row>
    <row r="90" spans="8:8" ht="15" customHeight="1">
      <c r="H90" s="77"/>
    </row>
    <row r="91" spans="8:8" ht="15" customHeight="1">
      <c r="H91" s="77"/>
    </row>
    <row r="92" spans="8:8" ht="15" customHeight="1">
      <c r="H92" s="77"/>
    </row>
    <row r="93" spans="8:8" ht="15" customHeight="1">
      <c r="H93" s="77"/>
    </row>
    <row r="94" spans="8:8" ht="15" customHeight="1">
      <c r="H94" s="77"/>
    </row>
    <row r="95" spans="8:8" ht="15" customHeight="1">
      <c r="H95" s="77"/>
    </row>
    <row r="96" spans="8:8" ht="15" customHeight="1">
      <c r="H96" s="77"/>
    </row>
    <row r="97" spans="8:8" ht="15" customHeight="1">
      <c r="H97" s="77"/>
    </row>
    <row r="98" spans="8:8" ht="15" customHeight="1">
      <c r="H98" s="77"/>
    </row>
    <row r="99" spans="8:8" ht="15" customHeight="1">
      <c r="H99" s="77"/>
    </row>
    <row r="100" spans="8:8" ht="15" customHeight="1">
      <c r="H100" s="77"/>
    </row>
    <row r="101" spans="8:8" ht="15" customHeight="1">
      <c r="H101" s="77"/>
    </row>
    <row r="102" spans="8:8" ht="15" customHeight="1">
      <c r="H102" s="77"/>
    </row>
    <row r="103" spans="8:8" ht="15" customHeight="1">
      <c r="H103" s="78"/>
    </row>
    <row r="104" spans="8:8" ht="15" customHeight="1">
      <c r="H104" s="79"/>
    </row>
    <row r="105" spans="8:8" ht="15" customHeight="1">
      <c r="H105" s="79"/>
    </row>
    <row r="106" spans="8:8" ht="15" customHeight="1">
      <c r="H106" s="79"/>
    </row>
    <row r="107" spans="8:8" ht="15" customHeight="1">
      <c r="H107" s="79"/>
    </row>
    <row r="108" spans="8:8" ht="15" customHeight="1">
      <c r="H108" s="79"/>
    </row>
    <row r="109" spans="8:8" ht="15" customHeight="1">
      <c r="H109" s="79"/>
    </row>
    <row r="110" spans="8:8" ht="15" customHeight="1">
      <c r="H110" s="79"/>
    </row>
    <row r="111" spans="8:8" ht="15" customHeight="1">
      <c r="H111" s="79"/>
    </row>
    <row r="112" spans="8:8" ht="15" customHeight="1">
      <c r="H112" s="79"/>
    </row>
    <row r="113" spans="8:8" ht="15" customHeight="1">
      <c r="H113" s="79"/>
    </row>
    <row r="114" spans="8:8" ht="15" customHeight="1">
      <c r="H114" s="79"/>
    </row>
    <row r="115" spans="8:8" ht="15" customHeight="1">
      <c r="H115" s="79"/>
    </row>
    <row r="116" spans="8:8" ht="15" customHeight="1">
      <c r="H116" s="79"/>
    </row>
    <row r="117" spans="8:8" ht="15" customHeight="1">
      <c r="H117" s="79"/>
    </row>
    <row r="118" spans="8:8" ht="15" customHeight="1">
      <c r="H118" s="79"/>
    </row>
    <row r="119" spans="8:8" ht="15" customHeight="1">
      <c r="H119" s="79"/>
    </row>
    <row r="120" spans="8:8" ht="15" customHeight="1">
      <c r="H120" s="79"/>
    </row>
    <row r="121" spans="8:8" ht="15" customHeight="1">
      <c r="H121" s="79"/>
    </row>
    <row r="122" spans="8:8" ht="15" customHeight="1">
      <c r="H122" s="79"/>
    </row>
    <row r="123" spans="8:8" ht="15" customHeight="1">
      <c r="H123" s="79"/>
    </row>
    <row r="124" spans="8:8" ht="15" customHeight="1">
      <c r="H124" s="79"/>
    </row>
    <row r="125" spans="8:8" ht="15" customHeight="1">
      <c r="H125" s="79"/>
    </row>
    <row r="126" spans="8:8" ht="15" customHeight="1">
      <c r="H126" s="79"/>
    </row>
    <row r="127" spans="8:8" ht="15" customHeight="1">
      <c r="H127" s="79"/>
    </row>
    <row r="128" spans="8:8" ht="15" customHeight="1">
      <c r="H128" s="79"/>
    </row>
    <row r="129" spans="8:8" ht="15" customHeight="1">
      <c r="H129" s="79"/>
    </row>
    <row r="130" spans="8:8" ht="15" customHeight="1">
      <c r="H130" s="79"/>
    </row>
    <row r="131" spans="8:8" ht="15" customHeight="1">
      <c r="H131" s="79"/>
    </row>
    <row r="132" spans="8:8" ht="15" customHeight="1">
      <c r="H132" s="79"/>
    </row>
    <row r="133" spans="8:8" ht="15" customHeight="1">
      <c r="H133" s="79"/>
    </row>
    <row r="134" spans="8:8" ht="15" customHeight="1">
      <c r="H134" s="79"/>
    </row>
    <row r="135" spans="8:8" ht="15" customHeight="1">
      <c r="H135" s="79"/>
    </row>
    <row r="136" spans="8:8" ht="15" customHeight="1">
      <c r="H136" s="79"/>
    </row>
    <row r="137" spans="8:8" ht="15" customHeight="1">
      <c r="H137" s="79"/>
    </row>
    <row r="138" spans="8:8" ht="15" customHeight="1">
      <c r="H138" s="79"/>
    </row>
    <row r="139" spans="8:8" ht="15" customHeight="1">
      <c r="H139" s="79"/>
    </row>
    <row r="140" spans="8:8" ht="15" customHeight="1">
      <c r="H140" s="79"/>
    </row>
    <row r="141" spans="8:8" ht="15" customHeight="1">
      <c r="H141" s="79"/>
    </row>
    <row r="142" spans="8:8" ht="15" customHeight="1">
      <c r="H142" s="79"/>
    </row>
    <row r="143" spans="8:8" ht="15" customHeight="1">
      <c r="H143" s="79"/>
    </row>
    <row r="144" spans="8:8" ht="15" customHeight="1">
      <c r="H144" s="79"/>
    </row>
    <row r="145" spans="8:8" ht="15" customHeight="1">
      <c r="H145" s="79"/>
    </row>
    <row r="146" spans="8:8" ht="15" customHeight="1">
      <c r="H146" s="79"/>
    </row>
    <row r="147" spans="8:8" ht="15" customHeight="1">
      <c r="H147" s="79"/>
    </row>
    <row r="148" spans="8:8" ht="15" customHeight="1">
      <c r="H148" s="79"/>
    </row>
    <row r="149" spans="8:8" ht="15" customHeight="1">
      <c r="H149" s="79"/>
    </row>
    <row r="150" spans="8:8" ht="15" customHeight="1">
      <c r="H150" s="79"/>
    </row>
    <row r="151" spans="8:8" ht="15" customHeight="1">
      <c r="H151" s="79"/>
    </row>
    <row r="152" spans="8:8" ht="15" customHeight="1">
      <c r="H152" s="79"/>
    </row>
    <row r="153" spans="8:8" ht="15" customHeight="1">
      <c r="H153" s="79"/>
    </row>
    <row r="154" spans="8:8" ht="15" customHeight="1">
      <c r="H154" s="79"/>
    </row>
    <row r="155" spans="8:8" ht="15" customHeight="1">
      <c r="H155" s="79"/>
    </row>
    <row r="156" spans="8:8" ht="15" customHeight="1">
      <c r="H156" s="79"/>
    </row>
    <row r="157" spans="8:8" ht="15" customHeight="1">
      <c r="H157" s="79"/>
    </row>
    <row r="158" spans="8:8" ht="15" customHeight="1">
      <c r="H158" s="79"/>
    </row>
    <row r="159" spans="8:8" ht="15" customHeight="1">
      <c r="H159" s="79"/>
    </row>
    <row r="160" spans="8:8" ht="15" customHeight="1">
      <c r="H160" s="79"/>
    </row>
    <row r="161" spans="8:8" ht="15" customHeight="1">
      <c r="H161" s="79"/>
    </row>
    <row r="162" spans="8:8" ht="15" customHeight="1">
      <c r="H162" s="79"/>
    </row>
    <row r="163" spans="8:8" ht="15" customHeight="1">
      <c r="H163" s="79"/>
    </row>
    <row r="164" spans="8:8" ht="15" customHeight="1">
      <c r="H164" s="79"/>
    </row>
    <row r="165" spans="8:8" ht="15" customHeight="1">
      <c r="H165" s="79"/>
    </row>
    <row r="166" spans="8:8" ht="15" customHeight="1">
      <c r="H166" s="79"/>
    </row>
    <row r="167" spans="8:8" ht="15" customHeight="1">
      <c r="H167" s="79"/>
    </row>
    <row r="168" spans="8:8" ht="15" customHeight="1">
      <c r="H168" s="79"/>
    </row>
    <row r="169" spans="8:8" ht="15" customHeight="1">
      <c r="H169" s="79"/>
    </row>
    <row r="170" spans="8:8" ht="15" customHeight="1">
      <c r="H170" s="79"/>
    </row>
    <row r="171" spans="8:8" ht="15" customHeight="1">
      <c r="H171" s="79"/>
    </row>
    <row r="172" spans="8:8" ht="15" customHeight="1">
      <c r="H172" s="79"/>
    </row>
    <row r="173" spans="8:8" ht="15" customHeight="1">
      <c r="H173" s="79"/>
    </row>
    <row r="174" spans="8:8" ht="15" customHeight="1">
      <c r="H174" s="79"/>
    </row>
    <row r="175" spans="8:8" ht="15" customHeight="1">
      <c r="H175" s="79"/>
    </row>
    <row r="176" spans="8:8" ht="15" customHeight="1">
      <c r="H176" s="79"/>
    </row>
    <row r="177" spans="8:8" ht="15" customHeight="1">
      <c r="H177" s="79"/>
    </row>
    <row r="178" spans="8:8" ht="15" customHeight="1">
      <c r="H178" s="79"/>
    </row>
    <row r="179" spans="8:8" ht="15" customHeight="1">
      <c r="H179" s="79"/>
    </row>
    <row r="180" spans="8:8" ht="15" customHeight="1">
      <c r="H180" s="79"/>
    </row>
    <row r="181" spans="8:8" ht="15" customHeight="1">
      <c r="H181" s="79"/>
    </row>
    <row r="182" spans="8:8" ht="15" customHeight="1">
      <c r="H182" s="79"/>
    </row>
    <row r="183" spans="8:8" ht="15" customHeight="1">
      <c r="H183" s="73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:Y53"/>
  <sheetViews>
    <sheetView showGridLines="0" zoomScaleNormal="100" workbookViewId="0">
      <pane ySplit="1" topLeftCell="A2" activePane="bottomLeft" state="frozen"/>
      <selection activeCell="A9" sqref="A9"/>
      <selection pane="bottomLeft" activeCell="A36" sqref="A36"/>
    </sheetView>
  </sheetViews>
  <sheetFormatPr defaultRowHeight="15" customHeight="1"/>
  <cols>
    <col min="1" max="1" width="9.140625" style="109"/>
    <col min="2" max="2" width="80.7109375" style="110" customWidth="1"/>
    <col min="3" max="3" width="9.140625" style="85"/>
    <col min="4" max="16384" width="9.140625" style="86"/>
  </cols>
  <sheetData>
    <row r="1" spans="1:25" ht="15" customHeight="1">
      <c r="A1" s="84" t="s">
        <v>251</v>
      </c>
      <c r="B1" s="84" t="s">
        <v>269</v>
      </c>
    </row>
    <row r="2" spans="1:25" ht="15" customHeight="1">
      <c r="A2" s="87"/>
      <c r="B2" s="88" t="s">
        <v>289</v>
      </c>
      <c r="C2" s="86"/>
    </row>
    <row r="3" spans="1:25" ht="15" customHeight="1">
      <c r="A3" s="104">
        <v>1</v>
      </c>
      <c r="B3" s="105" t="s">
        <v>445</v>
      </c>
      <c r="V3" s="86" t="s">
        <v>444</v>
      </c>
      <c r="Y3" s="229">
        <v>44454</v>
      </c>
    </row>
    <row r="4" spans="1:25" ht="15" customHeight="1">
      <c r="A4" s="104">
        <v>2</v>
      </c>
      <c r="B4" s="105" t="s">
        <v>446</v>
      </c>
    </row>
    <row r="5" spans="1:25" ht="15" customHeight="1">
      <c r="A5" s="104">
        <v>3</v>
      </c>
      <c r="B5" s="105" t="s">
        <v>447</v>
      </c>
    </row>
    <row r="6" spans="1:25" ht="15" customHeight="1">
      <c r="A6" s="104">
        <v>4</v>
      </c>
      <c r="B6" s="105" t="s">
        <v>448</v>
      </c>
    </row>
    <row r="7" spans="1:25" ht="15" customHeight="1">
      <c r="A7" s="104">
        <v>5</v>
      </c>
      <c r="B7" s="105"/>
    </row>
    <row r="8" spans="1:25" ht="15" customHeight="1">
      <c r="A8" s="104"/>
      <c r="B8" s="105"/>
    </row>
    <row r="9" spans="1:25" ht="15" customHeight="1">
      <c r="A9" s="104"/>
      <c r="B9" s="105"/>
    </row>
    <row r="10" spans="1:25" ht="15" customHeight="1">
      <c r="A10" s="104"/>
      <c r="B10" s="105"/>
    </row>
    <row r="11" spans="1:25" ht="15" customHeight="1">
      <c r="A11" s="104"/>
      <c r="B11" s="105"/>
    </row>
    <row r="12" spans="1:25" ht="15" customHeight="1">
      <c r="A12" s="104"/>
      <c r="B12" s="105"/>
    </row>
    <row r="13" spans="1:25" ht="15" customHeight="1">
      <c r="A13" s="104">
        <v>100</v>
      </c>
      <c r="B13" s="105" t="s">
        <v>449</v>
      </c>
    </row>
    <row r="14" spans="1:25" ht="15" customHeight="1">
      <c r="A14" s="104"/>
      <c r="B14" s="105"/>
    </row>
    <row r="15" spans="1:25" ht="15" customHeight="1">
      <c r="A15" s="104">
        <v>200</v>
      </c>
      <c r="B15" s="105" t="s">
        <v>450</v>
      </c>
    </row>
    <row r="16" spans="1:25" ht="15" customHeight="1">
      <c r="A16" s="104">
        <v>201</v>
      </c>
      <c r="B16" s="105" t="s">
        <v>451</v>
      </c>
    </row>
    <row r="17" spans="1:2" ht="15" customHeight="1">
      <c r="A17" s="104">
        <v>202</v>
      </c>
      <c r="B17" s="105" t="s">
        <v>452</v>
      </c>
    </row>
    <row r="18" spans="1:2" ht="15" customHeight="1">
      <c r="A18" s="104">
        <v>203</v>
      </c>
      <c r="B18" s="105" t="s">
        <v>453</v>
      </c>
    </row>
    <row r="19" spans="1:2" ht="15" customHeight="1">
      <c r="A19" s="104">
        <v>204</v>
      </c>
      <c r="B19" s="105" t="s">
        <v>454</v>
      </c>
    </row>
    <row r="20" spans="1:2" ht="15" customHeight="1">
      <c r="A20" s="104">
        <v>205</v>
      </c>
      <c r="B20" s="105" t="s">
        <v>455</v>
      </c>
    </row>
    <row r="21" spans="1:2" ht="15" customHeight="1">
      <c r="A21" s="104"/>
      <c r="B21" s="105"/>
    </row>
    <row r="22" spans="1:2" ht="15" customHeight="1">
      <c r="A22" s="104"/>
      <c r="B22" s="108"/>
    </row>
    <row r="23" spans="1:2" ht="15" customHeight="1">
      <c r="A23" s="104"/>
      <c r="B23" s="105"/>
    </row>
    <row r="24" spans="1:2" ht="15" customHeight="1">
      <c r="A24" s="87"/>
      <c r="B24" s="88" t="s">
        <v>456</v>
      </c>
    </row>
    <row r="25" spans="1:2" ht="15" customHeight="1">
      <c r="A25" s="104">
        <v>400</v>
      </c>
      <c r="B25" s="108" t="s">
        <v>457</v>
      </c>
    </row>
    <row r="26" spans="1:2" ht="15" customHeight="1">
      <c r="A26" s="104">
        <v>401</v>
      </c>
      <c r="B26" s="105" t="s">
        <v>458</v>
      </c>
    </row>
    <row r="27" spans="1:2" ht="15" customHeight="1">
      <c r="A27" s="104">
        <v>402</v>
      </c>
      <c r="B27" s="105" t="s">
        <v>459</v>
      </c>
    </row>
    <row r="28" spans="1:2" ht="15" customHeight="1">
      <c r="A28" s="104">
        <v>403</v>
      </c>
      <c r="B28" s="108" t="s">
        <v>460</v>
      </c>
    </row>
    <row r="29" spans="1:2" ht="15" customHeight="1">
      <c r="A29" s="104">
        <v>404</v>
      </c>
      <c r="B29" s="105" t="s">
        <v>461</v>
      </c>
    </row>
    <row r="30" spans="1:2" ht="15" customHeight="1">
      <c r="A30" s="104">
        <v>405</v>
      </c>
      <c r="B30" s="105" t="s">
        <v>462</v>
      </c>
    </row>
    <row r="31" spans="1:2" ht="15" customHeight="1">
      <c r="A31" s="104">
        <v>406</v>
      </c>
      <c r="B31" s="105" t="s">
        <v>463</v>
      </c>
    </row>
    <row r="32" spans="1:2" ht="15" customHeight="1">
      <c r="A32" s="104">
        <v>407</v>
      </c>
      <c r="B32" s="108" t="s">
        <v>464</v>
      </c>
    </row>
    <row r="33" spans="1:2" ht="15" customHeight="1">
      <c r="A33" s="104">
        <v>408</v>
      </c>
      <c r="B33" s="105" t="s">
        <v>270</v>
      </c>
    </row>
    <row r="34" spans="1:2" ht="15" customHeight="1">
      <c r="A34" s="104">
        <v>409</v>
      </c>
      <c r="B34" s="108" t="s">
        <v>465</v>
      </c>
    </row>
    <row r="35" spans="1:2" ht="15" customHeight="1">
      <c r="A35" s="104"/>
      <c r="B35" s="105"/>
    </row>
    <row r="36" spans="1:2" ht="15" customHeight="1">
      <c r="A36" s="104">
        <v>500</v>
      </c>
      <c r="B36" s="108" t="s">
        <v>466</v>
      </c>
    </row>
    <row r="37" spans="1:2" ht="15" customHeight="1">
      <c r="A37" s="104">
        <v>501</v>
      </c>
      <c r="B37" s="108" t="s">
        <v>467</v>
      </c>
    </row>
    <row r="38" spans="1:2" ht="15" customHeight="1">
      <c r="A38" s="104">
        <v>502</v>
      </c>
      <c r="B38" s="105" t="s">
        <v>468</v>
      </c>
    </row>
    <row r="39" spans="1:2" ht="15" customHeight="1">
      <c r="A39" s="104">
        <v>502</v>
      </c>
      <c r="B39" s="105" t="s">
        <v>469</v>
      </c>
    </row>
    <row r="40" spans="1:2" ht="15" customHeight="1">
      <c r="A40" s="104"/>
      <c r="B40" s="105"/>
    </row>
    <row r="41" spans="1:2" ht="15" customHeight="1">
      <c r="A41" s="104"/>
      <c r="B41" s="108"/>
    </row>
    <row r="42" spans="1:2" ht="15" customHeight="1">
      <c r="A42" s="104"/>
      <c r="B42" s="108"/>
    </row>
    <row r="43" spans="1:2" ht="15" customHeight="1">
      <c r="A43" s="87"/>
      <c r="B43" s="88" t="s">
        <v>290</v>
      </c>
    </row>
    <row r="44" spans="1:2" ht="15" customHeight="1">
      <c r="A44" s="104"/>
      <c r="B44" s="105"/>
    </row>
    <row r="45" spans="1:2" ht="15" customHeight="1">
      <c r="A45" s="104"/>
      <c r="B45" s="105"/>
    </row>
    <row r="46" spans="1:2" ht="15" customHeight="1">
      <c r="A46" s="104"/>
      <c r="B46" s="105"/>
    </row>
    <row r="47" spans="1:2" ht="15" customHeight="1">
      <c r="A47" s="104"/>
      <c r="B47" s="105"/>
    </row>
    <row r="48" spans="1:2" ht="15" customHeight="1">
      <c r="A48" s="87"/>
      <c r="B48" s="88"/>
    </row>
    <row r="49" spans="1:2" ht="15" customHeight="1">
      <c r="A49" s="104">
        <v>9</v>
      </c>
      <c r="B49" s="105" t="s">
        <v>271</v>
      </c>
    </row>
    <row r="50" spans="1:2" ht="15" customHeight="1">
      <c r="A50" s="104">
        <v>13</v>
      </c>
      <c r="B50" s="105" t="s">
        <v>272</v>
      </c>
    </row>
    <row r="51" spans="1:2" ht="15" customHeight="1">
      <c r="A51" s="104">
        <v>53</v>
      </c>
      <c r="B51" s="105" t="s">
        <v>288</v>
      </c>
    </row>
    <row r="52" spans="1:2" ht="15" customHeight="1">
      <c r="A52" s="104">
        <v>91</v>
      </c>
      <c r="B52" s="105" t="s">
        <v>273</v>
      </c>
    </row>
    <row r="53" spans="1:2" ht="15" customHeight="1">
      <c r="A53" s="106">
        <v>1004</v>
      </c>
      <c r="B53" s="107" t="s">
        <v>274</v>
      </c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Q73"/>
  <sheetViews>
    <sheetView showGridLines="0" zoomScaleNormal="100" workbookViewId="0">
      <pane ySplit="2" topLeftCell="A3" activePane="bottomLeft" state="frozen"/>
      <selection activeCell="A9" sqref="A9"/>
      <selection pane="bottomLeft" activeCell="D20" sqref="D3:D20"/>
    </sheetView>
  </sheetViews>
  <sheetFormatPr defaultRowHeight="20.100000000000001" customHeight="1"/>
  <cols>
    <col min="1" max="1" width="23.42578125" style="102" customWidth="1"/>
    <col min="2" max="2" width="31.28515625" style="102" customWidth="1"/>
    <col min="3" max="3" width="64.42578125" style="102" customWidth="1"/>
    <col min="4" max="4" width="23.42578125" style="102" customWidth="1"/>
    <col min="5" max="5" width="31.28515625" style="102" customWidth="1"/>
    <col min="6" max="6" width="64.42578125" style="102" customWidth="1"/>
    <col min="7" max="7" width="23.42578125" style="102" customWidth="1"/>
    <col min="8" max="8" width="31.28515625" style="102" customWidth="1"/>
    <col min="9" max="9" width="64.42578125" style="102" customWidth="1"/>
    <col min="10" max="10" width="23.42578125" style="102" customWidth="1"/>
    <col min="11" max="11" width="31.28515625" style="102" customWidth="1"/>
    <col min="12" max="12" width="64.42578125" style="102" customWidth="1"/>
    <col min="13" max="13" width="23.42578125" style="102" customWidth="1"/>
    <col min="14" max="14" width="31.28515625" style="102" customWidth="1"/>
    <col min="15" max="15" width="64.42578125" style="102" customWidth="1"/>
    <col min="18" max="16384" width="9.140625" style="102"/>
  </cols>
  <sheetData>
    <row r="1" spans="1:15" ht="20.100000000000001" customHeight="1">
      <c r="A1" s="120" t="s">
        <v>129</v>
      </c>
      <c r="B1" s="121"/>
      <c r="C1" s="122"/>
      <c r="D1" s="120" t="s">
        <v>131</v>
      </c>
      <c r="E1" s="121"/>
      <c r="F1" s="122"/>
      <c r="G1" s="120" t="s">
        <v>134</v>
      </c>
      <c r="H1" s="121"/>
      <c r="I1" s="122"/>
      <c r="J1" s="120" t="s">
        <v>281</v>
      </c>
      <c r="K1" s="121"/>
      <c r="L1" s="122"/>
      <c r="M1" s="120" t="s">
        <v>246</v>
      </c>
      <c r="N1" s="121"/>
      <c r="O1" s="122"/>
    </row>
    <row r="2" spans="1:15" ht="20.100000000000001" customHeight="1">
      <c r="A2" s="123" t="s">
        <v>118</v>
      </c>
      <c r="B2" s="124" t="s">
        <v>275</v>
      </c>
      <c r="C2" s="125" t="s">
        <v>276</v>
      </c>
      <c r="D2" s="123" t="s">
        <v>118</v>
      </c>
      <c r="E2" s="124" t="s">
        <v>275</v>
      </c>
      <c r="F2" s="125" t="s">
        <v>276</v>
      </c>
      <c r="G2" s="123" t="s">
        <v>118</v>
      </c>
      <c r="H2" s="124" t="s">
        <v>275</v>
      </c>
      <c r="I2" s="125" t="s">
        <v>276</v>
      </c>
      <c r="J2" s="123" t="s">
        <v>118</v>
      </c>
      <c r="K2" s="124" t="s">
        <v>275</v>
      </c>
      <c r="L2" s="125" t="s">
        <v>276</v>
      </c>
      <c r="M2" s="123" t="s">
        <v>118</v>
      </c>
      <c r="N2" s="124" t="s">
        <v>275</v>
      </c>
      <c r="O2" s="125" t="s">
        <v>276</v>
      </c>
    </row>
    <row r="3" spans="1:15" ht="20.100000000000001" customHeight="1">
      <c r="A3" s="126" t="s">
        <v>59</v>
      </c>
      <c r="B3" s="126" t="s">
        <v>59</v>
      </c>
      <c r="C3" s="126" t="s">
        <v>73</v>
      </c>
      <c r="D3" s="126" t="s">
        <v>113</v>
      </c>
      <c r="E3" s="126"/>
      <c r="F3" s="126" t="s">
        <v>132</v>
      </c>
      <c r="G3" s="126" t="s">
        <v>135</v>
      </c>
      <c r="H3" s="126" t="s">
        <v>59</v>
      </c>
      <c r="I3" s="126" t="s">
        <v>136</v>
      </c>
      <c r="J3" s="126" t="s">
        <v>215</v>
      </c>
      <c r="K3" s="126" t="s">
        <v>215</v>
      </c>
      <c r="L3" s="126" t="s">
        <v>214</v>
      </c>
      <c r="M3" s="126" t="s">
        <v>404</v>
      </c>
      <c r="N3" s="126" t="s">
        <v>379</v>
      </c>
      <c r="O3" s="126"/>
    </row>
    <row r="4" spans="1:15" ht="20.100000000000001" customHeight="1">
      <c r="A4" s="127" t="s">
        <v>74</v>
      </c>
      <c r="B4" s="127" t="s">
        <v>37</v>
      </c>
      <c r="C4" s="127" t="s">
        <v>38</v>
      </c>
      <c r="D4" s="127" t="s">
        <v>75</v>
      </c>
      <c r="E4" s="127" t="s">
        <v>104</v>
      </c>
      <c r="F4" s="127" t="s">
        <v>24</v>
      </c>
      <c r="G4" s="127" t="s">
        <v>74</v>
      </c>
      <c r="H4" s="127" t="s">
        <v>37</v>
      </c>
      <c r="I4" s="127" t="s">
        <v>38</v>
      </c>
      <c r="J4" s="154" t="s">
        <v>9</v>
      </c>
      <c r="K4" s="154" t="s">
        <v>9</v>
      </c>
      <c r="L4" s="127" t="s">
        <v>154</v>
      </c>
      <c r="M4" s="154" t="s">
        <v>381</v>
      </c>
      <c r="N4" s="154" t="s">
        <v>380</v>
      </c>
      <c r="O4" s="154"/>
    </row>
    <row r="5" spans="1:15" ht="20.100000000000001" customHeight="1">
      <c r="A5" s="127" t="s">
        <v>75</v>
      </c>
      <c r="B5" s="127" t="s">
        <v>76</v>
      </c>
      <c r="C5" s="127" t="s">
        <v>24</v>
      </c>
      <c r="D5" s="127" t="s">
        <v>74</v>
      </c>
      <c r="E5" s="127" t="s">
        <v>95</v>
      </c>
      <c r="F5" s="127" t="s">
        <v>0</v>
      </c>
      <c r="G5" s="127" t="s">
        <v>75</v>
      </c>
      <c r="H5" s="127" t="s">
        <v>76</v>
      </c>
      <c r="I5" s="127" t="s">
        <v>137</v>
      </c>
      <c r="J5" s="127" t="s">
        <v>204</v>
      </c>
      <c r="K5" s="127" t="s">
        <v>181</v>
      </c>
      <c r="L5" s="127" t="s">
        <v>182</v>
      </c>
      <c r="M5" s="127" t="s">
        <v>383</v>
      </c>
      <c r="N5" s="127" t="s">
        <v>382</v>
      </c>
      <c r="O5" s="127"/>
    </row>
    <row r="6" spans="1:15" ht="20.100000000000001" customHeight="1">
      <c r="A6" s="127" t="s">
        <v>30</v>
      </c>
      <c r="B6" s="127" t="s">
        <v>30</v>
      </c>
      <c r="C6" s="127" t="s">
        <v>31</v>
      </c>
      <c r="D6" s="127" t="s">
        <v>30</v>
      </c>
      <c r="E6" s="127" t="s">
        <v>96</v>
      </c>
      <c r="F6" s="127" t="s">
        <v>133</v>
      </c>
      <c r="G6" s="127" t="s">
        <v>138</v>
      </c>
      <c r="H6" s="127" t="s">
        <v>139</v>
      </c>
      <c r="I6" s="127" t="s">
        <v>140</v>
      </c>
      <c r="J6" s="127" t="s">
        <v>14</v>
      </c>
      <c r="K6" s="127" t="s">
        <v>14</v>
      </c>
      <c r="L6" s="127" t="s">
        <v>187</v>
      </c>
      <c r="M6" s="127" t="s">
        <v>470</v>
      </c>
      <c r="N6" s="127" t="s">
        <v>384</v>
      </c>
      <c r="O6" s="127"/>
    </row>
    <row r="7" spans="1:15" ht="20.100000000000001" customHeight="1">
      <c r="A7" s="127" t="s">
        <v>130</v>
      </c>
      <c r="B7" s="127" t="s">
        <v>78</v>
      </c>
      <c r="C7" s="127" t="s">
        <v>65</v>
      </c>
      <c r="D7" s="127" t="s">
        <v>145</v>
      </c>
      <c r="E7" s="127" t="s">
        <v>93</v>
      </c>
      <c r="F7" s="127" t="s">
        <v>211</v>
      </c>
      <c r="G7" s="127" t="s">
        <v>149</v>
      </c>
      <c r="H7" s="127" t="s">
        <v>30</v>
      </c>
      <c r="I7" s="127" t="s">
        <v>31</v>
      </c>
      <c r="J7" s="127" t="s">
        <v>200</v>
      </c>
      <c r="K7" s="127" t="s">
        <v>81</v>
      </c>
      <c r="L7" s="127" t="s">
        <v>162</v>
      </c>
      <c r="M7" s="127" t="s">
        <v>386</v>
      </c>
      <c r="N7" s="127" t="s">
        <v>385</v>
      </c>
      <c r="O7" s="127"/>
    </row>
    <row r="8" spans="1:15" ht="20.100000000000001" customHeight="1">
      <c r="A8" s="127" t="s">
        <v>64</v>
      </c>
      <c r="B8" s="127" t="s">
        <v>78</v>
      </c>
      <c r="C8" s="127" t="s">
        <v>65</v>
      </c>
      <c r="D8" s="127" t="s">
        <v>64</v>
      </c>
      <c r="E8" s="127" t="s">
        <v>95</v>
      </c>
      <c r="F8" s="127" t="s">
        <v>108</v>
      </c>
      <c r="G8" s="127" t="s">
        <v>64</v>
      </c>
      <c r="H8" s="127" t="s">
        <v>78</v>
      </c>
      <c r="I8" s="127" t="s">
        <v>65</v>
      </c>
      <c r="J8" s="127" t="s">
        <v>30</v>
      </c>
      <c r="K8" s="127" t="s">
        <v>30</v>
      </c>
      <c r="L8" s="127" t="s">
        <v>172</v>
      </c>
      <c r="M8" s="127" t="s">
        <v>388</v>
      </c>
      <c r="N8" s="127" t="s">
        <v>387</v>
      </c>
      <c r="O8" s="127"/>
    </row>
    <row r="9" spans="1:15" ht="20.100000000000001" customHeight="1">
      <c r="A9" s="127" t="s">
        <v>79</v>
      </c>
      <c r="B9" s="127" t="s">
        <v>80</v>
      </c>
      <c r="C9" s="127" t="s">
        <v>25</v>
      </c>
      <c r="D9" s="127" t="s">
        <v>89</v>
      </c>
      <c r="E9" s="127" t="s">
        <v>96</v>
      </c>
      <c r="F9" s="127" t="s">
        <v>212</v>
      </c>
      <c r="G9" s="127" t="s">
        <v>79</v>
      </c>
      <c r="H9" s="127" t="s">
        <v>80</v>
      </c>
      <c r="I9" s="127" t="s">
        <v>25</v>
      </c>
      <c r="J9" s="127" t="s">
        <v>145</v>
      </c>
      <c r="K9" s="127" t="s">
        <v>145</v>
      </c>
      <c r="L9" s="127" t="s">
        <v>171</v>
      </c>
      <c r="M9" s="127" t="s">
        <v>390</v>
      </c>
      <c r="N9" s="127" t="s">
        <v>389</v>
      </c>
      <c r="O9" s="127"/>
    </row>
    <row r="10" spans="1:15" ht="20.100000000000001" customHeight="1">
      <c r="A10" s="127" t="s">
        <v>60</v>
      </c>
      <c r="B10" s="127" t="s">
        <v>60</v>
      </c>
      <c r="C10" s="127" t="s">
        <v>24</v>
      </c>
      <c r="D10" s="127" t="s">
        <v>60</v>
      </c>
      <c r="E10" s="127" t="s">
        <v>105</v>
      </c>
      <c r="F10" s="127"/>
      <c r="G10" s="127" t="s">
        <v>60</v>
      </c>
      <c r="H10" s="127" t="s">
        <v>60</v>
      </c>
      <c r="I10" s="127" t="s">
        <v>24</v>
      </c>
      <c r="J10" s="127" t="s">
        <v>174</v>
      </c>
      <c r="K10" s="127" t="s">
        <v>174</v>
      </c>
      <c r="L10" s="127" t="s">
        <v>175</v>
      </c>
      <c r="M10" s="127" t="s">
        <v>392</v>
      </c>
      <c r="N10" s="127" t="s">
        <v>391</v>
      </c>
      <c r="O10" s="127"/>
    </row>
    <row r="11" spans="1:15" ht="20.100000000000001" customHeight="1">
      <c r="A11" s="127" t="s">
        <v>32</v>
      </c>
      <c r="B11" s="127" t="s">
        <v>33</v>
      </c>
      <c r="C11" s="127" t="s">
        <v>34</v>
      </c>
      <c r="D11" s="127" t="s">
        <v>217</v>
      </c>
      <c r="E11" s="127" t="s">
        <v>93</v>
      </c>
      <c r="F11" s="127" t="s">
        <v>94</v>
      </c>
      <c r="G11" s="127" t="s">
        <v>141</v>
      </c>
      <c r="H11" s="127"/>
      <c r="I11" s="127"/>
      <c r="J11" s="127" t="s">
        <v>176</v>
      </c>
      <c r="K11" s="127" t="s">
        <v>176</v>
      </c>
      <c r="L11" s="127" t="s">
        <v>177</v>
      </c>
      <c r="M11" s="127" t="s">
        <v>394</v>
      </c>
      <c r="N11" s="127" t="s">
        <v>393</v>
      </c>
      <c r="O11" s="127"/>
    </row>
    <row r="12" spans="1:15" ht="20.100000000000001" customHeight="1">
      <c r="A12" s="127" t="s">
        <v>17</v>
      </c>
      <c r="B12" s="127" t="s">
        <v>18</v>
      </c>
      <c r="C12" s="127" t="s">
        <v>19</v>
      </c>
      <c r="D12" s="127" t="s">
        <v>218</v>
      </c>
      <c r="E12" s="127" t="s">
        <v>95</v>
      </c>
      <c r="F12" s="127" t="s">
        <v>102</v>
      </c>
      <c r="G12" s="127"/>
      <c r="H12" s="127"/>
      <c r="I12" s="127"/>
      <c r="J12" s="127" t="s">
        <v>197</v>
      </c>
      <c r="K12" s="127" t="s">
        <v>155</v>
      </c>
      <c r="L12" s="127" t="s">
        <v>156</v>
      </c>
      <c r="M12" s="127" t="s">
        <v>396</v>
      </c>
      <c r="N12" s="127" t="s">
        <v>395</v>
      </c>
      <c r="O12" s="127"/>
    </row>
    <row r="13" spans="1:15" ht="20.100000000000001" customHeight="1">
      <c r="A13" s="127" t="s">
        <v>57</v>
      </c>
      <c r="B13" s="127" t="s">
        <v>57</v>
      </c>
      <c r="C13" s="127" t="s">
        <v>58</v>
      </c>
      <c r="D13" s="127" t="s">
        <v>9</v>
      </c>
      <c r="E13" s="127" t="s">
        <v>93</v>
      </c>
      <c r="F13" s="127" t="s">
        <v>103</v>
      </c>
      <c r="G13" s="127"/>
      <c r="H13" s="127"/>
      <c r="I13" s="127"/>
      <c r="J13" s="127" t="s">
        <v>199</v>
      </c>
      <c r="K13" s="127" t="s">
        <v>159</v>
      </c>
      <c r="L13" s="127" t="s">
        <v>160</v>
      </c>
      <c r="M13" s="127" t="s">
        <v>398</v>
      </c>
      <c r="N13" s="127" t="s">
        <v>397</v>
      </c>
      <c r="O13" s="127"/>
    </row>
    <row r="14" spans="1:15" ht="20.100000000000001" customHeight="1">
      <c r="A14" s="127" t="s">
        <v>14</v>
      </c>
      <c r="B14" s="127" t="s">
        <v>14</v>
      </c>
      <c r="C14" s="127" t="s">
        <v>15</v>
      </c>
      <c r="D14" s="127" t="s">
        <v>219</v>
      </c>
      <c r="E14" s="127" t="s">
        <v>96</v>
      </c>
      <c r="F14" s="127" t="s">
        <v>97</v>
      </c>
      <c r="G14" s="127"/>
      <c r="H14" s="127"/>
      <c r="I14" s="127"/>
      <c r="J14" s="154" t="s">
        <v>74</v>
      </c>
      <c r="K14" s="154" t="s">
        <v>74</v>
      </c>
      <c r="L14" s="127" t="s">
        <v>153</v>
      </c>
      <c r="M14" s="154" t="s">
        <v>471</v>
      </c>
      <c r="N14" s="154" t="s">
        <v>399</v>
      </c>
      <c r="O14" s="154"/>
    </row>
    <row r="15" spans="1:15" ht="20.100000000000001" customHeight="1">
      <c r="A15" s="127" t="s">
        <v>12</v>
      </c>
      <c r="B15" s="127" t="s">
        <v>13</v>
      </c>
      <c r="C15" s="127" t="s">
        <v>82</v>
      </c>
      <c r="D15" s="127" t="s">
        <v>57</v>
      </c>
      <c r="E15" s="127" t="s">
        <v>98</v>
      </c>
      <c r="F15" s="127" t="s">
        <v>99</v>
      </c>
      <c r="G15" s="127"/>
      <c r="H15" s="127"/>
      <c r="I15" s="127"/>
      <c r="J15" s="127" t="s">
        <v>46</v>
      </c>
      <c r="K15" s="127" t="s">
        <v>46</v>
      </c>
      <c r="L15" s="127" t="s">
        <v>180</v>
      </c>
      <c r="M15" s="127" t="s">
        <v>402</v>
      </c>
      <c r="N15" s="127" t="s">
        <v>401</v>
      </c>
      <c r="O15" s="127"/>
    </row>
    <row r="16" spans="1:15" ht="20.100000000000001" customHeight="1">
      <c r="A16" s="127" t="s">
        <v>10</v>
      </c>
      <c r="B16" s="127" t="s">
        <v>9</v>
      </c>
      <c r="C16" s="127" t="s">
        <v>11</v>
      </c>
      <c r="D16" s="127" t="s">
        <v>150</v>
      </c>
      <c r="E16" s="127" t="s">
        <v>100</v>
      </c>
      <c r="F16" s="127" t="s">
        <v>101</v>
      </c>
      <c r="G16" s="127"/>
      <c r="H16" s="127"/>
      <c r="I16" s="127"/>
      <c r="J16" s="127" t="s">
        <v>202</v>
      </c>
      <c r="K16" s="127" t="s">
        <v>164</v>
      </c>
      <c r="L16" s="127" t="s">
        <v>165</v>
      </c>
      <c r="M16" s="127" t="s">
        <v>405</v>
      </c>
      <c r="N16" s="127" t="s">
        <v>403</v>
      </c>
      <c r="O16" s="127"/>
    </row>
    <row r="17" spans="1:15" ht="20.100000000000001" customHeight="1">
      <c r="A17" s="127" t="s">
        <v>26</v>
      </c>
      <c r="B17" s="127" t="s">
        <v>26</v>
      </c>
      <c r="C17" s="127" t="s">
        <v>27</v>
      </c>
      <c r="D17" s="127" t="s">
        <v>79</v>
      </c>
      <c r="E17" s="127" t="s">
        <v>104</v>
      </c>
      <c r="F17" s="127"/>
      <c r="G17" s="127"/>
      <c r="H17" s="127"/>
      <c r="I17" s="127"/>
      <c r="J17" s="127" t="s">
        <v>168</v>
      </c>
      <c r="K17" s="127" t="s">
        <v>168</v>
      </c>
      <c r="L17" s="127"/>
      <c r="M17" s="127"/>
      <c r="N17" s="127"/>
      <c r="O17" s="127"/>
    </row>
    <row r="18" spans="1:15" ht="20.100000000000001" customHeight="1">
      <c r="A18" s="127" t="s">
        <v>35</v>
      </c>
      <c r="B18" s="127" t="s">
        <v>35</v>
      </c>
      <c r="C18" s="127" t="s">
        <v>36</v>
      </c>
      <c r="D18" s="127" t="s">
        <v>220</v>
      </c>
      <c r="E18" s="127" t="s">
        <v>104</v>
      </c>
      <c r="F18" s="127"/>
      <c r="G18" s="127"/>
      <c r="H18" s="127"/>
      <c r="I18" s="127"/>
      <c r="J18" s="127" t="s">
        <v>198</v>
      </c>
      <c r="K18" s="127" t="s">
        <v>157</v>
      </c>
      <c r="L18" s="127" t="s">
        <v>158</v>
      </c>
      <c r="M18" s="127"/>
      <c r="N18" s="127"/>
      <c r="O18" s="127"/>
    </row>
    <row r="19" spans="1:15" ht="20.100000000000001" customHeight="1">
      <c r="A19" s="127" t="s">
        <v>44</v>
      </c>
      <c r="B19" s="127" t="s">
        <v>44</v>
      </c>
      <c r="C19" s="127" t="s">
        <v>45</v>
      </c>
      <c r="D19" s="127" t="s">
        <v>221</v>
      </c>
      <c r="E19" s="127" t="s">
        <v>106</v>
      </c>
      <c r="F19" s="127"/>
      <c r="G19" s="127"/>
      <c r="H19" s="127"/>
      <c r="I19" s="127"/>
      <c r="J19" s="127" t="s">
        <v>203</v>
      </c>
      <c r="K19" s="127" t="s">
        <v>166</v>
      </c>
      <c r="L19" s="127" t="s">
        <v>167</v>
      </c>
      <c r="M19" s="127"/>
      <c r="N19" s="127"/>
      <c r="O19" s="127"/>
    </row>
    <row r="20" spans="1:15" ht="20.100000000000001" customHeight="1">
      <c r="A20" s="127" t="s">
        <v>22</v>
      </c>
      <c r="B20" s="127" t="s">
        <v>22</v>
      </c>
      <c r="C20" s="127" t="s">
        <v>23</v>
      </c>
      <c r="D20" s="127" t="s">
        <v>222</v>
      </c>
      <c r="E20" s="127" t="s">
        <v>107</v>
      </c>
      <c r="F20" s="127"/>
      <c r="G20" s="127"/>
      <c r="H20" s="127"/>
      <c r="I20" s="127"/>
      <c r="J20" s="127" t="s">
        <v>55</v>
      </c>
      <c r="K20" s="127" t="s">
        <v>55</v>
      </c>
      <c r="L20" s="127" t="s">
        <v>161</v>
      </c>
      <c r="M20" s="127"/>
      <c r="N20" s="127"/>
      <c r="O20" s="127"/>
    </row>
    <row r="21" spans="1:15" ht="20.100000000000001" customHeight="1">
      <c r="A21" s="127" t="s">
        <v>83</v>
      </c>
      <c r="B21" s="127" t="s">
        <v>84</v>
      </c>
      <c r="C21" s="127" t="s">
        <v>16</v>
      </c>
      <c r="D21" s="127"/>
      <c r="E21" s="127"/>
      <c r="F21" s="127"/>
      <c r="G21" s="127"/>
      <c r="H21" s="127"/>
      <c r="I21" s="127"/>
      <c r="J21" s="127" t="s">
        <v>169</v>
      </c>
      <c r="K21" s="127" t="s">
        <v>169</v>
      </c>
      <c r="L21" s="127" t="s">
        <v>170</v>
      </c>
      <c r="M21" s="127"/>
      <c r="N21" s="127"/>
      <c r="O21" s="127"/>
    </row>
    <row r="22" spans="1:15" ht="20.100000000000001" customHeight="1">
      <c r="A22" s="127" t="s">
        <v>46</v>
      </c>
      <c r="B22" s="127" t="s">
        <v>46</v>
      </c>
      <c r="C22" s="127" t="s">
        <v>47</v>
      </c>
      <c r="D22" s="127"/>
      <c r="E22" s="127"/>
      <c r="F22" s="127"/>
      <c r="G22" s="127"/>
      <c r="H22" s="127"/>
      <c r="I22" s="127"/>
      <c r="J22" s="127" t="s">
        <v>57</v>
      </c>
      <c r="K22" s="127" t="s">
        <v>57</v>
      </c>
      <c r="L22" s="127" t="s">
        <v>152</v>
      </c>
      <c r="M22" s="127"/>
      <c r="N22" s="127"/>
      <c r="O22" s="127"/>
    </row>
    <row r="23" spans="1:15" ht="20.100000000000001" customHeight="1">
      <c r="A23" s="127" t="s">
        <v>85</v>
      </c>
      <c r="B23" s="127" t="s">
        <v>86</v>
      </c>
      <c r="C23" s="127" t="s">
        <v>39</v>
      </c>
      <c r="D23" s="127"/>
      <c r="E23" s="127"/>
      <c r="F23" s="127"/>
      <c r="G23" s="127"/>
      <c r="H23" s="127"/>
      <c r="I23" s="127"/>
      <c r="J23" s="127" t="s">
        <v>178</v>
      </c>
      <c r="K23" s="127" t="s">
        <v>178</v>
      </c>
      <c r="L23" s="127" t="s">
        <v>179</v>
      </c>
      <c r="M23" s="127"/>
      <c r="N23" s="127"/>
      <c r="O23" s="127"/>
    </row>
    <row r="24" spans="1:15" ht="20.100000000000001" customHeight="1">
      <c r="A24" s="127" t="s">
        <v>62</v>
      </c>
      <c r="B24" s="127" t="s">
        <v>87</v>
      </c>
      <c r="C24" s="127" t="s">
        <v>63</v>
      </c>
      <c r="D24" s="127"/>
      <c r="E24" s="127"/>
      <c r="F24" s="127"/>
      <c r="G24" s="127"/>
      <c r="H24" s="127"/>
      <c r="I24" s="127"/>
      <c r="J24" s="127" t="s">
        <v>195</v>
      </c>
      <c r="K24" s="127" t="s">
        <v>195</v>
      </c>
      <c r="L24" s="127" t="s">
        <v>196</v>
      </c>
      <c r="M24" s="127"/>
      <c r="N24" s="127"/>
      <c r="O24" s="127"/>
    </row>
    <row r="25" spans="1:15" ht="20.100000000000001" customHeight="1">
      <c r="A25" s="127" t="s">
        <v>66</v>
      </c>
      <c r="B25" s="127" t="s">
        <v>88</v>
      </c>
      <c r="C25" s="127" t="s">
        <v>67</v>
      </c>
      <c r="D25" s="127"/>
      <c r="E25" s="127"/>
      <c r="F25" s="127"/>
      <c r="G25" s="127"/>
      <c r="H25" s="127"/>
      <c r="I25" s="127"/>
      <c r="J25" s="127" t="s">
        <v>188</v>
      </c>
      <c r="K25" s="127" t="s">
        <v>188</v>
      </c>
      <c r="L25" s="127" t="s">
        <v>189</v>
      </c>
      <c r="M25" s="127"/>
      <c r="N25" s="127"/>
      <c r="O25" s="127"/>
    </row>
    <row r="26" spans="1:15" ht="20.100000000000001" customHeight="1">
      <c r="A26" s="127" t="s">
        <v>89</v>
      </c>
      <c r="B26" s="127" t="s">
        <v>90</v>
      </c>
      <c r="C26" s="127" t="s">
        <v>61</v>
      </c>
      <c r="D26" s="127"/>
      <c r="E26" s="127"/>
      <c r="F26" s="127"/>
      <c r="G26" s="127"/>
      <c r="H26" s="127"/>
      <c r="I26" s="127"/>
      <c r="J26" s="127" t="s">
        <v>60</v>
      </c>
      <c r="K26" s="127" t="s">
        <v>60</v>
      </c>
      <c r="L26" s="127"/>
      <c r="M26" s="127"/>
      <c r="N26" s="127"/>
      <c r="O26" s="127"/>
    </row>
    <row r="27" spans="1:15" ht="20.100000000000001" customHeight="1">
      <c r="A27" s="127" t="s">
        <v>91</v>
      </c>
      <c r="B27" s="127" t="s">
        <v>92</v>
      </c>
      <c r="C27" s="127" t="s">
        <v>48</v>
      </c>
      <c r="D27" s="127"/>
      <c r="E27" s="127"/>
      <c r="F27" s="127"/>
      <c r="G27" s="127"/>
      <c r="H27" s="127"/>
      <c r="I27" s="127"/>
      <c r="J27" s="127" t="s">
        <v>89</v>
      </c>
      <c r="K27" s="127" t="s">
        <v>89</v>
      </c>
      <c r="L27" s="127" t="s">
        <v>173</v>
      </c>
      <c r="M27" s="127"/>
      <c r="N27" s="127"/>
      <c r="O27" s="127"/>
    </row>
    <row r="28" spans="1:15" ht="20.100000000000001" customHeight="1">
      <c r="A28" s="127" t="s">
        <v>55</v>
      </c>
      <c r="B28" s="127" t="s">
        <v>55</v>
      </c>
      <c r="C28" s="127" t="s">
        <v>56</v>
      </c>
      <c r="D28" s="127"/>
      <c r="E28" s="127"/>
      <c r="F28" s="127"/>
      <c r="G28" s="127"/>
      <c r="H28" s="127"/>
      <c r="I28" s="127"/>
      <c r="J28" s="127" t="s">
        <v>64</v>
      </c>
      <c r="K28" s="127" t="s">
        <v>64</v>
      </c>
      <c r="L28" s="127" t="s">
        <v>194</v>
      </c>
      <c r="M28" s="127"/>
      <c r="N28" s="127"/>
      <c r="O28" s="127"/>
    </row>
    <row r="29" spans="1:15" ht="20.100000000000001" customHeight="1">
      <c r="A29" s="127" t="s">
        <v>28</v>
      </c>
      <c r="B29" s="127" t="s">
        <v>28</v>
      </c>
      <c r="C29" s="127" t="s">
        <v>29</v>
      </c>
      <c r="D29" s="127"/>
      <c r="E29" s="127"/>
      <c r="F29" s="127"/>
      <c r="G29" s="127"/>
      <c r="H29" s="127"/>
      <c r="I29" s="127"/>
      <c r="J29" s="127" t="s">
        <v>150</v>
      </c>
      <c r="K29" s="127" t="s">
        <v>150</v>
      </c>
      <c r="L29" s="127" t="s">
        <v>151</v>
      </c>
      <c r="M29" s="127"/>
      <c r="N29" s="127"/>
      <c r="O29" s="127"/>
    </row>
    <row r="30" spans="1:15" ht="20.100000000000001" customHeight="1">
      <c r="A30" s="127" t="s">
        <v>51</v>
      </c>
      <c r="B30" s="127" t="s">
        <v>51</v>
      </c>
      <c r="C30" s="127" t="s">
        <v>52</v>
      </c>
      <c r="D30" s="127"/>
      <c r="E30" s="127"/>
      <c r="F30" s="127"/>
      <c r="G30" s="127"/>
      <c r="H30" s="127"/>
      <c r="I30" s="127"/>
      <c r="J30" s="127" t="s">
        <v>192</v>
      </c>
      <c r="K30" s="127" t="s">
        <v>192</v>
      </c>
      <c r="L30" s="127" t="s">
        <v>193</v>
      </c>
      <c r="M30" s="127"/>
      <c r="N30" s="127"/>
      <c r="O30" s="127"/>
    </row>
    <row r="31" spans="1:15" ht="20.100000000000001" customHeight="1">
      <c r="A31" s="127" t="s">
        <v>20</v>
      </c>
      <c r="B31" s="127" t="s">
        <v>20</v>
      </c>
      <c r="C31" s="127" t="s">
        <v>21</v>
      </c>
      <c r="D31" s="127"/>
      <c r="E31" s="127"/>
      <c r="F31" s="127"/>
      <c r="G31" s="127"/>
      <c r="H31" s="127"/>
      <c r="I31" s="127"/>
      <c r="J31" s="127" t="s">
        <v>205</v>
      </c>
      <c r="K31" s="127" t="s">
        <v>183</v>
      </c>
      <c r="L31" s="127" t="s">
        <v>184</v>
      </c>
      <c r="M31" s="127"/>
      <c r="N31" s="127"/>
      <c r="O31" s="127"/>
    </row>
    <row r="32" spans="1:15" ht="20.100000000000001" customHeight="1">
      <c r="A32" s="127" t="s">
        <v>49</v>
      </c>
      <c r="B32" s="127" t="s">
        <v>49</v>
      </c>
      <c r="C32" s="127" t="s">
        <v>50</v>
      </c>
      <c r="D32" s="127"/>
      <c r="E32" s="127"/>
      <c r="F32" s="127"/>
      <c r="G32" s="127"/>
      <c r="H32" s="127"/>
      <c r="I32" s="127"/>
      <c r="J32" s="127" t="s">
        <v>201</v>
      </c>
      <c r="K32" s="127" t="s">
        <v>77</v>
      </c>
      <c r="L32" s="127" t="s">
        <v>163</v>
      </c>
      <c r="M32" s="127"/>
      <c r="N32" s="127"/>
      <c r="O32" s="127"/>
    </row>
    <row r="33" spans="1:15" ht="20.100000000000001" customHeight="1">
      <c r="A33" s="127" t="s">
        <v>42</v>
      </c>
      <c r="B33" s="127" t="s">
        <v>42</v>
      </c>
      <c r="C33" s="127" t="s">
        <v>43</v>
      </c>
      <c r="D33" s="127"/>
      <c r="E33" s="127"/>
      <c r="F33" s="127"/>
      <c r="G33" s="127"/>
      <c r="H33" s="127"/>
      <c r="I33" s="127"/>
      <c r="J33" s="127" t="s">
        <v>206</v>
      </c>
      <c r="K33" s="127" t="s">
        <v>185</v>
      </c>
      <c r="L33" s="127" t="s">
        <v>186</v>
      </c>
      <c r="M33" s="127"/>
      <c r="N33" s="127"/>
      <c r="O33" s="127"/>
    </row>
    <row r="34" spans="1:15" ht="20.100000000000001" customHeight="1">
      <c r="A34" s="127" t="s">
        <v>53</v>
      </c>
      <c r="B34" s="127" t="s">
        <v>53</v>
      </c>
      <c r="C34" s="127" t="s">
        <v>54</v>
      </c>
      <c r="D34" s="127"/>
      <c r="E34" s="127"/>
      <c r="F34" s="127"/>
      <c r="G34" s="127"/>
      <c r="H34" s="127"/>
      <c r="I34" s="127"/>
      <c r="J34" s="127" t="s">
        <v>190</v>
      </c>
      <c r="K34" s="127" t="s">
        <v>190</v>
      </c>
      <c r="L34" s="127" t="s">
        <v>191</v>
      </c>
      <c r="M34" s="127"/>
      <c r="N34" s="127"/>
      <c r="O34" s="127"/>
    </row>
    <row r="35" spans="1:15" ht="20.100000000000001" customHeight="1">
      <c r="A35" s="127" t="s">
        <v>40</v>
      </c>
      <c r="B35" s="127" t="s">
        <v>40</v>
      </c>
      <c r="C35" s="127" t="s">
        <v>41</v>
      </c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</row>
    <row r="36" spans="1:15" ht="20.100000000000001" customHeight="1">
      <c r="A36" s="127"/>
      <c r="B36" s="127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</row>
    <row r="37" spans="1:15" ht="20.100000000000001" customHeight="1">
      <c r="A37" s="127"/>
      <c r="B37" s="127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</row>
    <row r="38" spans="1:15" ht="20.100000000000001" customHeight="1">
      <c r="A38" s="127"/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</row>
    <row r="39" spans="1:15" ht="20.100000000000001" customHeight="1">
      <c r="A39" s="127"/>
      <c r="B39" s="127"/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</row>
    <row r="40" spans="1:15" ht="20.100000000000001" customHeight="1">
      <c r="A40" s="155"/>
      <c r="B40" s="155"/>
      <c r="C40" s="155"/>
      <c r="D40" s="155"/>
      <c r="E40" s="155"/>
      <c r="F40" s="155"/>
      <c r="G40" s="155"/>
      <c r="H40" s="155"/>
      <c r="I40" s="155"/>
      <c r="J40" s="156"/>
      <c r="K40" s="155"/>
      <c r="L40" s="155"/>
      <c r="M40" s="156"/>
      <c r="N40" s="156"/>
      <c r="O40" s="155"/>
    </row>
    <row r="41" spans="1:15" ht="20.100000000000001" customHeight="1">
      <c r="J41" s="103"/>
      <c r="M41" s="103"/>
    </row>
    <row r="42" spans="1:15" ht="20.100000000000001" customHeight="1">
      <c r="J42" s="103"/>
      <c r="M42" s="103"/>
    </row>
    <row r="43" spans="1:15" ht="20.100000000000001" customHeight="1">
      <c r="J43" s="103"/>
      <c r="M43" s="103"/>
    </row>
    <row r="44" spans="1:15" ht="20.100000000000001" customHeight="1">
      <c r="J44" s="103"/>
      <c r="M44" s="103"/>
    </row>
    <row r="45" spans="1:15" ht="20.100000000000001" customHeight="1">
      <c r="J45" s="103"/>
      <c r="M45" s="103"/>
    </row>
    <row r="46" spans="1:15" ht="20.100000000000001" customHeight="1">
      <c r="J46" s="103"/>
      <c r="M46" s="103"/>
    </row>
    <row r="47" spans="1:15" ht="20.100000000000001" customHeight="1">
      <c r="J47" s="103"/>
      <c r="M47" s="103"/>
    </row>
    <row r="48" spans="1:15" ht="20.100000000000001" customHeight="1">
      <c r="J48" s="103"/>
      <c r="M48" s="103"/>
    </row>
    <row r="49" spans="10:13" ht="20.100000000000001" customHeight="1">
      <c r="J49" s="103"/>
      <c r="M49" s="103"/>
    </row>
    <row r="50" spans="10:13" ht="20.100000000000001" customHeight="1">
      <c r="J50" s="103"/>
      <c r="M50" s="103"/>
    </row>
    <row r="51" spans="10:13" ht="20.100000000000001" customHeight="1">
      <c r="J51" s="103"/>
      <c r="M51" s="103"/>
    </row>
    <row r="52" spans="10:13" ht="20.100000000000001" customHeight="1">
      <c r="J52" s="103"/>
      <c r="M52" s="103"/>
    </row>
    <row r="53" spans="10:13" ht="20.100000000000001" customHeight="1">
      <c r="J53" s="103"/>
      <c r="M53" s="103"/>
    </row>
    <row r="54" spans="10:13" ht="20.100000000000001" customHeight="1">
      <c r="J54" s="103"/>
      <c r="M54" s="103"/>
    </row>
    <row r="55" spans="10:13" ht="20.100000000000001" customHeight="1">
      <c r="J55" s="103"/>
      <c r="M55" s="103"/>
    </row>
    <row r="56" spans="10:13" ht="20.100000000000001" customHeight="1">
      <c r="J56" s="103"/>
      <c r="M56" s="103"/>
    </row>
    <row r="57" spans="10:13" ht="20.100000000000001" customHeight="1">
      <c r="J57" s="103"/>
      <c r="M57" s="103"/>
    </row>
    <row r="58" spans="10:13" ht="20.100000000000001" customHeight="1">
      <c r="J58" s="103"/>
      <c r="M58" s="103"/>
    </row>
    <row r="59" spans="10:13" ht="20.100000000000001" customHeight="1">
      <c r="J59" s="103"/>
      <c r="M59" s="103"/>
    </row>
    <row r="60" spans="10:13" ht="20.100000000000001" customHeight="1">
      <c r="J60" s="103"/>
      <c r="M60" s="103"/>
    </row>
    <row r="61" spans="10:13" ht="20.100000000000001" customHeight="1">
      <c r="J61" s="103"/>
      <c r="M61" s="103"/>
    </row>
    <row r="62" spans="10:13" ht="20.100000000000001" customHeight="1">
      <c r="J62" s="103"/>
      <c r="M62" s="103"/>
    </row>
    <row r="63" spans="10:13" ht="20.100000000000001" customHeight="1">
      <c r="J63" s="103"/>
      <c r="M63" s="103"/>
    </row>
    <row r="64" spans="10:13" ht="20.100000000000001" customHeight="1">
      <c r="J64" s="103"/>
      <c r="M64" s="103"/>
    </row>
    <row r="65" spans="10:13" ht="20.100000000000001" customHeight="1">
      <c r="J65" s="103"/>
      <c r="M65" s="103"/>
    </row>
    <row r="66" spans="10:13" ht="20.100000000000001" customHeight="1">
      <c r="J66" s="103"/>
      <c r="M66" s="103"/>
    </row>
    <row r="67" spans="10:13" ht="20.100000000000001" customHeight="1">
      <c r="J67" s="103"/>
      <c r="M67" s="103"/>
    </row>
    <row r="68" spans="10:13" ht="20.100000000000001" customHeight="1">
      <c r="J68" s="103"/>
      <c r="M68" s="103"/>
    </row>
    <row r="69" spans="10:13" ht="20.100000000000001" customHeight="1">
      <c r="J69" s="103"/>
      <c r="M69" s="103"/>
    </row>
    <row r="70" spans="10:13" ht="20.100000000000001" customHeight="1">
      <c r="J70" s="103"/>
      <c r="M70" s="103"/>
    </row>
    <row r="71" spans="10:13" ht="20.100000000000001" customHeight="1">
      <c r="J71" s="103"/>
      <c r="M71" s="103"/>
    </row>
    <row r="72" spans="10:13" ht="20.100000000000001" customHeight="1">
      <c r="J72" s="103"/>
      <c r="M72" s="103"/>
    </row>
    <row r="73" spans="10:13" ht="20.100000000000001" customHeight="1">
      <c r="J73" s="103"/>
      <c r="M73" s="103"/>
    </row>
  </sheetData>
  <sortState ref="J3:M35">
    <sortCondition ref="J3:J35"/>
  </sortState>
  <customSheetViews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workbookViewId="0">
      <selection activeCell="B1" sqref="B1"/>
    </sheetView>
  </sheetViews>
  <sheetFormatPr defaultRowHeight="15"/>
  <cols>
    <col min="1" max="1" width="31.42578125" customWidth="1"/>
    <col min="2" max="2" width="4" bestFit="1" customWidth="1"/>
  </cols>
  <sheetData>
    <row r="1" spans="1:2" ht="16.5">
      <c r="A1" s="126" t="s">
        <v>113</v>
      </c>
      <c r="B1" s="336">
        <f t="shared" ref="B1:B18" si="0">LEN(A1)</f>
        <v>14</v>
      </c>
    </row>
    <row r="2" spans="1:2" ht="16.5">
      <c r="A2" s="127" t="s">
        <v>221</v>
      </c>
      <c r="B2" s="336">
        <f>LEN(A2)</f>
        <v>10</v>
      </c>
    </row>
    <row r="3" spans="1:2" ht="16.5">
      <c r="A3" s="127" t="s">
        <v>64</v>
      </c>
      <c r="B3" s="336">
        <f>LEN(A3)</f>
        <v>9</v>
      </c>
    </row>
    <row r="4" spans="1:2" ht="16.5">
      <c r="A4" s="127" t="s">
        <v>219</v>
      </c>
      <c r="B4" s="336">
        <f>LEN(A4)</f>
        <v>9</v>
      </c>
    </row>
    <row r="5" spans="1:2" ht="16.5">
      <c r="A5" s="127" t="s">
        <v>145</v>
      </c>
      <c r="B5" s="336">
        <f>LEN(A5)</f>
        <v>8</v>
      </c>
    </row>
    <row r="6" spans="1:2" ht="16.5">
      <c r="A6" s="127" t="s">
        <v>57</v>
      </c>
      <c r="B6" s="336">
        <f>LEN(A6)</f>
        <v>8</v>
      </c>
    </row>
    <row r="7" spans="1:2" ht="16.5">
      <c r="A7" s="127" t="s">
        <v>220</v>
      </c>
      <c r="B7" s="336">
        <f>LEN(A7)</f>
        <v>8</v>
      </c>
    </row>
    <row r="8" spans="1:2" ht="16.5">
      <c r="A8" s="127" t="s">
        <v>222</v>
      </c>
      <c r="B8" s="336">
        <f>LEN(A8)</f>
        <v>8</v>
      </c>
    </row>
    <row r="9" spans="1:2" ht="16.5">
      <c r="A9" s="127" t="s">
        <v>75</v>
      </c>
      <c r="B9" s="336">
        <f>LEN(A9)</f>
        <v>7</v>
      </c>
    </row>
    <row r="10" spans="1:2" ht="16.5">
      <c r="A10" s="127" t="s">
        <v>150</v>
      </c>
      <c r="B10" s="336">
        <f>LEN(A10)</f>
        <v>7</v>
      </c>
    </row>
    <row r="11" spans="1:2" ht="16.5">
      <c r="A11" s="127" t="s">
        <v>217</v>
      </c>
      <c r="B11" s="336">
        <f>LEN(A11)</f>
        <v>6</v>
      </c>
    </row>
    <row r="12" spans="1:2" ht="16.5">
      <c r="A12" s="127" t="s">
        <v>9</v>
      </c>
      <c r="B12" s="336">
        <f>LEN(A12)</f>
        <v>6</v>
      </c>
    </row>
    <row r="13" spans="1:2" ht="16.5">
      <c r="A13" s="127" t="s">
        <v>218</v>
      </c>
      <c r="B13" s="336">
        <f>LEN(A13)</f>
        <v>5</v>
      </c>
    </row>
    <row r="14" spans="1:2" ht="16.5">
      <c r="A14" s="127" t="s">
        <v>30</v>
      </c>
      <c r="B14" s="336">
        <f>LEN(A14)</f>
        <v>4</v>
      </c>
    </row>
    <row r="15" spans="1:2" ht="16.5">
      <c r="A15" s="127" t="s">
        <v>89</v>
      </c>
      <c r="B15" s="336">
        <f>LEN(A15)</f>
        <v>4</v>
      </c>
    </row>
    <row r="16" spans="1:2" ht="16.5">
      <c r="A16" s="127" t="s">
        <v>60</v>
      </c>
      <c r="B16" s="336">
        <f>LEN(A16)</f>
        <v>4</v>
      </c>
    </row>
    <row r="17" spans="1:2" ht="16.5">
      <c r="A17" s="127" t="s">
        <v>79</v>
      </c>
      <c r="B17" s="336">
        <f>LEN(A17)</f>
        <v>4</v>
      </c>
    </row>
    <row r="18" spans="1:2" ht="16.5">
      <c r="A18" s="127" t="s">
        <v>74</v>
      </c>
      <c r="B18" s="336">
        <f>LEN(A18)</f>
        <v>3</v>
      </c>
    </row>
  </sheetData>
  <sortState ref="A2:B18">
    <sortCondition descending="1" ref="B1"/>
  </sortState>
  <phoneticPr fontId="13"/>
  <dataValidations count="1">
    <dataValidation type="textLength" imeMode="off" operator="lessThanOrEqual" allowBlank="1" showInputMessage="1" showErrorMessage="1" errorTitle="エラー" error="文字数は63文字まで。" sqref="B1:B18">
      <formula1>63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3"/>
  <dimension ref="A1:AC61"/>
  <sheetViews>
    <sheetView showGridLines="0" zoomScaleNormal="100" workbookViewId="0">
      <pane ySplit="8" topLeftCell="A9" activePane="bottomLeft" state="frozen"/>
      <selection activeCell="A9" sqref="A9"/>
      <selection pane="bottomLeft" activeCell="D52" sqref="D52"/>
    </sheetView>
  </sheetViews>
  <sheetFormatPr defaultRowHeight="18" customHeight="1"/>
  <cols>
    <col min="1" max="1" width="12.85546875" style="111" bestFit="1" customWidth="1"/>
    <col min="2" max="2" width="3.42578125" style="111" customWidth="1"/>
    <col min="3" max="3" width="5.7109375" style="28" customWidth="1"/>
    <col min="4" max="5" width="40.7109375" style="28" customWidth="1"/>
    <col min="6" max="6" width="18.7109375" style="28" customWidth="1"/>
    <col min="7" max="7" width="11.85546875" style="28" customWidth="1"/>
    <col min="8" max="8" width="9.5703125" style="28" hidden="1" customWidth="1"/>
    <col min="9" max="12" width="3" style="28" customWidth="1"/>
    <col min="13" max="19" width="3" style="28" hidden="1" customWidth="1"/>
    <col min="20" max="20" width="12.140625" style="28" customWidth="1"/>
    <col min="21" max="21" width="15.7109375" style="28" customWidth="1"/>
    <col min="22" max="26" width="13.42578125" style="28" customWidth="1"/>
    <col min="27" max="27" width="9" style="100" customWidth="1"/>
    <col min="28" max="28" width="27.7109375" style="28" customWidth="1"/>
    <col min="29" max="16384" width="9.140625" style="28"/>
  </cols>
  <sheetData>
    <row r="1" spans="1:26" ht="12" customHeight="1" thickBot="1">
      <c r="A1" s="153"/>
      <c r="B1" s="153"/>
    </row>
    <row r="2" spans="1:26" ht="18" customHeight="1">
      <c r="A2" s="153"/>
      <c r="B2" s="153"/>
      <c r="C2" s="282"/>
      <c r="D2" s="283"/>
      <c r="E2" s="284"/>
      <c r="F2" s="172" t="s">
        <v>363</v>
      </c>
      <c r="G2" s="276" t="str">
        <f>ProjectName</f>
        <v>○△□プロジェクト</v>
      </c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8"/>
      <c r="U2" s="112" t="s">
        <v>3</v>
      </c>
      <c r="V2" s="274" t="str">
        <f>CreateBy</f>
        <v>○○　✕✕</v>
      </c>
      <c r="W2" s="275"/>
      <c r="X2" s="112" t="s">
        <v>4</v>
      </c>
      <c r="Y2" s="268">
        <f>CreateAt</f>
        <v>44287</v>
      </c>
      <c r="Z2" s="269"/>
    </row>
    <row r="3" spans="1:26" ht="18" customHeight="1" thickBot="1">
      <c r="C3" s="285"/>
      <c r="D3" s="286"/>
      <c r="E3" s="287"/>
      <c r="F3" s="173" t="s">
        <v>364</v>
      </c>
      <c r="G3" s="279" t="str">
        <f>systemName</f>
        <v>○✕システム</v>
      </c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1"/>
      <c r="U3" s="113" t="s">
        <v>6</v>
      </c>
      <c r="V3" s="272"/>
      <c r="W3" s="273"/>
      <c r="X3" s="113" t="s">
        <v>7</v>
      </c>
      <c r="Y3" s="270"/>
      <c r="Z3" s="271"/>
    </row>
    <row r="4" spans="1:26" ht="5.25" customHeight="1" thickBot="1">
      <c r="C4" s="267"/>
      <c r="D4" s="267"/>
    </row>
    <row r="5" spans="1:26" ht="18" customHeight="1">
      <c r="B5" s="111" t="s">
        <v>550</v>
      </c>
      <c r="C5" s="290" t="s">
        <v>216</v>
      </c>
      <c r="D5" s="291"/>
      <c r="E5" s="177"/>
      <c r="F5" s="172" t="s">
        <v>365</v>
      </c>
      <c r="G5" s="276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8"/>
      <c r="U5" s="112" t="s">
        <v>240</v>
      </c>
      <c r="V5" s="294" t="str">
        <f>IF(DBName&lt;&gt;"",DBName,"")</f>
        <v>test</v>
      </c>
      <c r="W5" s="295"/>
      <c r="X5" s="112" t="s">
        <v>284</v>
      </c>
      <c r="Y5" s="288" t="str">
        <f>IF(Schema&lt;&gt;"",Schema,"")</f>
        <v/>
      </c>
      <c r="Z5" s="289"/>
    </row>
    <row r="6" spans="1:26" ht="18" customHeight="1" thickBot="1">
      <c r="C6" s="263" t="s">
        <v>119</v>
      </c>
      <c r="D6" s="264"/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3"/>
      <c r="U6" s="113" t="s">
        <v>238</v>
      </c>
      <c r="V6" s="261" t="str">
        <f>IF(Instance&lt;&gt;"",Instance,"")</f>
        <v/>
      </c>
      <c r="W6" s="262"/>
      <c r="X6" s="113"/>
      <c r="Y6" s="265"/>
      <c r="Z6" s="266"/>
    </row>
    <row r="7" spans="1:26" ht="13.5" customHeight="1" thickBot="1"/>
    <row r="8" spans="1:26" ht="18" customHeight="1" thickBot="1">
      <c r="A8" s="111" t="s">
        <v>312</v>
      </c>
      <c r="C8" s="117" t="s">
        <v>300</v>
      </c>
      <c r="D8" s="164" t="s">
        <v>286</v>
      </c>
      <c r="E8" s="164" t="s">
        <v>287</v>
      </c>
      <c r="F8" s="164" t="s">
        <v>1</v>
      </c>
      <c r="G8" s="164" t="s">
        <v>8</v>
      </c>
      <c r="H8" s="164" t="s">
        <v>121</v>
      </c>
      <c r="I8" s="164" t="s">
        <v>122</v>
      </c>
      <c r="J8" s="164" t="s">
        <v>123</v>
      </c>
      <c r="K8" s="164" t="s">
        <v>124</v>
      </c>
      <c r="L8" s="164" t="s">
        <v>301</v>
      </c>
      <c r="M8" s="164" t="s">
        <v>298</v>
      </c>
      <c r="N8" s="164" t="s">
        <v>293</v>
      </c>
      <c r="O8" s="164" t="s">
        <v>294</v>
      </c>
      <c r="P8" s="164" t="s">
        <v>295</v>
      </c>
      <c r="Q8" s="164" t="s">
        <v>296</v>
      </c>
      <c r="R8" s="164" t="s">
        <v>297</v>
      </c>
      <c r="S8" s="164" t="s">
        <v>299</v>
      </c>
      <c r="T8" s="118" t="s">
        <v>125</v>
      </c>
      <c r="U8" s="164" t="s">
        <v>117</v>
      </c>
      <c r="V8" s="296" t="s">
        <v>126</v>
      </c>
      <c r="W8" s="297"/>
      <c r="X8" s="297"/>
      <c r="Y8" s="297"/>
      <c r="Z8" s="298"/>
    </row>
    <row r="9" spans="1:26" ht="18" customHeight="1">
      <c r="A9" s="111" t="s">
        <v>316</v>
      </c>
      <c r="C9" s="1">
        <f t="shared" ref="C9:C49" si="0">ROW()-8</f>
        <v>1</v>
      </c>
      <c r="D9" s="165"/>
      <c r="E9" s="165"/>
      <c r="F9" s="171"/>
      <c r="G9" s="47"/>
      <c r="H9" s="48"/>
      <c r="I9" s="44"/>
      <c r="J9" s="45"/>
      <c r="K9" s="45"/>
      <c r="L9" s="45"/>
      <c r="M9" s="45"/>
      <c r="N9" s="45"/>
      <c r="O9" s="45"/>
      <c r="P9" s="45"/>
      <c r="Q9" s="45"/>
      <c r="R9" s="45"/>
      <c r="S9" s="45"/>
      <c r="T9" s="46"/>
      <c r="U9" s="2"/>
      <c r="V9" s="174"/>
      <c r="W9" s="175"/>
      <c r="X9" s="175"/>
      <c r="Y9" s="175"/>
      <c r="Z9" s="176"/>
    </row>
    <row r="10" spans="1:26" ht="18" customHeight="1">
      <c r="A10" s="111" t="s">
        <v>316</v>
      </c>
      <c r="C10" s="3">
        <f t="shared" si="0"/>
        <v>2</v>
      </c>
      <c r="D10" s="171"/>
      <c r="E10" s="171"/>
      <c r="F10" s="171"/>
      <c r="G10" s="47"/>
      <c r="H10" s="48"/>
      <c r="I10" s="44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6"/>
      <c r="U10" s="4"/>
      <c r="V10" s="168"/>
      <c r="W10" s="169"/>
      <c r="X10" s="169"/>
      <c r="Y10" s="169"/>
      <c r="Z10" s="170"/>
    </row>
    <row r="11" spans="1:26" ht="18" customHeight="1">
      <c r="A11" s="111" t="s">
        <v>316</v>
      </c>
      <c r="C11" s="3">
        <f t="shared" si="0"/>
        <v>3</v>
      </c>
      <c r="D11" s="171"/>
      <c r="E11" s="171"/>
      <c r="F11" s="171"/>
      <c r="G11" s="47"/>
      <c r="H11" s="48"/>
      <c r="I11" s="44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6"/>
      <c r="U11" s="4"/>
      <c r="V11" s="168"/>
      <c r="W11" s="169"/>
      <c r="X11" s="169"/>
      <c r="Y11" s="169"/>
      <c r="Z11" s="170"/>
    </row>
    <row r="12" spans="1:26" ht="18" customHeight="1">
      <c r="A12" s="111" t="s">
        <v>316</v>
      </c>
      <c r="C12" s="3">
        <f t="shared" si="0"/>
        <v>4</v>
      </c>
      <c r="D12" s="171"/>
      <c r="E12" s="171"/>
      <c r="F12" s="171"/>
      <c r="G12" s="47"/>
      <c r="H12" s="48"/>
      <c r="I12" s="44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6"/>
      <c r="U12" s="4"/>
      <c r="V12" s="168"/>
      <c r="W12" s="169"/>
      <c r="X12" s="169"/>
      <c r="Y12" s="169"/>
      <c r="Z12" s="170"/>
    </row>
    <row r="13" spans="1:26" ht="18" customHeight="1">
      <c r="A13" s="111" t="s">
        <v>316</v>
      </c>
      <c r="C13" s="3">
        <f t="shared" si="0"/>
        <v>5</v>
      </c>
      <c r="D13" s="171"/>
      <c r="E13" s="171"/>
      <c r="F13" s="171"/>
      <c r="G13" s="47"/>
      <c r="H13" s="48"/>
      <c r="I13" s="44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6"/>
      <c r="U13" s="4"/>
      <c r="V13" s="168"/>
      <c r="W13" s="169"/>
      <c r="X13" s="169"/>
      <c r="Y13" s="169"/>
      <c r="Z13" s="170"/>
    </row>
    <row r="14" spans="1:26" ht="18" customHeight="1">
      <c r="A14" s="111" t="s">
        <v>316</v>
      </c>
      <c r="C14" s="3">
        <f t="shared" si="0"/>
        <v>6</v>
      </c>
      <c r="D14" s="171"/>
      <c r="E14" s="171"/>
      <c r="F14" s="171"/>
      <c r="G14" s="47"/>
      <c r="H14" s="48"/>
      <c r="I14" s="44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6"/>
      <c r="U14" s="4"/>
      <c r="V14" s="168"/>
      <c r="W14" s="169"/>
      <c r="X14" s="169"/>
      <c r="Y14" s="169"/>
      <c r="Z14" s="170"/>
    </row>
    <row r="15" spans="1:26" ht="18" customHeight="1">
      <c r="A15" s="111" t="s">
        <v>316</v>
      </c>
      <c r="C15" s="3">
        <f t="shared" si="0"/>
        <v>7</v>
      </c>
      <c r="D15" s="171"/>
      <c r="E15" s="171"/>
      <c r="F15" s="171"/>
      <c r="G15" s="47"/>
      <c r="H15" s="48"/>
      <c r="I15" s="44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6"/>
      <c r="U15" s="4"/>
      <c r="V15" s="168"/>
      <c r="W15" s="169"/>
      <c r="X15" s="169"/>
      <c r="Y15" s="169"/>
      <c r="Z15" s="170"/>
    </row>
    <row r="16" spans="1:26" ht="18" customHeight="1">
      <c r="A16" s="111" t="s">
        <v>316</v>
      </c>
      <c r="C16" s="3">
        <f t="shared" si="0"/>
        <v>8</v>
      </c>
      <c r="D16" s="171"/>
      <c r="E16" s="171"/>
      <c r="F16" s="171"/>
      <c r="G16" s="47"/>
      <c r="H16" s="48"/>
      <c r="I16" s="44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6"/>
      <c r="U16" s="4"/>
      <c r="V16" s="168"/>
      <c r="W16" s="169"/>
      <c r="X16" s="169"/>
      <c r="Y16" s="169"/>
      <c r="Z16" s="170"/>
    </row>
    <row r="17" spans="1:26" ht="18" customHeight="1">
      <c r="A17" s="111" t="s">
        <v>316</v>
      </c>
      <c r="C17" s="3">
        <f t="shared" si="0"/>
        <v>9</v>
      </c>
      <c r="D17" s="171"/>
      <c r="E17" s="171"/>
      <c r="F17" s="171"/>
      <c r="G17" s="47"/>
      <c r="H17" s="48"/>
      <c r="I17" s="44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6"/>
      <c r="U17" s="4"/>
      <c r="V17" s="168"/>
      <c r="W17" s="169"/>
      <c r="X17" s="169"/>
      <c r="Y17" s="169"/>
      <c r="Z17" s="170"/>
    </row>
    <row r="18" spans="1:26" ht="18" customHeight="1">
      <c r="A18" s="111" t="s">
        <v>316</v>
      </c>
      <c r="C18" s="3">
        <f t="shared" si="0"/>
        <v>10</v>
      </c>
      <c r="D18" s="171"/>
      <c r="E18" s="171"/>
      <c r="F18" s="171"/>
      <c r="G18" s="47"/>
      <c r="H18" s="48"/>
      <c r="I18" s="44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6"/>
      <c r="U18" s="4"/>
      <c r="V18" s="168"/>
      <c r="W18" s="169"/>
      <c r="X18" s="169"/>
      <c r="Y18" s="169"/>
      <c r="Z18" s="170"/>
    </row>
    <row r="19" spans="1:26" ht="18" customHeight="1">
      <c r="A19" s="111" t="s">
        <v>316</v>
      </c>
      <c r="C19" s="3">
        <f t="shared" si="0"/>
        <v>11</v>
      </c>
      <c r="D19" s="171"/>
      <c r="E19" s="171"/>
      <c r="F19" s="171"/>
      <c r="G19" s="47"/>
      <c r="H19" s="48"/>
      <c r="I19" s="44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6"/>
      <c r="U19" s="4"/>
      <c r="V19" s="168"/>
      <c r="W19" s="169"/>
      <c r="X19" s="169"/>
      <c r="Y19" s="169"/>
      <c r="Z19" s="170"/>
    </row>
    <row r="20" spans="1:26" ht="18" customHeight="1">
      <c r="A20" s="111" t="s">
        <v>316</v>
      </c>
      <c r="C20" s="3">
        <f t="shared" si="0"/>
        <v>12</v>
      </c>
      <c r="D20" s="171"/>
      <c r="E20" s="171"/>
      <c r="F20" s="171"/>
      <c r="G20" s="47"/>
      <c r="H20" s="48"/>
      <c r="I20" s="44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6"/>
      <c r="U20" s="4"/>
      <c r="V20" s="168"/>
      <c r="W20" s="169"/>
      <c r="X20" s="169"/>
      <c r="Y20" s="169"/>
      <c r="Z20" s="170"/>
    </row>
    <row r="21" spans="1:26" ht="18" customHeight="1">
      <c r="A21" s="111" t="s">
        <v>316</v>
      </c>
      <c r="C21" s="3">
        <f t="shared" si="0"/>
        <v>13</v>
      </c>
      <c r="D21" s="171"/>
      <c r="E21" s="171"/>
      <c r="F21" s="171"/>
      <c r="G21" s="47"/>
      <c r="H21" s="48"/>
      <c r="I21" s="44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6"/>
      <c r="U21" s="4"/>
      <c r="V21" s="168"/>
      <c r="W21" s="169"/>
      <c r="X21" s="169"/>
      <c r="Y21" s="169"/>
      <c r="Z21" s="170"/>
    </row>
    <row r="22" spans="1:26" ht="18" customHeight="1">
      <c r="A22" s="111" t="s">
        <v>316</v>
      </c>
      <c r="C22" s="3">
        <f t="shared" si="0"/>
        <v>14</v>
      </c>
      <c r="D22" s="171"/>
      <c r="E22" s="171"/>
      <c r="F22" s="171"/>
      <c r="G22" s="47"/>
      <c r="H22" s="48"/>
      <c r="I22" s="44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6"/>
      <c r="U22" s="4"/>
      <c r="V22" s="168"/>
      <c r="W22" s="169"/>
      <c r="X22" s="169"/>
      <c r="Y22" s="169"/>
      <c r="Z22" s="170"/>
    </row>
    <row r="23" spans="1:26" ht="18" customHeight="1">
      <c r="A23" s="111" t="s">
        <v>316</v>
      </c>
      <c r="C23" s="3">
        <f t="shared" si="0"/>
        <v>15</v>
      </c>
      <c r="D23" s="171"/>
      <c r="E23" s="171"/>
      <c r="F23" s="171"/>
      <c r="G23" s="47"/>
      <c r="H23" s="48"/>
      <c r="I23" s="44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6"/>
      <c r="U23" s="4"/>
      <c r="V23" s="168"/>
      <c r="W23" s="169"/>
      <c r="X23" s="169"/>
      <c r="Y23" s="169"/>
      <c r="Z23" s="170"/>
    </row>
    <row r="24" spans="1:26" ht="18" customHeight="1">
      <c r="A24" s="111" t="s">
        <v>316</v>
      </c>
      <c r="C24" s="3">
        <f t="shared" si="0"/>
        <v>16</v>
      </c>
      <c r="D24" s="171"/>
      <c r="E24" s="171"/>
      <c r="F24" s="171"/>
      <c r="G24" s="47"/>
      <c r="H24" s="48"/>
      <c r="I24" s="44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6"/>
      <c r="U24" s="4"/>
      <c r="V24" s="168"/>
      <c r="W24" s="169"/>
      <c r="X24" s="169"/>
      <c r="Y24" s="169"/>
      <c r="Z24" s="170"/>
    </row>
    <row r="25" spans="1:26" ht="18" customHeight="1">
      <c r="A25" s="111" t="s">
        <v>316</v>
      </c>
      <c r="C25" s="3">
        <f t="shared" si="0"/>
        <v>17</v>
      </c>
      <c r="D25" s="171"/>
      <c r="E25" s="171"/>
      <c r="F25" s="171"/>
      <c r="G25" s="47"/>
      <c r="H25" s="48"/>
      <c r="I25" s="44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6"/>
      <c r="U25" s="4"/>
      <c r="V25" s="168"/>
      <c r="W25" s="169"/>
      <c r="X25" s="169"/>
      <c r="Y25" s="169"/>
      <c r="Z25" s="170"/>
    </row>
    <row r="26" spans="1:26" ht="18" customHeight="1">
      <c r="A26" s="111" t="s">
        <v>316</v>
      </c>
      <c r="C26" s="3">
        <f t="shared" si="0"/>
        <v>18</v>
      </c>
      <c r="D26" s="171"/>
      <c r="E26" s="171"/>
      <c r="F26" s="171"/>
      <c r="G26" s="47"/>
      <c r="H26" s="48"/>
      <c r="I26" s="44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6"/>
      <c r="U26" s="4"/>
      <c r="V26" s="168"/>
      <c r="W26" s="169"/>
      <c r="X26" s="169"/>
      <c r="Y26" s="169"/>
      <c r="Z26" s="170"/>
    </row>
    <row r="27" spans="1:26" ht="18" customHeight="1">
      <c r="A27" s="111" t="s">
        <v>316</v>
      </c>
      <c r="C27" s="3">
        <f t="shared" si="0"/>
        <v>19</v>
      </c>
      <c r="D27" s="171"/>
      <c r="E27" s="171"/>
      <c r="F27" s="171"/>
      <c r="G27" s="47"/>
      <c r="H27" s="48"/>
      <c r="I27" s="44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6"/>
      <c r="U27" s="4"/>
      <c r="V27" s="168"/>
      <c r="W27" s="169"/>
      <c r="X27" s="169"/>
      <c r="Y27" s="169"/>
      <c r="Z27" s="170"/>
    </row>
    <row r="28" spans="1:26" ht="18" customHeight="1">
      <c r="A28" s="111" t="s">
        <v>316</v>
      </c>
      <c r="C28" s="3">
        <f t="shared" si="0"/>
        <v>20</v>
      </c>
      <c r="D28" s="171"/>
      <c r="E28" s="171"/>
      <c r="F28" s="171"/>
      <c r="G28" s="47"/>
      <c r="H28" s="48"/>
      <c r="I28" s="44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6"/>
      <c r="U28" s="4"/>
      <c r="V28" s="168"/>
      <c r="W28" s="169"/>
      <c r="X28" s="169"/>
      <c r="Y28" s="169"/>
      <c r="Z28" s="170"/>
    </row>
    <row r="29" spans="1:26" ht="18" customHeight="1">
      <c r="A29" s="111" t="s">
        <v>316</v>
      </c>
      <c r="C29" s="3">
        <f t="shared" si="0"/>
        <v>21</v>
      </c>
      <c r="D29" s="171"/>
      <c r="E29" s="171"/>
      <c r="F29" s="171"/>
      <c r="G29" s="47"/>
      <c r="H29" s="48"/>
      <c r="I29" s="44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6"/>
      <c r="U29" s="4"/>
      <c r="V29" s="168"/>
      <c r="W29" s="169"/>
      <c r="X29" s="169"/>
      <c r="Y29" s="169"/>
      <c r="Z29" s="170"/>
    </row>
    <row r="30" spans="1:26" ht="18" customHeight="1">
      <c r="A30" s="111" t="s">
        <v>316</v>
      </c>
      <c r="C30" s="3">
        <f t="shared" si="0"/>
        <v>22</v>
      </c>
      <c r="D30" s="171"/>
      <c r="E30" s="171"/>
      <c r="F30" s="171"/>
      <c r="G30" s="47"/>
      <c r="H30" s="48"/>
      <c r="I30" s="44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6"/>
      <c r="U30" s="4"/>
      <c r="V30" s="168"/>
      <c r="W30" s="169"/>
      <c r="X30" s="169"/>
      <c r="Y30" s="169"/>
      <c r="Z30" s="170"/>
    </row>
    <row r="31" spans="1:26" ht="18" customHeight="1">
      <c r="A31" s="111" t="s">
        <v>316</v>
      </c>
      <c r="C31" s="3">
        <f t="shared" si="0"/>
        <v>23</v>
      </c>
      <c r="D31" s="171"/>
      <c r="E31" s="171"/>
      <c r="F31" s="171"/>
      <c r="G31" s="47"/>
      <c r="H31" s="48"/>
      <c r="I31" s="44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6"/>
      <c r="U31" s="4"/>
      <c r="V31" s="168"/>
      <c r="W31" s="169"/>
      <c r="X31" s="169"/>
      <c r="Y31" s="169"/>
      <c r="Z31" s="170"/>
    </row>
    <row r="32" spans="1:26" ht="18" customHeight="1">
      <c r="A32" s="111" t="s">
        <v>316</v>
      </c>
      <c r="C32" s="3">
        <f t="shared" si="0"/>
        <v>24</v>
      </c>
      <c r="D32" s="171"/>
      <c r="E32" s="171"/>
      <c r="F32" s="171"/>
      <c r="G32" s="47"/>
      <c r="H32" s="48"/>
      <c r="I32" s="44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6"/>
      <c r="U32" s="4"/>
      <c r="V32" s="168"/>
      <c r="W32" s="169"/>
      <c r="X32" s="169"/>
      <c r="Y32" s="169"/>
      <c r="Z32" s="170"/>
    </row>
    <row r="33" spans="1:26" ht="18" customHeight="1">
      <c r="A33" s="111" t="s">
        <v>316</v>
      </c>
      <c r="C33" s="3">
        <f t="shared" si="0"/>
        <v>25</v>
      </c>
      <c r="D33" s="171"/>
      <c r="E33" s="171"/>
      <c r="F33" s="171"/>
      <c r="G33" s="47"/>
      <c r="H33" s="48"/>
      <c r="I33" s="44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6"/>
      <c r="U33" s="4"/>
      <c r="V33" s="168"/>
      <c r="W33" s="169"/>
      <c r="X33" s="169"/>
      <c r="Y33" s="169"/>
      <c r="Z33" s="170"/>
    </row>
    <row r="34" spans="1:26" ht="18" customHeight="1">
      <c r="A34" s="111" t="s">
        <v>316</v>
      </c>
      <c r="C34" s="3">
        <f t="shared" si="0"/>
        <v>26</v>
      </c>
      <c r="D34" s="171"/>
      <c r="E34" s="171"/>
      <c r="F34" s="171"/>
      <c r="G34" s="47"/>
      <c r="H34" s="48"/>
      <c r="I34" s="44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6"/>
      <c r="U34" s="4"/>
      <c r="V34" s="168"/>
      <c r="W34" s="169"/>
      <c r="X34" s="169"/>
      <c r="Y34" s="169"/>
      <c r="Z34" s="170"/>
    </row>
    <row r="35" spans="1:26" ht="18" customHeight="1">
      <c r="A35" s="111" t="s">
        <v>316</v>
      </c>
      <c r="C35" s="3">
        <f t="shared" si="0"/>
        <v>27</v>
      </c>
      <c r="D35" s="171"/>
      <c r="E35" s="171"/>
      <c r="F35" s="171"/>
      <c r="G35" s="47"/>
      <c r="H35" s="48"/>
      <c r="I35" s="44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6"/>
      <c r="U35" s="4"/>
      <c r="V35" s="168"/>
      <c r="W35" s="169"/>
      <c r="X35" s="169"/>
      <c r="Y35" s="169"/>
      <c r="Z35" s="170"/>
    </row>
    <row r="36" spans="1:26" ht="18" customHeight="1">
      <c r="A36" s="111" t="s">
        <v>316</v>
      </c>
      <c r="C36" s="3">
        <f t="shared" si="0"/>
        <v>28</v>
      </c>
      <c r="D36" s="171"/>
      <c r="E36" s="171"/>
      <c r="F36" s="171"/>
      <c r="G36" s="47"/>
      <c r="H36" s="48"/>
      <c r="I36" s="44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6"/>
      <c r="U36" s="4"/>
      <c r="V36" s="168"/>
      <c r="W36" s="169"/>
      <c r="X36" s="169"/>
      <c r="Y36" s="169"/>
      <c r="Z36" s="170"/>
    </row>
    <row r="37" spans="1:26" ht="18" customHeight="1">
      <c r="A37" s="111" t="s">
        <v>316</v>
      </c>
      <c r="C37" s="3">
        <f t="shared" si="0"/>
        <v>29</v>
      </c>
      <c r="D37" s="171"/>
      <c r="E37" s="171"/>
      <c r="F37" s="171"/>
      <c r="G37" s="47"/>
      <c r="H37" s="48"/>
      <c r="I37" s="44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6"/>
      <c r="U37" s="4"/>
      <c r="V37" s="168"/>
      <c r="W37" s="169"/>
      <c r="X37" s="169"/>
      <c r="Y37" s="169"/>
      <c r="Z37" s="170"/>
    </row>
    <row r="38" spans="1:26" ht="18" customHeight="1">
      <c r="A38" s="111" t="s">
        <v>316</v>
      </c>
      <c r="C38" s="3">
        <f t="shared" si="0"/>
        <v>30</v>
      </c>
      <c r="D38" s="171"/>
      <c r="E38" s="171"/>
      <c r="F38" s="171"/>
      <c r="G38" s="47"/>
      <c r="H38" s="48"/>
      <c r="I38" s="44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6"/>
      <c r="U38" s="4"/>
      <c r="V38" s="168"/>
      <c r="W38" s="169"/>
      <c r="X38" s="169"/>
      <c r="Y38" s="169"/>
      <c r="Z38" s="170"/>
    </row>
    <row r="39" spans="1:26" ht="18" customHeight="1">
      <c r="A39" s="111" t="s">
        <v>316</v>
      </c>
      <c r="C39" s="3">
        <f t="shared" si="0"/>
        <v>31</v>
      </c>
      <c r="D39" s="171"/>
      <c r="E39" s="171"/>
      <c r="F39" s="171"/>
      <c r="G39" s="47"/>
      <c r="H39" s="48"/>
      <c r="I39" s="44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6"/>
      <c r="U39" s="4"/>
      <c r="V39" s="168"/>
      <c r="W39" s="169"/>
      <c r="X39" s="169"/>
      <c r="Y39" s="169"/>
      <c r="Z39" s="170"/>
    </row>
    <row r="40" spans="1:26" ht="18" customHeight="1">
      <c r="A40" s="111" t="s">
        <v>316</v>
      </c>
      <c r="C40" s="3">
        <f t="shared" si="0"/>
        <v>32</v>
      </c>
      <c r="D40" s="171"/>
      <c r="E40" s="171"/>
      <c r="F40" s="171"/>
      <c r="G40" s="47"/>
      <c r="H40" s="48"/>
      <c r="I40" s="44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6"/>
      <c r="U40" s="4"/>
      <c r="V40" s="168"/>
      <c r="W40" s="169"/>
      <c r="X40" s="169"/>
      <c r="Y40" s="169"/>
      <c r="Z40" s="170"/>
    </row>
    <row r="41" spans="1:26" ht="18" customHeight="1">
      <c r="A41" s="111" t="s">
        <v>316</v>
      </c>
      <c r="C41" s="3">
        <f t="shared" si="0"/>
        <v>33</v>
      </c>
      <c r="D41" s="171"/>
      <c r="E41" s="171"/>
      <c r="F41" s="171"/>
      <c r="G41" s="47"/>
      <c r="H41" s="48"/>
      <c r="I41" s="44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6"/>
      <c r="U41" s="4"/>
      <c r="V41" s="168"/>
      <c r="W41" s="169"/>
      <c r="X41" s="169"/>
      <c r="Y41" s="169"/>
      <c r="Z41" s="170"/>
    </row>
    <row r="42" spans="1:26" ht="18" customHeight="1">
      <c r="A42" s="111" t="s">
        <v>316</v>
      </c>
      <c r="C42" s="3">
        <f t="shared" si="0"/>
        <v>34</v>
      </c>
      <c r="D42" s="171"/>
      <c r="E42" s="171"/>
      <c r="F42" s="171"/>
      <c r="G42" s="47"/>
      <c r="H42" s="48"/>
      <c r="I42" s="44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6"/>
      <c r="U42" s="4"/>
      <c r="V42" s="168"/>
      <c r="W42" s="169"/>
      <c r="X42" s="169"/>
      <c r="Y42" s="169"/>
      <c r="Z42" s="170"/>
    </row>
    <row r="43" spans="1:26" ht="18" customHeight="1">
      <c r="A43" s="111" t="s">
        <v>316</v>
      </c>
      <c r="C43" s="3">
        <f t="shared" si="0"/>
        <v>35</v>
      </c>
      <c r="D43" s="171"/>
      <c r="E43" s="171"/>
      <c r="F43" s="171"/>
      <c r="G43" s="47"/>
      <c r="H43" s="48"/>
      <c r="I43" s="44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6"/>
      <c r="U43" s="4"/>
      <c r="V43" s="168"/>
      <c r="W43" s="169"/>
      <c r="X43" s="169"/>
      <c r="Y43" s="169"/>
      <c r="Z43" s="170"/>
    </row>
    <row r="44" spans="1:26" ht="18" customHeight="1">
      <c r="A44" s="111" t="s">
        <v>316</v>
      </c>
      <c r="C44" s="3">
        <f t="shared" si="0"/>
        <v>36</v>
      </c>
      <c r="D44" s="171"/>
      <c r="E44" s="171"/>
      <c r="F44" s="171"/>
      <c r="G44" s="47"/>
      <c r="H44" s="48"/>
      <c r="I44" s="44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6"/>
      <c r="U44" s="4"/>
      <c r="V44" s="168"/>
      <c r="W44" s="169"/>
      <c r="X44" s="169"/>
      <c r="Y44" s="169"/>
      <c r="Z44" s="170"/>
    </row>
    <row r="45" spans="1:26" ht="18" customHeight="1">
      <c r="A45" s="111" t="s">
        <v>316</v>
      </c>
      <c r="C45" s="3">
        <f t="shared" si="0"/>
        <v>37</v>
      </c>
      <c r="D45" s="171"/>
      <c r="E45" s="171"/>
      <c r="F45" s="171"/>
      <c r="G45" s="47"/>
      <c r="H45" s="48"/>
      <c r="I45" s="44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6"/>
      <c r="U45" s="4"/>
      <c r="V45" s="168"/>
      <c r="W45" s="169"/>
      <c r="X45" s="169"/>
      <c r="Y45" s="169"/>
      <c r="Z45" s="170"/>
    </row>
    <row r="46" spans="1:26" ht="18" customHeight="1">
      <c r="A46" s="111" t="s">
        <v>316</v>
      </c>
      <c r="C46" s="3">
        <f t="shared" si="0"/>
        <v>38</v>
      </c>
      <c r="D46" s="171"/>
      <c r="E46" s="171"/>
      <c r="F46" s="171"/>
      <c r="G46" s="47"/>
      <c r="H46" s="48"/>
      <c r="I46" s="44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6"/>
      <c r="U46" s="4"/>
      <c r="V46" s="168"/>
      <c r="W46" s="169"/>
      <c r="X46" s="169"/>
      <c r="Y46" s="169"/>
      <c r="Z46" s="170"/>
    </row>
    <row r="47" spans="1:26" ht="18" customHeight="1">
      <c r="A47" s="111" t="s">
        <v>316</v>
      </c>
      <c r="C47" s="3">
        <f t="shared" si="0"/>
        <v>39</v>
      </c>
      <c r="D47" s="171"/>
      <c r="E47" s="171"/>
      <c r="F47" s="171"/>
      <c r="G47" s="47"/>
      <c r="H47" s="48"/>
      <c r="I47" s="44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6"/>
      <c r="U47" s="4"/>
      <c r="V47" s="168"/>
      <c r="W47" s="169"/>
      <c r="X47" s="169"/>
      <c r="Y47" s="169"/>
      <c r="Z47" s="170"/>
    </row>
    <row r="48" spans="1:26" ht="18" customHeight="1">
      <c r="A48" s="28"/>
      <c r="C48" s="3">
        <f>ROW()-8</f>
        <v>40</v>
      </c>
      <c r="D48" s="171"/>
      <c r="E48" s="171"/>
      <c r="F48" s="171"/>
      <c r="G48" s="47"/>
      <c r="H48" s="48"/>
      <c r="I48" s="44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6"/>
      <c r="U48" s="4"/>
      <c r="V48" s="168"/>
      <c r="W48" s="169"/>
      <c r="X48" s="169"/>
      <c r="Y48" s="169"/>
      <c r="Z48" s="170"/>
    </row>
    <row r="49" spans="1:29" ht="18" customHeight="1" thickBot="1">
      <c r="A49" s="111" t="s">
        <v>316</v>
      </c>
      <c r="C49" s="5">
        <f t="shared" si="0"/>
        <v>41</v>
      </c>
      <c r="D49" s="182"/>
      <c r="E49" s="182"/>
      <c r="F49" s="182"/>
      <c r="G49" s="11"/>
      <c r="H49" s="6"/>
      <c r="I49" s="7"/>
      <c r="J49" s="8"/>
      <c r="K49" s="8"/>
      <c r="L49" s="8"/>
      <c r="M49" s="8"/>
      <c r="N49" s="8"/>
      <c r="O49" s="8"/>
      <c r="P49" s="8"/>
      <c r="Q49" s="8"/>
      <c r="R49" s="8"/>
      <c r="S49" s="8"/>
      <c r="T49" s="9"/>
      <c r="U49" s="10"/>
      <c r="V49" s="179"/>
      <c r="W49" s="180"/>
      <c r="X49" s="180"/>
      <c r="Y49" s="180"/>
      <c r="Z49" s="181"/>
    </row>
    <row r="50" spans="1:29" ht="18" customHeight="1">
      <c r="A50" s="111" t="s">
        <v>315</v>
      </c>
      <c r="C50" s="157"/>
      <c r="D50" s="21"/>
      <c r="E50" s="21"/>
      <c r="F50" s="21"/>
      <c r="G50" s="22"/>
      <c r="H50" s="158"/>
      <c r="I50" s="23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5"/>
      <c r="U50" s="26"/>
      <c r="V50" s="27"/>
      <c r="W50" s="27"/>
      <c r="X50" s="27"/>
      <c r="Y50" s="27"/>
      <c r="Z50" s="27"/>
    </row>
    <row r="51" spans="1:29" ht="18" customHeight="1" thickBot="1">
      <c r="A51" s="111" t="s">
        <v>315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</row>
    <row r="52" spans="1:29" s="42" customFormat="1" ht="18" customHeight="1" thickBot="1">
      <c r="A52" s="111" t="s">
        <v>313</v>
      </c>
      <c r="B52" s="111"/>
      <c r="C52" s="117" t="s">
        <v>300</v>
      </c>
      <c r="D52" s="192" t="s">
        <v>367</v>
      </c>
      <c r="E52" s="119" t="s">
        <v>368</v>
      </c>
      <c r="F52" s="193" t="s">
        <v>366</v>
      </c>
      <c r="G52" s="243" t="s">
        <v>374</v>
      </c>
      <c r="H52" s="253"/>
      <c r="I52" s="253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43" t="s">
        <v>369</v>
      </c>
      <c r="W52" s="253"/>
      <c r="X52" s="253"/>
      <c r="Y52" s="253"/>
      <c r="Z52" s="260"/>
      <c r="AB52" s="28"/>
      <c r="AC52" s="28"/>
    </row>
    <row r="53" spans="1:29" s="100" customFormat="1" ht="18" customHeight="1">
      <c r="A53" s="111" t="s">
        <v>316</v>
      </c>
      <c r="B53" s="111"/>
      <c r="C53" s="30"/>
      <c r="D53" s="162"/>
      <c r="E53" s="43"/>
      <c r="F53" s="178"/>
      <c r="G53" s="241"/>
      <c r="H53" s="254"/>
      <c r="I53" s="254"/>
      <c r="J53" s="254"/>
      <c r="K53" s="254"/>
      <c r="L53" s="254"/>
      <c r="M53" s="254"/>
      <c r="N53" s="254"/>
      <c r="O53" s="254"/>
      <c r="P53" s="254"/>
      <c r="Q53" s="254"/>
      <c r="R53" s="254"/>
      <c r="S53" s="254"/>
      <c r="T53" s="254"/>
      <c r="U53" s="254"/>
      <c r="V53" s="257"/>
      <c r="W53" s="258"/>
      <c r="X53" s="258"/>
      <c r="Y53" s="258"/>
      <c r="Z53" s="259"/>
      <c r="AB53" s="28"/>
      <c r="AC53" s="28"/>
    </row>
    <row r="54" spans="1:29" s="100" customFormat="1" ht="18" customHeight="1">
      <c r="A54" s="111" t="s">
        <v>316</v>
      </c>
      <c r="B54" s="111"/>
      <c r="C54" s="30"/>
      <c r="D54" s="166"/>
      <c r="E54" s="43"/>
      <c r="F54" s="167"/>
      <c r="G54" s="24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55"/>
      <c r="S54" s="255"/>
      <c r="T54" s="255"/>
      <c r="U54" s="255"/>
      <c r="V54" s="247"/>
      <c r="W54" s="248"/>
      <c r="X54" s="248"/>
      <c r="Y54" s="248"/>
      <c r="Z54" s="249"/>
      <c r="AB54" s="28"/>
      <c r="AC54" s="28"/>
    </row>
    <row r="55" spans="1:29" ht="18" customHeight="1" thickBot="1">
      <c r="A55" s="111" t="s">
        <v>316</v>
      </c>
      <c r="C55" s="31"/>
      <c r="D55" s="161"/>
      <c r="E55" s="66"/>
      <c r="F55" s="183"/>
      <c r="G55" s="239"/>
      <c r="H55" s="256"/>
      <c r="I55" s="256"/>
      <c r="J55" s="256"/>
      <c r="K55" s="256"/>
      <c r="L55" s="256"/>
      <c r="M55" s="256"/>
      <c r="N55" s="256"/>
      <c r="O55" s="256"/>
      <c r="P55" s="256"/>
      <c r="Q55" s="256"/>
      <c r="R55" s="256"/>
      <c r="S55" s="256"/>
      <c r="T55" s="256"/>
      <c r="U55" s="256"/>
      <c r="V55" s="250"/>
      <c r="W55" s="251"/>
      <c r="X55" s="251"/>
      <c r="Y55" s="251"/>
      <c r="Z55" s="252"/>
    </row>
    <row r="56" spans="1:29" ht="18" customHeight="1" thickBot="1">
      <c r="A56" s="111" t="s">
        <v>315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9" ht="18" customHeight="1" thickBot="1">
      <c r="A57" s="111" t="s">
        <v>314</v>
      </c>
      <c r="C57" s="117" t="s">
        <v>300</v>
      </c>
      <c r="D57" s="163" t="s">
        <v>370</v>
      </c>
      <c r="E57" s="243" t="s">
        <v>371</v>
      </c>
      <c r="F57" s="244"/>
      <c r="G57" s="243" t="s">
        <v>372</v>
      </c>
      <c r="H57" s="253"/>
      <c r="I57" s="253"/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43" t="s">
        <v>369</v>
      </c>
      <c r="W57" s="253"/>
      <c r="X57" s="253"/>
      <c r="Y57" s="253"/>
      <c r="Z57" s="260"/>
      <c r="AA57" s="42"/>
    </row>
    <row r="58" spans="1:29" ht="18" customHeight="1">
      <c r="A58" s="111" t="s">
        <v>316</v>
      </c>
      <c r="C58" s="29"/>
      <c r="D58" s="162"/>
      <c r="E58" s="241"/>
      <c r="F58" s="242"/>
      <c r="G58" s="241"/>
      <c r="H58" s="254"/>
      <c r="I58" s="254"/>
      <c r="J58" s="254"/>
      <c r="K58" s="254"/>
      <c r="L58" s="254"/>
      <c r="M58" s="254"/>
      <c r="N58" s="254"/>
      <c r="O58" s="254"/>
      <c r="P58" s="254"/>
      <c r="Q58" s="254"/>
      <c r="R58" s="254"/>
      <c r="S58" s="254"/>
      <c r="T58" s="254"/>
      <c r="U58" s="254"/>
      <c r="V58" s="257"/>
      <c r="W58" s="258"/>
      <c r="X58" s="258"/>
      <c r="Y58" s="258"/>
      <c r="Z58" s="259"/>
    </row>
    <row r="59" spans="1:29" ht="18" customHeight="1">
      <c r="A59" s="111" t="s">
        <v>316</v>
      </c>
      <c r="C59" s="30"/>
      <c r="D59" s="166"/>
      <c r="E59" s="245"/>
      <c r="F59" s="246"/>
      <c r="G59" s="245"/>
      <c r="H59" s="25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/>
      <c r="T59" s="255"/>
      <c r="U59" s="255"/>
      <c r="V59" s="247"/>
      <c r="W59" s="248"/>
      <c r="X59" s="248"/>
      <c r="Y59" s="248"/>
      <c r="Z59" s="249"/>
    </row>
    <row r="60" spans="1:29" ht="18" customHeight="1" thickBot="1">
      <c r="A60" s="111" t="s">
        <v>316</v>
      </c>
      <c r="C60" s="31"/>
      <c r="D60" s="161"/>
      <c r="E60" s="239"/>
      <c r="F60" s="240"/>
      <c r="G60" s="239"/>
      <c r="H60" s="256"/>
      <c r="I60" s="256"/>
      <c r="J60" s="256"/>
      <c r="K60" s="256"/>
      <c r="L60" s="256"/>
      <c r="M60" s="256"/>
      <c r="N60" s="256"/>
      <c r="O60" s="256"/>
      <c r="P60" s="256"/>
      <c r="Q60" s="256"/>
      <c r="R60" s="256"/>
      <c r="S60" s="256"/>
      <c r="T60" s="256"/>
      <c r="U60" s="256"/>
      <c r="V60" s="250"/>
      <c r="W60" s="251"/>
      <c r="X60" s="251"/>
      <c r="Y60" s="251"/>
      <c r="Z60" s="252"/>
    </row>
    <row r="61" spans="1:29" s="33" customFormat="1" ht="18" customHeight="1">
      <c r="A61" s="111" t="s">
        <v>317</v>
      </c>
      <c r="B61" s="111"/>
      <c r="AA61" s="101"/>
    </row>
  </sheetData>
  <customSheetViews>
    <customSheetView guid="{809E84AF-EE5E-4456-99E6-0390B35F6AD9}" scale="80" showGridLines="0" hiddenColumns="1">
      <pane ySplit="8" topLeftCell="A9" activePane="bottomLeft" state="frozen"/>
      <selection pane="bottomLeft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1"/>
      <headerFooter alignWithMargins="0"/>
    </customSheetView>
    <customSheetView guid="{898DF6CC-64C7-4F2D-A13E-0A476B60DF75}" scale="80" showGridLines="0" hiddenColumns="1">
      <pane ySplit="8" topLeftCell="A9" activePane="bottomLeft" state="frozen"/>
      <selection pane="bottomLeft" activeCell="A9" sqref="A9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2"/>
      <headerFooter alignWithMargins="0"/>
    </customSheetView>
    <customSheetView guid="{1D8BE6F4-405A-4FC6-B1E3-D9618F9FD7A8}" scale="80" showGridLines="0" hiddenColumns="1">
      <pane ySplit="8" topLeftCell="A100" activePane="bottomLeft" state="frozen"/>
      <selection pane="bottomLeft" activeCell="D102" sqref="D10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3"/>
      <headerFooter alignWithMargins="0"/>
    </customSheetView>
    <customSheetView guid="{11FF3D1A-B611-4935-A0EC-72FFAD7F9EAF}" scale="80" showGridLines="0" hiddenColumns="1">
      <pane ySplit="8" topLeftCell="A9" activePane="bottomLeft" state="frozen"/>
      <selection pane="bottomLeft" activeCell="Q2" sqref="Q2:R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4"/>
      <headerFooter alignWithMargins="0"/>
    </customSheetView>
  </customSheetViews>
  <mergeCells count="37">
    <mergeCell ref="C4:D4"/>
    <mergeCell ref="G60:U60"/>
    <mergeCell ref="Y2:Z2"/>
    <mergeCell ref="Y3:Z3"/>
    <mergeCell ref="V3:W3"/>
    <mergeCell ref="V2:W2"/>
    <mergeCell ref="G2:T2"/>
    <mergeCell ref="G3:T3"/>
    <mergeCell ref="C2:E3"/>
    <mergeCell ref="Y5:Z5"/>
    <mergeCell ref="C5:D5"/>
    <mergeCell ref="G54:U54"/>
    <mergeCell ref="G5:T5"/>
    <mergeCell ref="E6:T6"/>
    <mergeCell ref="V5:W5"/>
    <mergeCell ref="V8:Z8"/>
    <mergeCell ref="V6:W6"/>
    <mergeCell ref="C6:D6"/>
    <mergeCell ref="Y6:Z6"/>
    <mergeCell ref="G52:U52"/>
    <mergeCell ref="G53:U53"/>
    <mergeCell ref="V52:Z52"/>
    <mergeCell ref="V53:Z53"/>
    <mergeCell ref="E60:F60"/>
    <mergeCell ref="E58:F58"/>
    <mergeCell ref="E57:F57"/>
    <mergeCell ref="E59:F59"/>
    <mergeCell ref="V54:Z54"/>
    <mergeCell ref="V60:Z60"/>
    <mergeCell ref="G57:U57"/>
    <mergeCell ref="G58:U58"/>
    <mergeCell ref="G59:U59"/>
    <mergeCell ref="G55:U55"/>
    <mergeCell ref="V58:Z58"/>
    <mergeCell ref="V59:Z59"/>
    <mergeCell ref="V55:Z55"/>
    <mergeCell ref="V57:Z57"/>
  </mergeCells>
  <phoneticPr fontId="4"/>
  <dataValidations xWindow="736" yWindow="489" count="6">
    <dataValidation imeMode="off" allowBlank="1" showInputMessage="1" showErrorMessage="1" sqref="Y5:Y6 G9:G50 I9:S50"/>
    <dataValidation type="whole" imeMode="off" allowBlank="1" showErrorMessage="1" errorTitle="Not NUll設定" error="Not Null の場合は、「1」を入力" promptTitle="Not NUll設定" prompt="Not Null の場合は、「1」を入力" sqref="T9:T50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E9:E50">
      <formula1>63</formula1>
    </dataValidation>
    <dataValidation type="list" allowBlank="1" showInputMessage="1" showErrorMessage="1" sqref="F9:F50">
      <formula1>INDIRECT(DBMS)</formula1>
    </dataValidation>
    <dataValidation type="list" allowBlank="1" showInputMessage="1" showErrorMessage="1" sqref="C2:E3">
      <formula1>TableTypeList</formula1>
    </dataValidation>
    <dataValidation type="list" allowBlank="1" showInputMessage="1" showErrorMessage="1" sqref="E53:E55">
      <formula1>IndexTypeList</formula1>
    </dataValidation>
  </dataValidations>
  <printOptions horizontalCentered="1"/>
  <pageMargins left="0.24" right="0.19685039370078741" top="0.4" bottom="0.4" header="0.2" footer="0"/>
  <pageSetup paperSize="9" scale="61" orientation="landscape" r:id="rId5"/>
  <headerFooter alignWithMargins="0"/>
  <rowBreaks count="1" manualBreakCount="1">
    <brk id="50" max="16383" man="1"/>
  </rowBreaks>
  <legacy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>
    <pageSetUpPr fitToPage="1"/>
  </sheetPr>
  <dimension ref="A1:AV40"/>
  <sheetViews>
    <sheetView showGridLines="0" zoomScaleNormal="100" workbookViewId="0">
      <selection activeCell="N28" sqref="N28"/>
    </sheetView>
  </sheetViews>
  <sheetFormatPr defaultColWidth="3" defaultRowHeight="13.5" customHeight="1"/>
  <cols>
    <col min="1" max="2" width="3" style="13" customWidth="1"/>
    <col min="3" max="3" width="3" style="16" customWidth="1"/>
    <col min="4" max="4" width="3" style="14" customWidth="1"/>
    <col min="5" max="45" width="3" style="13" customWidth="1"/>
    <col min="46" max="47" width="3.7109375" style="13" customWidth="1"/>
    <col min="48" max="16384" width="3" style="13"/>
  </cols>
  <sheetData>
    <row r="1" spans="1:48" ht="13.5" customHeight="1">
      <c r="A1" s="33"/>
      <c r="B1" s="299" t="e">
        <f>顧客名 &amp;" 御中"</f>
        <v>#NAME?</v>
      </c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  <c r="Y1" s="299"/>
      <c r="Z1" s="299"/>
      <c r="AA1" s="299"/>
      <c r="AB1" s="299"/>
      <c r="AC1" s="299"/>
      <c r="AD1" s="299"/>
      <c r="AE1" s="299"/>
      <c r="AF1" s="299"/>
      <c r="AG1" s="299"/>
      <c r="AH1" s="299"/>
      <c r="AI1" s="299"/>
      <c r="AJ1" s="299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12"/>
    </row>
    <row r="2" spans="1:48" ht="13.5" customHeight="1">
      <c r="A2" s="33"/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12"/>
    </row>
    <row r="3" spans="1:48" ht="13.5" customHeight="1">
      <c r="A3" s="33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  <c r="AF3" s="299"/>
      <c r="AG3" s="299"/>
      <c r="AH3" s="299"/>
      <c r="AI3" s="299"/>
      <c r="AJ3" s="299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12"/>
    </row>
    <row r="4" spans="1:48" ht="13.5" customHeight="1">
      <c r="A4" s="301" t="e">
        <f>表紙タイトル名称</f>
        <v>#NAME?</v>
      </c>
      <c r="B4" s="301"/>
      <c r="C4" s="301"/>
      <c r="D4" s="301"/>
      <c r="E4" s="301"/>
      <c r="F4" s="301"/>
      <c r="G4" s="301"/>
      <c r="H4" s="301"/>
      <c r="I4" s="301"/>
      <c r="J4" s="301"/>
      <c r="K4" s="301"/>
      <c r="L4" s="301"/>
      <c r="M4" s="301"/>
      <c r="N4" s="301"/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  <c r="AF4" s="301"/>
      <c r="AG4" s="301"/>
      <c r="AH4" s="301"/>
      <c r="AI4" s="301"/>
      <c r="AJ4" s="301"/>
      <c r="AK4" s="301"/>
      <c r="AL4" s="301"/>
      <c r="AM4" s="301"/>
      <c r="AN4" s="301"/>
      <c r="AO4" s="301"/>
      <c r="AP4" s="301"/>
      <c r="AQ4" s="301"/>
      <c r="AR4" s="301"/>
      <c r="AS4" s="301"/>
      <c r="AT4" s="301"/>
      <c r="AU4" s="301"/>
      <c r="AV4" s="12"/>
    </row>
    <row r="5" spans="1:48" ht="13.5" customHeight="1">
      <c r="A5" s="301"/>
      <c r="B5" s="301"/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  <c r="Q5" s="301"/>
      <c r="R5" s="301"/>
      <c r="S5" s="301"/>
      <c r="T5" s="301"/>
      <c r="U5" s="301"/>
      <c r="V5" s="301"/>
      <c r="W5" s="301"/>
      <c r="X5" s="301"/>
      <c r="Y5" s="301"/>
      <c r="Z5" s="301"/>
      <c r="AA5" s="301"/>
      <c r="AB5" s="301"/>
      <c r="AC5" s="301"/>
      <c r="AD5" s="301"/>
      <c r="AE5" s="301"/>
      <c r="AF5" s="301"/>
      <c r="AG5" s="301"/>
      <c r="AH5" s="301"/>
      <c r="AI5" s="301"/>
      <c r="AJ5" s="301"/>
      <c r="AK5" s="301"/>
      <c r="AL5" s="301"/>
      <c r="AM5" s="301"/>
      <c r="AN5" s="301"/>
      <c r="AO5" s="301"/>
      <c r="AP5" s="301"/>
      <c r="AQ5" s="301"/>
      <c r="AR5" s="301"/>
      <c r="AS5" s="301"/>
      <c r="AT5" s="301"/>
      <c r="AU5" s="301"/>
      <c r="AV5" s="12"/>
    </row>
    <row r="6" spans="1:48" ht="13.5" customHeight="1">
      <c r="AV6" s="20"/>
    </row>
    <row r="7" spans="1:48" ht="13.5" customHeight="1">
      <c r="AV7" s="20"/>
    </row>
    <row r="8" spans="1:48" ht="13.5" customHeight="1"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AV8" s="20"/>
    </row>
    <row r="9" spans="1:48" ht="13.5" customHeight="1"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AV9" s="20"/>
    </row>
    <row r="10" spans="1:48" ht="13.5" customHeight="1">
      <c r="AV10" s="20"/>
    </row>
    <row r="11" spans="1:48" ht="13.5" customHeight="1">
      <c r="H11" s="17"/>
      <c r="AV11" s="20"/>
    </row>
    <row r="12" spans="1:48" ht="13.5" customHeight="1">
      <c r="H12" s="17"/>
      <c r="AV12" s="20"/>
    </row>
    <row r="13" spans="1:48" ht="13.5" customHeight="1">
      <c r="H13" s="17"/>
      <c r="AV13" s="20"/>
    </row>
    <row r="14" spans="1:48" ht="13.5" customHeight="1">
      <c r="H14" s="17"/>
      <c r="AV14" s="20"/>
    </row>
    <row r="15" spans="1:48" ht="13.5" customHeight="1">
      <c r="H15" s="17"/>
      <c r="AV15" s="20"/>
    </row>
    <row r="16" spans="1:48" ht="13.5" customHeight="1">
      <c r="H16" s="17"/>
      <c r="AV16" s="20"/>
    </row>
    <row r="17" spans="8:48" ht="13.5" customHeight="1">
      <c r="H17" s="17"/>
      <c r="AV17" s="20"/>
    </row>
    <row r="18" spans="8:48" ht="13.5" customHeight="1">
      <c r="H18" s="17"/>
      <c r="AV18" s="20"/>
    </row>
    <row r="19" spans="8:48" ht="13.5" customHeight="1">
      <c r="H19" s="17"/>
      <c r="AV19" s="20"/>
    </row>
    <row r="20" spans="8:48" ht="13.5" customHeight="1">
      <c r="H20" s="17"/>
      <c r="AV20" s="20"/>
    </row>
    <row r="21" spans="8:48" ht="13.5" customHeight="1">
      <c r="H21" s="17"/>
      <c r="AV21" s="20"/>
    </row>
    <row r="22" spans="8:48" ht="13.5" customHeight="1">
      <c r="H22" s="17"/>
      <c r="AV22" s="20"/>
    </row>
    <row r="23" spans="8:48" ht="13.5" customHeight="1">
      <c r="H23" s="17"/>
      <c r="AV23" s="20"/>
    </row>
    <row r="24" spans="8:48" ht="13.5" customHeight="1">
      <c r="H24" s="17"/>
      <c r="AV24" s="20"/>
    </row>
    <row r="25" spans="8:48" ht="13.5" customHeight="1">
      <c r="H25" s="17"/>
      <c r="AV25" s="20"/>
    </row>
    <row r="26" spans="8:48" ht="13.5" customHeight="1">
      <c r="H26" s="17"/>
      <c r="AV26" s="20"/>
    </row>
    <row r="27" spans="8:48" ht="13.5" customHeight="1">
      <c r="H27" s="17"/>
      <c r="AV27" s="20"/>
    </row>
    <row r="28" spans="8:48" ht="13.5" customHeight="1">
      <c r="H28" s="17"/>
      <c r="AV28" s="20"/>
    </row>
    <row r="29" spans="8:48" ht="13.5" customHeight="1">
      <c r="H29" s="17"/>
      <c r="AV29" s="20"/>
    </row>
    <row r="30" spans="8:48" ht="13.5" customHeight="1">
      <c r="H30" s="17"/>
      <c r="AV30" s="20"/>
    </row>
    <row r="31" spans="8:48" ht="13.5" customHeight="1">
      <c r="H31" s="17"/>
      <c r="AV31" s="20"/>
    </row>
    <row r="32" spans="8:48" ht="13.5" customHeight="1">
      <c r="H32" s="17"/>
      <c r="AV32" s="20"/>
    </row>
    <row r="33" spans="1:48" ht="13.5" customHeight="1">
      <c r="AV33" s="20"/>
    </row>
    <row r="34" spans="1:48" ht="13.5" customHeight="1">
      <c r="AV34" s="20"/>
    </row>
    <row r="35" spans="1:48" ht="13.5" customHeight="1">
      <c r="B35" s="63" t="s">
        <v>68</v>
      </c>
      <c r="C35" s="64"/>
      <c r="D35" s="65"/>
      <c r="E35" s="63" t="s">
        <v>68</v>
      </c>
      <c r="F35" s="64"/>
      <c r="G35" s="65"/>
      <c r="H35" s="63" t="s">
        <v>127</v>
      </c>
      <c r="I35" s="64"/>
      <c r="J35" s="65"/>
      <c r="K35" s="63" t="s">
        <v>128</v>
      </c>
      <c r="L35" s="64"/>
      <c r="M35" s="65"/>
      <c r="N35" s="52"/>
      <c r="O35" s="52"/>
      <c r="P35" s="52"/>
      <c r="AV35" s="20"/>
    </row>
    <row r="36" spans="1:48" ht="13.5" customHeight="1">
      <c r="B36" s="54"/>
      <c r="C36" s="55"/>
      <c r="D36" s="55"/>
      <c r="E36" s="54"/>
      <c r="F36" s="55"/>
      <c r="G36" s="55"/>
      <c r="H36" s="54"/>
      <c r="I36" s="55"/>
      <c r="J36" s="55"/>
      <c r="K36" s="54"/>
      <c r="L36" s="55"/>
      <c r="M36" s="56"/>
      <c r="N36" s="52"/>
      <c r="O36" s="52"/>
      <c r="P36" s="52"/>
      <c r="AV36" s="20"/>
    </row>
    <row r="37" spans="1:48" ht="13.5" customHeight="1">
      <c r="B37" s="57"/>
      <c r="C37" s="58"/>
      <c r="D37" s="58"/>
      <c r="E37" s="57"/>
      <c r="F37" s="58"/>
      <c r="G37" s="58"/>
      <c r="H37" s="57"/>
      <c r="I37" s="58"/>
      <c r="J37" s="58"/>
      <c r="K37" s="57"/>
      <c r="L37" s="58"/>
      <c r="M37" s="59"/>
      <c r="N37" s="52"/>
      <c r="O37" s="52"/>
      <c r="P37" s="52"/>
      <c r="AV37" s="20"/>
    </row>
    <row r="38" spans="1:48" ht="13.5" customHeight="1">
      <c r="B38" s="60"/>
      <c r="C38" s="61"/>
      <c r="D38" s="61"/>
      <c r="E38" s="60"/>
      <c r="F38" s="61"/>
      <c r="G38" s="61"/>
      <c r="H38" s="60"/>
      <c r="I38" s="61"/>
      <c r="J38" s="61"/>
      <c r="K38" s="60"/>
      <c r="L38" s="61"/>
      <c r="M38" s="62"/>
      <c r="N38" s="52"/>
      <c r="O38" s="52"/>
      <c r="P38" s="52"/>
      <c r="AL38" s="302">
        <f>MAX(変更履歴!C:C)</f>
        <v>44287</v>
      </c>
      <c r="AM38" s="302"/>
      <c r="AN38" s="302"/>
      <c r="AO38" s="302"/>
      <c r="AP38" s="302"/>
      <c r="AQ38" s="302"/>
      <c r="AR38" s="300">
        <f>MAX(変更履歴!B:B)</f>
        <v>1</v>
      </c>
      <c r="AS38" s="300"/>
      <c r="AT38" s="300"/>
      <c r="AV38" s="20"/>
    </row>
    <row r="39" spans="1:48" ht="13.5" customHeight="1">
      <c r="AV39" s="20"/>
    </row>
    <row r="40" spans="1:48" ht="13.5" customHeight="1">
      <c r="A40" s="12"/>
      <c r="B40" s="12"/>
      <c r="C40" s="18"/>
      <c r="D40" s="19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</row>
  </sheetData>
  <customSheetViews>
    <customSheetView guid="{809E84AF-EE5E-4456-99E6-0390B35F6AD9}" scale="85" showPageBreaks="1" showGridLines="0" printArea="1" view="pageBreakPreview">
      <selection activeCell="AK11" sqref="AK11"/>
      <pageMargins left="0.39370078740157483" right="0.39370078740157483" top="0.39370078740157483" bottom="0.39370078740157483" header="0.51181102362204722" footer="0.11811023622047245"/>
      <pageSetup paperSize="9" scale="96" orientation="landscape" useFirstPageNumber="1" horizontalDpi="300" verticalDpi="300" r:id="rId1"/>
      <headerFooter alignWithMargins="0"/>
    </customSheetView>
    <customSheetView guid="{898DF6CC-64C7-4F2D-A13E-0A476B60DF75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2"/>
      <headerFooter alignWithMargins="0"/>
    </customSheetView>
    <customSheetView guid="{1D8BE6F4-405A-4FC6-B1E3-D9618F9FD7A8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3"/>
      <headerFooter alignWithMargins="0"/>
    </customSheetView>
    <customSheetView guid="{11FF3D1A-B611-4935-A0EC-72FFAD7F9EAF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4"/>
      <headerFooter alignWithMargins="0"/>
    </customSheetView>
  </customSheetViews>
  <mergeCells count="4">
    <mergeCell ref="B1:AJ3"/>
    <mergeCell ref="AR38:AT38"/>
    <mergeCell ref="A4:AU5"/>
    <mergeCell ref="AL38:AQ38"/>
  </mergeCells>
  <phoneticPr fontId="4"/>
  <pageMargins left="0.23" right="0.39370078740157483" top="0.59055118110236227" bottom="0.4" header="0.31496062992125984" footer="0.27559055118110237"/>
  <pageSetup paperSize="9" scale="97" fitToHeight="0" orientation="landscape" useFirstPageNumber="1" horizontalDpi="300" verticalDpi="300" r:id="rId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>
    <pageSetUpPr fitToPage="1"/>
  </sheetPr>
  <dimension ref="A1:I105"/>
  <sheetViews>
    <sheetView showGridLines="0" zoomScaleNormal="100" zoomScaleSheetLayoutView="100" workbookViewId="0">
      <pane ySplit="5" topLeftCell="A6" activePane="bottomLeft" state="frozen"/>
      <selection activeCell="A9" sqref="A9"/>
      <selection pane="bottomLeft" activeCell="E12" sqref="E12"/>
    </sheetView>
  </sheetViews>
  <sheetFormatPr defaultRowHeight="20.100000000000001" customHeight="1"/>
  <cols>
    <col min="1" max="1" width="3.42578125" style="28" customWidth="1"/>
    <col min="2" max="2" width="5.7109375" style="28" customWidth="1"/>
    <col min="3" max="3" width="33.28515625" style="28" customWidth="1"/>
    <col min="4" max="4" width="39.140625" style="28" customWidth="1"/>
    <col min="5" max="5" width="40.7109375" style="28" customWidth="1"/>
    <col min="6" max="6" width="13.42578125" style="28" customWidth="1"/>
    <col min="7" max="7" width="19.28515625" style="28" customWidth="1"/>
    <col min="8" max="9" width="13.42578125" style="28" customWidth="1"/>
    <col min="10" max="16384" width="9.140625" style="28"/>
  </cols>
  <sheetData>
    <row r="1" spans="1:9" ht="12" customHeight="1" thickBot="1">
      <c r="A1" s="33"/>
    </row>
    <row r="2" spans="1:9" ht="15" customHeight="1">
      <c r="B2" s="313" t="s">
        <v>210</v>
      </c>
      <c r="C2" s="314"/>
      <c r="D2" s="188" t="s">
        <v>2</v>
      </c>
      <c r="E2" s="186" t="str">
        <f>ProjectName</f>
        <v>○△□プロジェクト</v>
      </c>
      <c r="F2" s="112" t="s">
        <v>3</v>
      </c>
      <c r="G2" s="185" t="str">
        <f>CreateBy</f>
        <v>○○　✕✕</v>
      </c>
      <c r="H2" s="112" t="s">
        <v>4</v>
      </c>
      <c r="I2" s="196">
        <f>CreateAt</f>
        <v>44287</v>
      </c>
    </row>
    <row r="3" spans="1:9" ht="15" customHeight="1" thickBot="1">
      <c r="B3" s="315"/>
      <c r="C3" s="316"/>
      <c r="D3" s="191" t="s">
        <v>5</v>
      </c>
      <c r="E3" s="187" t="str">
        <f>systemName</f>
        <v>○✕システム</v>
      </c>
      <c r="F3" s="113" t="s">
        <v>6</v>
      </c>
      <c r="G3" s="184"/>
      <c r="H3" s="113" t="s">
        <v>7</v>
      </c>
      <c r="I3" s="197"/>
    </row>
    <row r="4" spans="1:9" ht="5.25" customHeight="1" thickBot="1"/>
    <row r="5" spans="1:9" ht="20.100000000000001" customHeight="1" thickBot="1">
      <c r="B5" s="117" t="s">
        <v>300</v>
      </c>
      <c r="C5" s="118" t="s">
        <v>114</v>
      </c>
      <c r="D5" s="190" t="s">
        <v>226</v>
      </c>
      <c r="E5" s="189" t="s">
        <v>237</v>
      </c>
      <c r="F5" s="296" t="s">
        <v>119</v>
      </c>
      <c r="G5" s="297"/>
      <c r="H5" s="297"/>
      <c r="I5" s="298"/>
    </row>
    <row r="6" spans="1:9" s="32" customFormat="1" ht="20.100000000000001" customHeight="1">
      <c r="B6" s="49">
        <f t="shared" ref="B6:B14" si="0">ROW()-5</f>
        <v>1</v>
      </c>
      <c r="C6" s="203" t="s">
        <v>146</v>
      </c>
      <c r="D6" s="199"/>
      <c r="E6" s="198" t="s">
        <v>354</v>
      </c>
      <c r="F6" s="306"/>
      <c r="G6" s="307"/>
      <c r="H6" s="308"/>
      <c r="I6" s="309"/>
    </row>
    <row r="7" spans="1:9" s="32" customFormat="1" ht="20.100000000000001" customHeight="1">
      <c r="B7" s="49">
        <f t="shared" si="0"/>
        <v>2</v>
      </c>
      <c r="C7" s="203" t="s">
        <v>146</v>
      </c>
      <c r="D7" s="199"/>
      <c r="E7" s="198" t="s">
        <v>436</v>
      </c>
      <c r="F7" s="306"/>
      <c r="G7" s="307"/>
      <c r="H7" s="308"/>
      <c r="I7" s="309"/>
    </row>
    <row r="8" spans="1:9" s="32" customFormat="1" ht="20.100000000000001" customHeight="1">
      <c r="B8" s="49">
        <f t="shared" si="0"/>
        <v>3</v>
      </c>
      <c r="C8" s="203" t="s">
        <v>146</v>
      </c>
      <c r="D8" s="199"/>
      <c r="E8" s="198" t="s">
        <v>437</v>
      </c>
      <c r="F8" s="306"/>
      <c r="G8" s="307"/>
      <c r="H8" s="308"/>
      <c r="I8" s="309"/>
    </row>
    <row r="9" spans="1:9" s="32" customFormat="1" ht="20.100000000000001" customHeight="1">
      <c r="B9" s="49">
        <f t="shared" si="0"/>
        <v>4</v>
      </c>
      <c r="C9" s="203" t="s">
        <v>146</v>
      </c>
      <c r="D9" s="199"/>
      <c r="E9" s="198" t="s">
        <v>438</v>
      </c>
      <c r="F9" s="306"/>
      <c r="G9" s="307"/>
      <c r="H9" s="308"/>
      <c r="I9" s="309"/>
    </row>
    <row r="10" spans="1:9" s="32" customFormat="1" ht="20.100000000000001" customHeight="1">
      <c r="B10" s="49">
        <f t="shared" si="0"/>
        <v>5</v>
      </c>
      <c r="C10" s="204" t="s">
        <v>146</v>
      </c>
      <c r="D10" s="195"/>
      <c r="E10" s="198" t="s">
        <v>439</v>
      </c>
      <c r="F10" s="306"/>
      <c r="G10" s="307"/>
      <c r="H10" s="308"/>
      <c r="I10" s="309"/>
    </row>
    <row r="11" spans="1:9" s="32" customFormat="1" ht="20.100000000000001" customHeight="1">
      <c r="B11" s="49">
        <f t="shared" si="0"/>
        <v>6</v>
      </c>
      <c r="C11" s="203" t="s">
        <v>146</v>
      </c>
      <c r="D11" s="195"/>
      <c r="E11" s="198" t="s">
        <v>440</v>
      </c>
      <c r="F11" s="306"/>
      <c r="G11" s="307"/>
      <c r="H11" s="308"/>
      <c r="I11" s="309"/>
    </row>
    <row r="12" spans="1:9" s="32" customFormat="1" ht="20.100000000000001" customHeight="1">
      <c r="B12" s="49">
        <f t="shared" si="0"/>
        <v>7</v>
      </c>
      <c r="C12" s="203" t="s">
        <v>146</v>
      </c>
      <c r="D12" s="195"/>
      <c r="E12" s="198" t="s">
        <v>441</v>
      </c>
      <c r="F12" s="306"/>
      <c r="G12" s="307"/>
      <c r="H12" s="308"/>
      <c r="I12" s="309"/>
    </row>
    <row r="13" spans="1:9" s="32" customFormat="1" ht="20.100000000000001" customHeight="1">
      <c r="B13" s="49">
        <f t="shared" si="0"/>
        <v>8</v>
      </c>
      <c r="C13" s="203" t="s">
        <v>146</v>
      </c>
      <c r="D13" s="195"/>
      <c r="E13" s="198" t="s">
        <v>442</v>
      </c>
      <c r="F13" s="306"/>
      <c r="G13" s="307"/>
      <c r="H13" s="308"/>
      <c r="I13" s="309"/>
    </row>
    <row r="14" spans="1:9" s="32" customFormat="1" ht="20.100000000000001" customHeight="1">
      <c r="B14" s="49">
        <f t="shared" si="0"/>
        <v>9</v>
      </c>
      <c r="C14" s="203" t="s">
        <v>146</v>
      </c>
      <c r="D14" s="195"/>
      <c r="E14" s="198" t="s">
        <v>443</v>
      </c>
      <c r="F14" s="306"/>
      <c r="G14" s="307"/>
      <c r="H14" s="308"/>
      <c r="I14" s="309"/>
    </row>
    <row r="15" spans="1:9" s="32" customFormat="1" ht="20.100000000000001" customHeight="1">
      <c r="B15" s="49">
        <f t="shared" ref="B15" si="1">ROW()-5</f>
        <v>10</v>
      </c>
      <c r="C15" s="203"/>
      <c r="D15" s="195"/>
      <c r="E15" s="194"/>
      <c r="F15" s="306"/>
      <c r="G15" s="307"/>
      <c r="H15" s="308"/>
      <c r="I15" s="309"/>
    </row>
    <row r="16" spans="1:9" s="32" customFormat="1" ht="20.100000000000001" customHeight="1">
      <c r="B16" s="49">
        <f t="shared" ref="B16:B73" si="2">ROW()-5</f>
        <v>11</v>
      </c>
      <c r="C16" s="203"/>
      <c r="D16" s="195"/>
      <c r="E16" s="194"/>
      <c r="F16" s="303"/>
      <c r="G16" s="304"/>
      <c r="H16" s="304"/>
      <c r="I16" s="305"/>
    </row>
    <row r="17" spans="2:9" s="32" customFormat="1" ht="20.100000000000001" customHeight="1">
      <c r="B17" s="49">
        <f t="shared" si="2"/>
        <v>12</v>
      </c>
      <c r="C17" s="203"/>
      <c r="D17" s="195"/>
      <c r="E17" s="194"/>
      <c r="F17" s="303"/>
      <c r="G17" s="304"/>
      <c r="H17" s="304"/>
      <c r="I17" s="305"/>
    </row>
    <row r="18" spans="2:9" s="32" customFormat="1" ht="20.100000000000001" customHeight="1">
      <c r="B18" s="49">
        <f t="shared" si="2"/>
        <v>13</v>
      </c>
      <c r="C18" s="203"/>
      <c r="D18" s="195"/>
      <c r="E18" s="194"/>
      <c r="F18" s="303"/>
      <c r="G18" s="304"/>
      <c r="H18" s="304"/>
      <c r="I18" s="305"/>
    </row>
    <row r="19" spans="2:9" s="32" customFormat="1" ht="20.100000000000001" customHeight="1">
      <c r="B19" s="49">
        <f t="shared" si="2"/>
        <v>14</v>
      </c>
      <c r="C19" s="203"/>
      <c r="D19" s="195"/>
      <c r="E19" s="194"/>
      <c r="F19" s="303"/>
      <c r="G19" s="304"/>
      <c r="H19" s="304"/>
      <c r="I19" s="305"/>
    </row>
    <row r="20" spans="2:9" s="32" customFormat="1" ht="20.100000000000001" customHeight="1">
      <c r="B20" s="49">
        <f t="shared" si="2"/>
        <v>15</v>
      </c>
      <c r="C20" s="203"/>
      <c r="D20" s="195"/>
      <c r="E20" s="194"/>
      <c r="F20" s="303"/>
      <c r="G20" s="304"/>
      <c r="H20" s="304"/>
      <c r="I20" s="305"/>
    </row>
    <row r="21" spans="2:9" s="32" customFormat="1" ht="20.100000000000001" customHeight="1">
      <c r="B21" s="49">
        <f t="shared" si="2"/>
        <v>16</v>
      </c>
      <c r="C21" s="203"/>
      <c r="D21" s="195"/>
      <c r="E21" s="194"/>
      <c r="F21" s="303"/>
      <c r="G21" s="304"/>
      <c r="H21" s="304"/>
      <c r="I21" s="305"/>
    </row>
    <row r="22" spans="2:9" s="32" customFormat="1" ht="20.100000000000001" customHeight="1">
      <c r="B22" s="49">
        <f t="shared" si="2"/>
        <v>17</v>
      </c>
      <c r="C22" s="203"/>
      <c r="D22" s="195"/>
      <c r="E22" s="194"/>
      <c r="F22" s="303"/>
      <c r="G22" s="304"/>
      <c r="H22" s="304"/>
      <c r="I22" s="305"/>
    </row>
    <row r="23" spans="2:9" s="32" customFormat="1" ht="20.100000000000001" customHeight="1">
      <c r="B23" s="49">
        <f t="shared" si="2"/>
        <v>18</v>
      </c>
      <c r="C23" s="203"/>
      <c r="D23" s="195"/>
      <c r="E23" s="194"/>
      <c r="F23" s="303"/>
      <c r="G23" s="304"/>
      <c r="H23" s="304"/>
      <c r="I23" s="305"/>
    </row>
    <row r="24" spans="2:9" s="32" customFormat="1" ht="20.100000000000001" customHeight="1">
      <c r="B24" s="49">
        <f t="shared" si="2"/>
        <v>19</v>
      </c>
      <c r="C24" s="203"/>
      <c r="D24" s="195"/>
      <c r="E24" s="194"/>
      <c r="F24" s="303"/>
      <c r="G24" s="304"/>
      <c r="H24" s="304"/>
      <c r="I24" s="305"/>
    </row>
    <row r="25" spans="2:9" s="32" customFormat="1" ht="20.100000000000001" customHeight="1">
      <c r="B25" s="49">
        <f t="shared" si="2"/>
        <v>20</v>
      </c>
      <c r="C25" s="203"/>
      <c r="D25" s="195"/>
      <c r="E25" s="194"/>
      <c r="F25" s="303"/>
      <c r="G25" s="304"/>
      <c r="H25" s="304"/>
      <c r="I25" s="305"/>
    </row>
    <row r="26" spans="2:9" s="32" customFormat="1" ht="20.100000000000001" customHeight="1">
      <c r="B26" s="49">
        <f t="shared" si="2"/>
        <v>21</v>
      </c>
      <c r="C26" s="203"/>
      <c r="D26" s="195"/>
      <c r="E26" s="194"/>
      <c r="F26" s="303"/>
      <c r="G26" s="304"/>
      <c r="H26" s="304"/>
      <c r="I26" s="305"/>
    </row>
    <row r="27" spans="2:9" s="32" customFormat="1" ht="20.100000000000001" customHeight="1">
      <c r="B27" s="49">
        <f t="shared" si="2"/>
        <v>22</v>
      </c>
      <c r="C27" s="203"/>
      <c r="D27" s="195"/>
      <c r="E27" s="194"/>
      <c r="F27" s="303"/>
      <c r="G27" s="304"/>
      <c r="H27" s="304"/>
      <c r="I27" s="305"/>
    </row>
    <row r="28" spans="2:9" s="32" customFormat="1" ht="20.100000000000001" customHeight="1">
      <c r="B28" s="49">
        <f t="shared" si="2"/>
        <v>23</v>
      </c>
      <c r="C28" s="203"/>
      <c r="D28" s="195"/>
      <c r="E28" s="194"/>
      <c r="F28" s="303"/>
      <c r="G28" s="304"/>
      <c r="H28" s="304"/>
      <c r="I28" s="305"/>
    </row>
    <row r="29" spans="2:9" s="32" customFormat="1" ht="20.100000000000001" customHeight="1">
      <c r="B29" s="49">
        <f t="shared" si="2"/>
        <v>24</v>
      </c>
      <c r="C29" s="203"/>
      <c r="D29" s="195"/>
      <c r="E29" s="194"/>
      <c r="F29" s="303"/>
      <c r="G29" s="304"/>
      <c r="H29" s="304"/>
      <c r="I29" s="305"/>
    </row>
    <row r="30" spans="2:9" s="32" customFormat="1" ht="20.100000000000001" customHeight="1">
      <c r="B30" s="49">
        <f t="shared" si="2"/>
        <v>25</v>
      </c>
      <c r="C30" s="203"/>
      <c r="D30" s="195"/>
      <c r="E30" s="194"/>
      <c r="F30" s="303"/>
      <c r="G30" s="304"/>
      <c r="H30" s="304"/>
      <c r="I30" s="305"/>
    </row>
    <row r="31" spans="2:9" s="32" customFormat="1" ht="20.100000000000001" customHeight="1">
      <c r="B31" s="49">
        <f t="shared" si="2"/>
        <v>26</v>
      </c>
      <c r="C31" s="203"/>
      <c r="D31" s="195"/>
      <c r="E31" s="194"/>
      <c r="F31" s="303"/>
      <c r="G31" s="304"/>
      <c r="H31" s="304"/>
      <c r="I31" s="305"/>
    </row>
    <row r="32" spans="2:9" s="32" customFormat="1" ht="20.100000000000001" customHeight="1">
      <c r="B32" s="49">
        <f t="shared" si="2"/>
        <v>27</v>
      </c>
      <c r="C32" s="203"/>
      <c r="D32" s="195"/>
      <c r="E32" s="194"/>
      <c r="F32" s="303"/>
      <c r="G32" s="304"/>
      <c r="H32" s="304"/>
      <c r="I32" s="305"/>
    </row>
    <row r="33" spans="2:9" s="32" customFormat="1" ht="20.100000000000001" customHeight="1">
      <c r="B33" s="49">
        <f t="shared" si="2"/>
        <v>28</v>
      </c>
      <c r="C33" s="203"/>
      <c r="D33" s="195"/>
      <c r="E33" s="194"/>
      <c r="F33" s="303"/>
      <c r="G33" s="304"/>
      <c r="H33" s="304"/>
      <c r="I33" s="305"/>
    </row>
    <row r="34" spans="2:9" s="32" customFormat="1" ht="20.100000000000001" customHeight="1">
      <c r="B34" s="49">
        <f t="shared" si="2"/>
        <v>29</v>
      </c>
      <c r="C34" s="203"/>
      <c r="D34" s="195"/>
      <c r="E34" s="194"/>
      <c r="F34" s="303"/>
      <c r="G34" s="304"/>
      <c r="H34" s="304"/>
      <c r="I34" s="305"/>
    </row>
    <row r="35" spans="2:9" s="32" customFormat="1" ht="20.100000000000001" customHeight="1">
      <c r="B35" s="49">
        <f t="shared" si="2"/>
        <v>30</v>
      </c>
      <c r="C35" s="203"/>
      <c r="D35" s="195"/>
      <c r="E35" s="194"/>
      <c r="F35" s="303"/>
      <c r="G35" s="304"/>
      <c r="H35" s="304"/>
      <c r="I35" s="305"/>
    </row>
    <row r="36" spans="2:9" s="32" customFormat="1" ht="20.100000000000001" customHeight="1">
      <c r="B36" s="49">
        <f t="shared" si="2"/>
        <v>31</v>
      </c>
      <c r="C36" s="203"/>
      <c r="D36" s="195"/>
      <c r="E36" s="194"/>
      <c r="F36" s="303"/>
      <c r="G36" s="304"/>
      <c r="H36" s="304"/>
      <c r="I36" s="305"/>
    </row>
    <row r="37" spans="2:9" s="32" customFormat="1" ht="20.100000000000001" customHeight="1">
      <c r="B37" s="49">
        <f t="shared" si="2"/>
        <v>32</v>
      </c>
      <c r="C37" s="203"/>
      <c r="D37" s="195"/>
      <c r="E37" s="194"/>
      <c r="F37" s="303"/>
      <c r="G37" s="304"/>
      <c r="H37" s="304"/>
      <c r="I37" s="305"/>
    </row>
    <row r="38" spans="2:9" s="32" customFormat="1" ht="20.100000000000001" customHeight="1">
      <c r="B38" s="49">
        <f t="shared" si="2"/>
        <v>33</v>
      </c>
      <c r="C38" s="203"/>
      <c r="D38" s="195"/>
      <c r="E38" s="194"/>
      <c r="F38" s="303"/>
      <c r="G38" s="304"/>
      <c r="H38" s="304"/>
      <c r="I38" s="305"/>
    </row>
    <row r="39" spans="2:9" s="32" customFormat="1" ht="20.100000000000001" customHeight="1">
      <c r="B39" s="49">
        <f t="shared" si="2"/>
        <v>34</v>
      </c>
      <c r="C39" s="203"/>
      <c r="D39" s="195"/>
      <c r="E39" s="194"/>
      <c r="F39" s="303"/>
      <c r="G39" s="304"/>
      <c r="H39" s="304"/>
      <c r="I39" s="305"/>
    </row>
    <row r="40" spans="2:9" s="32" customFormat="1" ht="20.100000000000001" customHeight="1">
      <c r="B40" s="49">
        <f t="shared" si="2"/>
        <v>35</v>
      </c>
      <c r="C40" s="203"/>
      <c r="D40" s="200"/>
      <c r="E40" s="194"/>
      <c r="F40" s="303"/>
      <c r="G40" s="304"/>
      <c r="H40" s="304"/>
      <c r="I40" s="305"/>
    </row>
    <row r="41" spans="2:9" s="32" customFormat="1" ht="20.100000000000001" customHeight="1">
      <c r="B41" s="49">
        <f t="shared" si="2"/>
        <v>36</v>
      </c>
      <c r="C41" s="203"/>
      <c r="D41" s="200"/>
      <c r="E41" s="194"/>
      <c r="F41" s="303"/>
      <c r="G41" s="304"/>
      <c r="H41" s="304"/>
      <c r="I41" s="305"/>
    </row>
    <row r="42" spans="2:9" s="32" customFormat="1" ht="20.100000000000001" customHeight="1">
      <c r="B42" s="49">
        <f t="shared" si="2"/>
        <v>37</v>
      </c>
      <c r="C42" s="203"/>
      <c r="D42" s="200"/>
      <c r="E42" s="194"/>
      <c r="F42" s="303"/>
      <c r="G42" s="304"/>
      <c r="H42" s="304"/>
      <c r="I42" s="305"/>
    </row>
    <row r="43" spans="2:9" s="32" customFormat="1" ht="20.100000000000001" customHeight="1">
      <c r="B43" s="49">
        <f t="shared" si="2"/>
        <v>38</v>
      </c>
      <c r="C43" s="203"/>
      <c r="D43" s="200"/>
      <c r="E43" s="194"/>
      <c r="F43" s="303"/>
      <c r="G43" s="304"/>
      <c r="H43" s="304"/>
      <c r="I43" s="305"/>
    </row>
    <row r="44" spans="2:9" s="32" customFormat="1" ht="20.100000000000001" customHeight="1">
      <c r="B44" s="49">
        <f t="shared" si="2"/>
        <v>39</v>
      </c>
      <c r="C44" s="203"/>
      <c r="D44" s="200"/>
      <c r="E44" s="194"/>
      <c r="F44" s="303"/>
      <c r="G44" s="304"/>
      <c r="H44" s="304"/>
      <c r="I44" s="305"/>
    </row>
    <row r="45" spans="2:9" s="32" customFormat="1" ht="20.100000000000001" customHeight="1">
      <c r="B45" s="49">
        <f t="shared" si="2"/>
        <v>40</v>
      </c>
      <c r="C45" s="203"/>
      <c r="D45" s="200"/>
      <c r="E45" s="194"/>
      <c r="F45" s="303"/>
      <c r="G45" s="304"/>
      <c r="H45" s="304"/>
      <c r="I45" s="305"/>
    </row>
    <row r="46" spans="2:9" s="32" customFormat="1" ht="20.100000000000001" customHeight="1">
      <c r="B46" s="49">
        <f t="shared" si="2"/>
        <v>41</v>
      </c>
      <c r="C46" s="203"/>
      <c r="D46" s="200"/>
      <c r="E46" s="194"/>
      <c r="F46" s="303"/>
      <c r="G46" s="304"/>
      <c r="H46" s="304"/>
      <c r="I46" s="305"/>
    </row>
    <row r="47" spans="2:9" s="32" customFormat="1" ht="20.100000000000001" customHeight="1">
      <c r="B47" s="49">
        <f t="shared" si="2"/>
        <v>42</v>
      </c>
      <c r="C47" s="203"/>
      <c r="D47" s="200"/>
      <c r="E47" s="194"/>
      <c r="F47" s="303"/>
      <c r="G47" s="304"/>
      <c r="H47" s="304"/>
      <c r="I47" s="305"/>
    </row>
    <row r="48" spans="2:9" s="32" customFormat="1" ht="20.100000000000001" customHeight="1">
      <c r="B48" s="49">
        <f t="shared" si="2"/>
        <v>43</v>
      </c>
      <c r="C48" s="203"/>
      <c r="D48" s="200"/>
      <c r="E48" s="194"/>
      <c r="F48" s="303"/>
      <c r="G48" s="304"/>
      <c r="H48" s="304"/>
      <c r="I48" s="305"/>
    </row>
    <row r="49" spans="2:9" s="32" customFormat="1" ht="20.100000000000001" customHeight="1">
      <c r="B49" s="49">
        <f t="shared" si="2"/>
        <v>44</v>
      </c>
      <c r="C49" s="203"/>
      <c r="D49" s="200"/>
      <c r="E49" s="194"/>
      <c r="F49" s="303"/>
      <c r="G49" s="304"/>
      <c r="H49" s="304"/>
      <c r="I49" s="305"/>
    </row>
    <row r="50" spans="2:9" s="32" customFormat="1" ht="20.100000000000001" customHeight="1">
      <c r="B50" s="49">
        <f t="shared" si="2"/>
        <v>45</v>
      </c>
      <c r="C50" s="203"/>
      <c r="D50" s="200"/>
      <c r="E50" s="194"/>
      <c r="F50" s="303"/>
      <c r="G50" s="304"/>
      <c r="H50" s="304"/>
      <c r="I50" s="305"/>
    </row>
    <row r="51" spans="2:9" s="32" customFormat="1" ht="20.100000000000001" customHeight="1">
      <c r="B51" s="49">
        <f t="shared" si="2"/>
        <v>46</v>
      </c>
      <c r="C51" s="203"/>
      <c r="D51" s="200"/>
      <c r="E51" s="194"/>
      <c r="F51" s="303"/>
      <c r="G51" s="304"/>
      <c r="H51" s="304"/>
      <c r="I51" s="305"/>
    </row>
    <row r="52" spans="2:9" s="32" customFormat="1" ht="20.100000000000001" customHeight="1">
      <c r="B52" s="49">
        <f t="shared" si="2"/>
        <v>47</v>
      </c>
      <c r="C52" s="203"/>
      <c r="D52" s="200"/>
      <c r="E52" s="194"/>
      <c r="F52" s="303"/>
      <c r="G52" s="304"/>
      <c r="H52" s="304"/>
      <c r="I52" s="305"/>
    </row>
    <row r="53" spans="2:9" s="32" customFormat="1" ht="20.100000000000001" customHeight="1">
      <c r="B53" s="49">
        <f t="shared" si="2"/>
        <v>48</v>
      </c>
      <c r="C53" s="203"/>
      <c r="D53" s="200"/>
      <c r="E53" s="194"/>
      <c r="F53" s="303"/>
      <c r="G53" s="304"/>
      <c r="H53" s="304"/>
      <c r="I53" s="305"/>
    </row>
    <row r="54" spans="2:9" s="32" customFormat="1" ht="20.100000000000001" customHeight="1">
      <c r="B54" s="49">
        <f t="shared" si="2"/>
        <v>49</v>
      </c>
      <c r="C54" s="203"/>
      <c r="D54" s="200"/>
      <c r="E54" s="194"/>
      <c r="F54" s="303"/>
      <c r="G54" s="304"/>
      <c r="H54" s="304"/>
      <c r="I54" s="305"/>
    </row>
    <row r="55" spans="2:9" s="32" customFormat="1" ht="20.100000000000001" customHeight="1">
      <c r="B55" s="49">
        <f t="shared" si="2"/>
        <v>50</v>
      </c>
      <c r="C55" s="203"/>
      <c r="D55" s="200"/>
      <c r="E55" s="194"/>
      <c r="F55" s="303"/>
      <c r="G55" s="304"/>
      <c r="H55" s="304"/>
      <c r="I55" s="305"/>
    </row>
    <row r="56" spans="2:9" s="32" customFormat="1" ht="20.100000000000001" customHeight="1">
      <c r="B56" s="49">
        <f t="shared" si="2"/>
        <v>51</v>
      </c>
      <c r="C56" s="203"/>
      <c r="D56" s="200"/>
      <c r="E56" s="194"/>
      <c r="F56" s="303"/>
      <c r="G56" s="304"/>
      <c r="H56" s="304"/>
      <c r="I56" s="305"/>
    </row>
    <row r="57" spans="2:9" s="32" customFormat="1" ht="20.100000000000001" customHeight="1">
      <c r="B57" s="49">
        <f t="shared" si="2"/>
        <v>52</v>
      </c>
      <c r="C57" s="203"/>
      <c r="D57" s="200"/>
      <c r="E57" s="194"/>
      <c r="F57" s="303"/>
      <c r="G57" s="304"/>
      <c r="H57" s="304"/>
      <c r="I57" s="305"/>
    </row>
    <row r="58" spans="2:9" s="32" customFormat="1" ht="20.100000000000001" customHeight="1">
      <c r="B58" s="49">
        <f t="shared" si="2"/>
        <v>53</v>
      </c>
      <c r="C58" s="203"/>
      <c r="D58" s="200"/>
      <c r="E58" s="194"/>
      <c r="F58" s="303"/>
      <c r="G58" s="304"/>
      <c r="H58" s="304"/>
      <c r="I58" s="305"/>
    </row>
    <row r="59" spans="2:9" s="32" customFormat="1" ht="20.100000000000001" customHeight="1">
      <c r="B59" s="49">
        <f t="shared" si="2"/>
        <v>54</v>
      </c>
      <c r="C59" s="203"/>
      <c r="D59" s="200"/>
      <c r="E59" s="194"/>
      <c r="F59" s="303"/>
      <c r="G59" s="304"/>
      <c r="H59" s="304"/>
      <c r="I59" s="305"/>
    </row>
    <row r="60" spans="2:9" s="32" customFormat="1" ht="20.100000000000001" customHeight="1">
      <c r="B60" s="49">
        <f t="shared" si="2"/>
        <v>55</v>
      </c>
      <c r="C60" s="203"/>
      <c r="D60" s="200"/>
      <c r="E60" s="194"/>
      <c r="F60" s="303"/>
      <c r="G60" s="304"/>
      <c r="H60" s="304"/>
      <c r="I60" s="305"/>
    </row>
    <row r="61" spans="2:9" s="32" customFormat="1" ht="20.100000000000001" customHeight="1">
      <c r="B61" s="49">
        <f t="shared" si="2"/>
        <v>56</v>
      </c>
      <c r="C61" s="203"/>
      <c r="D61" s="200"/>
      <c r="E61" s="194"/>
      <c r="F61" s="303"/>
      <c r="G61" s="304"/>
      <c r="H61" s="304"/>
      <c r="I61" s="305"/>
    </row>
    <row r="62" spans="2:9" s="32" customFormat="1" ht="20.100000000000001" customHeight="1">
      <c r="B62" s="49">
        <f t="shared" si="2"/>
        <v>57</v>
      </c>
      <c r="C62" s="203"/>
      <c r="D62" s="200"/>
      <c r="E62" s="194"/>
      <c r="F62" s="303"/>
      <c r="G62" s="304"/>
      <c r="H62" s="304"/>
      <c r="I62" s="305"/>
    </row>
    <row r="63" spans="2:9" s="32" customFormat="1" ht="20.100000000000001" customHeight="1">
      <c r="B63" s="49">
        <f t="shared" si="2"/>
        <v>58</v>
      </c>
      <c r="C63" s="203"/>
      <c r="D63" s="200"/>
      <c r="E63" s="194"/>
      <c r="F63" s="303"/>
      <c r="G63" s="304"/>
      <c r="H63" s="304"/>
      <c r="I63" s="305"/>
    </row>
    <row r="64" spans="2:9" s="32" customFormat="1" ht="20.100000000000001" customHeight="1">
      <c r="B64" s="49">
        <f t="shared" si="2"/>
        <v>59</v>
      </c>
      <c r="C64" s="203"/>
      <c r="D64" s="200"/>
      <c r="E64" s="194"/>
      <c r="F64" s="303"/>
      <c r="G64" s="304"/>
      <c r="H64" s="304"/>
      <c r="I64" s="305"/>
    </row>
    <row r="65" spans="2:9" s="32" customFormat="1" ht="20.100000000000001" customHeight="1">
      <c r="B65" s="49">
        <f t="shared" si="2"/>
        <v>60</v>
      </c>
      <c r="C65" s="203"/>
      <c r="D65" s="200"/>
      <c r="E65" s="194"/>
      <c r="F65" s="303"/>
      <c r="G65" s="304"/>
      <c r="H65" s="304"/>
      <c r="I65" s="305"/>
    </row>
    <row r="66" spans="2:9" s="32" customFormat="1" ht="20.100000000000001" customHeight="1">
      <c r="B66" s="49">
        <f t="shared" si="2"/>
        <v>61</v>
      </c>
      <c r="C66" s="203"/>
      <c r="D66" s="200"/>
      <c r="E66" s="194"/>
      <c r="F66" s="303"/>
      <c r="G66" s="304"/>
      <c r="H66" s="304"/>
      <c r="I66" s="305"/>
    </row>
    <row r="67" spans="2:9" s="32" customFormat="1" ht="20.100000000000001" customHeight="1">
      <c r="B67" s="49">
        <f t="shared" si="2"/>
        <v>62</v>
      </c>
      <c r="C67" s="203"/>
      <c r="D67" s="200"/>
      <c r="E67" s="194"/>
      <c r="F67" s="303"/>
      <c r="G67" s="304"/>
      <c r="H67" s="304"/>
      <c r="I67" s="305"/>
    </row>
    <row r="68" spans="2:9" s="32" customFormat="1" ht="20.100000000000001" customHeight="1">
      <c r="B68" s="49">
        <f t="shared" si="2"/>
        <v>63</v>
      </c>
      <c r="C68" s="203"/>
      <c r="D68" s="200"/>
      <c r="E68" s="194"/>
      <c r="F68" s="303"/>
      <c r="G68" s="304"/>
      <c r="H68" s="304"/>
      <c r="I68" s="305"/>
    </row>
    <row r="69" spans="2:9" s="32" customFormat="1" ht="20.100000000000001" customHeight="1">
      <c r="B69" s="49">
        <f t="shared" si="2"/>
        <v>64</v>
      </c>
      <c r="C69" s="203"/>
      <c r="D69" s="200"/>
      <c r="E69" s="194"/>
      <c r="F69" s="303"/>
      <c r="G69" s="304"/>
      <c r="H69" s="304"/>
      <c r="I69" s="305"/>
    </row>
    <row r="70" spans="2:9" s="32" customFormat="1" ht="20.100000000000001" customHeight="1">
      <c r="B70" s="49">
        <f t="shared" si="2"/>
        <v>65</v>
      </c>
      <c r="C70" s="203"/>
      <c r="D70" s="200"/>
      <c r="E70" s="194"/>
      <c r="F70" s="303"/>
      <c r="G70" s="304"/>
      <c r="H70" s="304"/>
      <c r="I70" s="305"/>
    </row>
    <row r="71" spans="2:9" s="32" customFormat="1" ht="20.100000000000001" customHeight="1">
      <c r="B71" s="49">
        <f t="shared" si="2"/>
        <v>66</v>
      </c>
      <c r="C71" s="203"/>
      <c r="D71" s="200"/>
      <c r="E71" s="194"/>
      <c r="F71" s="303"/>
      <c r="G71" s="304"/>
      <c r="H71" s="304"/>
      <c r="I71" s="305"/>
    </row>
    <row r="72" spans="2:9" s="32" customFormat="1" ht="20.100000000000001" customHeight="1">
      <c r="B72" s="49">
        <f t="shared" si="2"/>
        <v>67</v>
      </c>
      <c r="C72" s="203"/>
      <c r="D72" s="200"/>
      <c r="E72" s="194"/>
      <c r="F72" s="303"/>
      <c r="G72" s="304"/>
      <c r="H72" s="304"/>
      <c r="I72" s="305"/>
    </row>
    <row r="73" spans="2:9" s="32" customFormat="1" ht="20.100000000000001" customHeight="1">
      <c r="B73" s="49">
        <f t="shared" si="2"/>
        <v>68</v>
      </c>
      <c r="C73" s="203"/>
      <c r="D73" s="200"/>
      <c r="E73" s="194"/>
      <c r="F73" s="303"/>
      <c r="G73" s="304"/>
      <c r="H73" s="304"/>
      <c r="I73" s="305"/>
    </row>
    <row r="74" spans="2:9" s="32" customFormat="1" ht="20.100000000000001" customHeight="1">
      <c r="B74" s="49">
        <f t="shared" ref="B74:B79" si="3">ROW()-5</f>
        <v>69</v>
      </c>
      <c r="C74" s="203"/>
      <c r="D74" s="200"/>
      <c r="E74" s="194"/>
      <c r="F74" s="303"/>
      <c r="G74" s="304"/>
      <c r="H74" s="304"/>
      <c r="I74" s="305"/>
    </row>
    <row r="75" spans="2:9" s="32" customFormat="1" ht="20.100000000000001" customHeight="1">
      <c r="B75" s="49">
        <f t="shared" si="3"/>
        <v>70</v>
      </c>
      <c r="C75" s="203"/>
      <c r="D75" s="200"/>
      <c r="E75" s="194"/>
      <c r="F75" s="303"/>
      <c r="G75" s="304"/>
      <c r="H75" s="304"/>
      <c r="I75" s="305"/>
    </row>
    <row r="76" spans="2:9" s="32" customFormat="1" ht="20.100000000000001" customHeight="1">
      <c r="B76" s="49">
        <f t="shared" si="3"/>
        <v>71</v>
      </c>
      <c r="C76" s="203"/>
      <c r="D76" s="200"/>
      <c r="E76" s="194"/>
      <c r="F76" s="303"/>
      <c r="G76" s="304"/>
      <c r="H76" s="304"/>
      <c r="I76" s="305"/>
    </row>
    <row r="77" spans="2:9" s="32" customFormat="1" ht="20.100000000000001" customHeight="1">
      <c r="B77" s="49">
        <f t="shared" si="3"/>
        <v>72</v>
      </c>
      <c r="C77" s="203"/>
      <c r="D77" s="200"/>
      <c r="E77" s="194"/>
      <c r="F77" s="303"/>
      <c r="G77" s="304"/>
      <c r="H77" s="304"/>
      <c r="I77" s="305"/>
    </row>
    <row r="78" spans="2:9" s="32" customFormat="1" ht="20.100000000000001" customHeight="1">
      <c r="B78" s="49">
        <f t="shared" si="3"/>
        <v>73</v>
      </c>
      <c r="C78" s="203"/>
      <c r="D78" s="200"/>
      <c r="E78" s="194"/>
      <c r="F78" s="303"/>
      <c r="G78" s="304"/>
      <c r="H78" s="304"/>
      <c r="I78" s="305"/>
    </row>
    <row r="79" spans="2:9" s="32" customFormat="1" ht="20.100000000000001" customHeight="1">
      <c r="B79" s="49">
        <f t="shared" si="3"/>
        <v>74</v>
      </c>
      <c r="C79" s="203"/>
      <c r="D79" s="200"/>
      <c r="E79" s="194"/>
      <c r="F79" s="303"/>
      <c r="G79" s="304"/>
      <c r="H79" s="304"/>
      <c r="I79" s="305"/>
    </row>
    <row r="80" spans="2:9" s="32" customFormat="1" ht="20.100000000000001" customHeight="1">
      <c r="B80" s="49">
        <f t="shared" ref="B80:B104" si="4">ROW()-5</f>
        <v>75</v>
      </c>
      <c r="C80" s="203"/>
      <c r="D80" s="200"/>
      <c r="E80" s="194"/>
      <c r="F80" s="303"/>
      <c r="G80" s="304"/>
      <c r="H80" s="304"/>
      <c r="I80" s="305"/>
    </row>
    <row r="81" spans="2:9" s="32" customFormat="1" ht="20.100000000000001" customHeight="1">
      <c r="B81" s="49">
        <f t="shared" si="4"/>
        <v>76</v>
      </c>
      <c r="C81" s="203"/>
      <c r="D81" s="200"/>
      <c r="E81" s="194"/>
      <c r="F81" s="303"/>
      <c r="G81" s="304"/>
      <c r="H81" s="304"/>
      <c r="I81" s="305"/>
    </row>
    <row r="82" spans="2:9" s="32" customFormat="1" ht="20.100000000000001" customHeight="1">
      <c r="B82" s="49">
        <f t="shared" si="4"/>
        <v>77</v>
      </c>
      <c r="C82" s="203"/>
      <c r="D82" s="200"/>
      <c r="E82" s="194"/>
      <c r="F82" s="303"/>
      <c r="G82" s="304"/>
      <c r="H82" s="304"/>
      <c r="I82" s="305"/>
    </row>
    <row r="83" spans="2:9" s="32" customFormat="1" ht="20.100000000000001" customHeight="1">
      <c r="B83" s="49">
        <f t="shared" si="4"/>
        <v>78</v>
      </c>
      <c r="C83" s="203"/>
      <c r="D83" s="200"/>
      <c r="E83" s="194"/>
      <c r="F83" s="303"/>
      <c r="G83" s="304"/>
      <c r="H83" s="304"/>
      <c r="I83" s="305"/>
    </row>
    <row r="84" spans="2:9" s="32" customFormat="1" ht="20.100000000000001" customHeight="1">
      <c r="B84" s="49">
        <f t="shared" si="4"/>
        <v>79</v>
      </c>
      <c r="C84" s="203"/>
      <c r="D84" s="200"/>
      <c r="E84" s="194"/>
      <c r="F84" s="303"/>
      <c r="G84" s="304"/>
      <c r="H84" s="304"/>
      <c r="I84" s="305"/>
    </row>
    <row r="85" spans="2:9" s="32" customFormat="1" ht="20.100000000000001" customHeight="1">
      <c r="B85" s="49">
        <f t="shared" si="4"/>
        <v>80</v>
      </c>
      <c r="C85" s="203"/>
      <c r="D85" s="200"/>
      <c r="E85" s="194"/>
      <c r="F85" s="303"/>
      <c r="G85" s="304"/>
      <c r="H85" s="304"/>
      <c r="I85" s="305"/>
    </row>
    <row r="86" spans="2:9" s="32" customFormat="1" ht="20.100000000000001" customHeight="1">
      <c r="B86" s="49">
        <f t="shared" si="4"/>
        <v>81</v>
      </c>
      <c r="C86" s="203"/>
      <c r="D86" s="200"/>
      <c r="E86" s="194"/>
      <c r="F86" s="303"/>
      <c r="G86" s="304"/>
      <c r="H86" s="304"/>
      <c r="I86" s="305"/>
    </row>
    <row r="87" spans="2:9" s="32" customFormat="1" ht="20.100000000000001" customHeight="1">
      <c r="B87" s="49">
        <f t="shared" si="4"/>
        <v>82</v>
      </c>
      <c r="C87" s="203"/>
      <c r="D87" s="200"/>
      <c r="E87" s="194"/>
      <c r="F87" s="303"/>
      <c r="G87" s="304"/>
      <c r="H87" s="304"/>
      <c r="I87" s="305"/>
    </row>
    <row r="88" spans="2:9" s="32" customFormat="1" ht="20.100000000000001" customHeight="1">
      <c r="B88" s="49">
        <f t="shared" si="4"/>
        <v>83</v>
      </c>
      <c r="C88" s="203"/>
      <c r="D88" s="200"/>
      <c r="E88" s="194"/>
      <c r="F88" s="303"/>
      <c r="G88" s="304"/>
      <c r="H88" s="304"/>
      <c r="I88" s="305"/>
    </row>
    <row r="89" spans="2:9" s="32" customFormat="1" ht="20.100000000000001" customHeight="1">
      <c r="B89" s="49">
        <f t="shared" si="4"/>
        <v>84</v>
      </c>
      <c r="C89" s="203"/>
      <c r="D89" s="200"/>
      <c r="E89" s="194"/>
      <c r="F89" s="303"/>
      <c r="G89" s="304"/>
      <c r="H89" s="304"/>
      <c r="I89" s="305"/>
    </row>
    <row r="90" spans="2:9" s="32" customFormat="1" ht="20.100000000000001" customHeight="1">
      <c r="B90" s="49">
        <f t="shared" si="4"/>
        <v>85</v>
      </c>
      <c r="C90" s="203"/>
      <c r="D90" s="200"/>
      <c r="E90" s="194"/>
      <c r="F90" s="303"/>
      <c r="G90" s="304"/>
      <c r="H90" s="304"/>
      <c r="I90" s="305"/>
    </row>
    <row r="91" spans="2:9" s="32" customFormat="1" ht="20.100000000000001" customHeight="1">
      <c r="B91" s="49">
        <f t="shared" si="4"/>
        <v>86</v>
      </c>
      <c r="C91" s="203"/>
      <c r="D91" s="200"/>
      <c r="E91" s="194"/>
      <c r="F91" s="303"/>
      <c r="G91" s="304"/>
      <c r="H91" s="304"/>
      <c r="I91" s="305"/>
    </row>
    <row r="92" spans="2:9" s="32" customFormat="1" ht="20.100000000000001" customHeight="1">
      <c r="B92" s="49">
        <f t="shared" si="4"/>
        <v>87</v>
      </c>
      <c r="C92" s="203"/>
      <c r="D92" s="200"/>
      <c r="E92" s="194"/>
      <c r="F92" s="303"/>
      <c r="G92" s="304"/>
      <c r="H92" s="304"/>
      <c r="I92" s="305"/>
    </row>
    <row r="93" spans="2:9" s="32" customFormat="1" ht="20.100000000000001" customHeight="1">
      <c r="B93" s="49">
        <f t="shared" si="4"/>
        <v>88</v>
      </c>
      <c r="C93" s="203"/>
      <c r="D93" s="200"/>
      <c r="E93" s="194"/>
      <c r="F93" s="303"/>
      <c r="G93" s="304"/>
      <c r="H93" s="304"/>
      <c r="I93" s="305"/>
    </row>
    <row r="94" spans="2:9" s="32" customFormat="1" ht="20.100000000000001" customHeight="1">
      <c r="B94" s="49">
        <f t="shared" si="4"/>
        <v>89</v>
      </c>
      <c r="C94" s="203"/>
      <c r="D94" s="200"/>
      <c r="E94" s="194"/>
      <c r="F94" s="303"/>
      <c r="G94" s="304"/>
      <c r="H94" s="304"/>
      <c r="I94" s="305"/>
    </row>
    <row r="95" spans="2:9" s="32" customFormat="1" ht="20.100000000000001" customHeight="1">
      <c r="B95" s="49">
        <f t="shared" si="4"/>
        <v>90</v>
      </c>
      <c r="C95" s="203"/>
      <c r="D95" s="200"/>
      <c r="E95" s="194"/>
      <c r="F95" s="303"/>
      <c r="G95" s="304"/>
      <c r="H95" s="304"/>
      <c r="I95" s="305"/>
    </row>
    <row r="96" spans="2:9" s="32" customFormat="1" ht="20.100000000000001" customHeight="1">
      <c r="B96" s="49">
        <f t="shared" si="4"/>
        <v>91</v>
      </c>
      <c r="C96" s="203"/>
      <c r="D96" s="200"/>
      <c r="E96" s="194"/>
      <c r="F96" s="303"/>
      <c r="G96" s="304"/>
      <c r="H96" s="304"/>
      <c r="I96" s="305"/>
    </row>
    <row r="97" spans="2:9" s="32" customFormat="1" ht="20.100000000000001" customHeight="1">
      <c r="B97" s="49">
        <f t="shared" si="4"/>
        <v>92</v>
      </c>
      <c r="C97" s="203"/>
      <c r="D97" s="200"/>
      <c r="E97" s="194"/>
      <c r="F97" s="303"/>
      <c r="G97" s="304"/>
      <c r="H97" s="304"/>
      <c r="I97" s="305"/>
    </row>
    <row r="98" spans="2:9" s="32" customFormat="1" ht="20.100000000000001" customHeight="1">
      <c r="B98" s="49">
        <f t="shared" si="4"/>
        <v>93</v>
      </c>
      <c r="C98" s="203"/>
      <c r="D98" s="200"/>
      <c r="E98" s="194"/>
      <c r="F98" s="303"/>
      <c r="G98" s="304"/>
      <c r="H98" s="304"/>
      <c r="I98" s="305"/>
    </row>
    <row r="99" spans="2:9" s="32" customFormat="1" ht="20.100000000000001" customHeight="1">
      <c r="B99" s="49">
        <f t="shared" si="4"/>
        <v>94</v>
      </c>
      <c r="C99" s="203"/>
      <c r="D99" s="200"/>
      <c r="E99" s="194"/>
      <c r="F99" s="303"/>
      <c r="G99" s="304"/>
      <c r="H99" s="304"/>
      <c r="I99" s="305"/>
    </row>
    <row r="100" spans="2:9" s="32" customFormat="1" ht="20.100000000000001" customHeight="1">
      <c r="B100" s="49">
        <f t="shared" si="4"/>
        <v>95</v>
      </c>
      <c r="C100" s="203"/>
      <c r="D100" s="200"/>
      <c r="E100" s="194"/>
      <c r="F100" s="303"/>
      <c r="G100" s="304"/>
      <c r="H100" s="304"/>
      <c r="I100" s="305"/>
    </row>
    <row r="101" spans="2:9" s="32" customFormat="1" ht="20.100000000000001" customHeight="1">
      <c r="B101" s="49">
        <f t="shared" si="4"/>
        <v>96</v>
      </c>
      <c r="C101" s="203"/>
      <c r="D101" s="200"/>
      <c r="E101" s="194"/>
      <c r="F101" s="303"/>
      <c r="G101" s="304"/>
      <c r="H101" s="304"/>
      <c r="I101" s="305"/>
    </row>
    <row r="102" spans="2:9" s="32" customFormat="1" ht="20.100000000000001" customHeight="1">
      <c r="B102" s="49">
        <f t="shared" si="4"/>
        <v>97</v>
      </c>
      <c r="C102" s="203"/>
      <c r="D102" s="200"/>
      <c r="E102" s="194"/>
      <c r="F102" s="303"/>
      <c r="G102" s="304"/>
      <c r="H102" s="304"/>
      <c r="I102" s="305"/>
    </row>
    <row r="103" spans="2:9" s="32" customFormat="1" ht="20.100000000000001" customHeight="1">
      <c r="B103" s="49">
        <f t="shared" si="4"/>
        <v>98</v>
      </c>
      <c r="C103" s="203"/>
      <c r="D103" s="200"/>
      <c r="E103" s="194"/>
      <c r="F103" s="303"/>
      <c r="G103" s="304"/>
      <c r="H103" s="304"/>
      <c r="I103" s="305"/>
    </row>
    <row r="104" spans="2:9" s="32" customFormat="1" ht="20.100000000000001" customHeight="1">
      <c r="B104" s="49">
        <f t="shared" si="4"/>
        <v>99</v>
      </c>
      <c r="C104" s="203"/>
      <c r="D104" s="200"/>
      <c r="E104" s="194"/>
      <c r="F104" s="303"/>
      <c r="G104" s="304"/>
      <c r="H104" s="304"/>
      <c r="I104" s="305"/>
    </row>
    <row r="105" spans="2:9" s="32" customFormat="1" ht="20.100000000000001" customHeight="1" thickBot="1">
      <c r="B105" s="53">
        <f>ROW()-5</f>
        <v>100</v>
      </c>
      <c r="C105" s="205"/>
      <c r="D105" s="202"/>
      <c r="E105" s="201"/>
      <c r="F105" s="310"/>
      <c r="G105" s="311"/>
      <c r="H105" s="311"/>
      <c r="I105" s="312"/>
    </row>
  </sheetData>
  <sheetProtection formatCells="0" formatColumns="0" formatRows="0" insertHyperlinks="0"/>
  <customSheetViews>
    <customSheetView guid="{809E84AF-EE5E-4456-99E6-0390B35F6AD9}" scale="80" showPageBreaks="1" showGridLines="0" fitToPage="1" printArea="1" hiddenColumns="1">
      <pane ySplit="5" topLeftCell="A6" activePane="bottomLeft" state="frozen"/>
      <selection pane="bottomLeft" activeCell="P33" sqref="P33:U33"/>
      <pageMargins left="0.39370078740157477" right="0.39370078740157477" top="0.59055118110236215" bottom="0.59055118110236215" header="0.31496062992125989" footer="0.51181102362204722"/>
      <printOptions horizontalCentered="1"/>
      <pageSetup paperSize="9" scale="72" fitToHeight="0" orientation="landscape" r:id="rId1"/>
      <headerFooter alignWithMargins="0">
        <oddFooter>&amp;R&amp;"Arial,標準"&amp;8Sharp Business Solutions Corporation&amp;C&amp;P / &amp;N</oddFooter>
      </headerFooter>
    </customSheetView>
    <customSheetView guid="{898DF6CC-64C7-4F2D-A13E-0A476B60DF75}" scale="80" showGridLines="0" hiddenColumns="1">
      <pane ySplit="5" topLeftCell="A6" activePane="bottomLeft" state="frozen"/>
      <selection pane="bottomLeft" activeCell="A6" sqref="A6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2"/>
      <headerFooter alignWithMargins="0"/>
    </customSheetView>
    <customSheetView guid="{1D8BE6F4-405A-4FC6-B1E3-D9618F9FD7A8}" scale="80" showGridLines="0" hiddenColumns="1">
      <pane ySplit="5" topLeftCell="A30" activePane="bottomLeft" state="frozen"/>
      <selection pane="bottomLeft" activeCell="V45" sqref="V45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3"/>
      <headerFooter alignWithMargins="0"/>
    </customSheetView>
    <customSheetView guid="{11FF3D1A-B611-4935-A0EC-72FFAD7F9EAF}" scale="80" showGridLines="0" hiddenColumns="1">
      <pane ySplit="5" topLeftCell="A6" activePane="bottomLeft" state="frozen"/>
      <selection pane="bottomLeft" activeCell="E12" sqref="E12:G12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4"/>
      <headerFooter alignWithMargins="0"/>
    </customSheetView>
  </customSheetViews>
  <mergeCells count="102">
    <mergeCell ref="B2:C3"/>
    <mergeCell ref="F5:I5"/>
    <mergeCell ref="F6:I6"/>
    <mergeCell ref="F7:I7"/>
    <mergeCell ref="F10:I10"/>
    <mergeCell ref="F14:I14"/>
    <mergeCell ref="F103:I103"/>
    <mergeCell ref="F101:I101"/>
    <mergeCell ref="F100:I100"/>
    <mergeCell ref="F28:I28"/>
    <mergeCell ref="F29:I29"/>
    <mergeCell ref="F91:I91"/>
    <mergeCell ref="F24:I24"/>
    <mergeCell ref="F25:I25"/>
    <mergeCell ref="F26:I26"/>
    <mergeCell ref="F27:I27"/>
    <mergeCell ref="F98:I98"/>
    <mergeCell ref="F102:I102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13:I13"/>
    <mergeCell ref="F11:I11"/>
    <mergeCell ref="F12:I12"/>
    <mergeCell ref="F8:I8"/>
    <mergeCell ref="F9:I9"/>
    <mergeCell ref="F105:I105"/>
    <mergeCell ref="F104:I104"/>
    <mergeCell ref="F99:I99"/>
    <mergeCell ref="F92:I92"/>
    <mergeCell ref="F93:I93"/>
    <mergeCell ref="F94:I94"/>
    <mergeCell ref="F95:I95"/>
    <mergeCell ref="F96:I96"/>
    <mergeCell ref="F97:I97"/>
    <mergeCell ref="F77:I77"/>
    <mergeCell ref="F78:I78"/>
    <mergeCell ref="F79:I79"/>
    <mergeCell ref="F80:I80"/>
    <mergeCell ref="F81:I81"/>
    <mergeCell ref="F82:I82"/>
    <mergeCell ref="F83:I83"/>
    <mergeCell ref="F84:I84"/>
    <mergeCell ref="F85:I85"/>
    <mergeCell ref="F86:I86"/>
    <mergeCell ref="F87:I87"/>
    <mergeCell ref="F88:I88"/>
    <mergeCell ref="F89:I89"/>
    <mergeCell ref="F90:I90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45:I45"/>
    <mergeCell ref="F46:I46"/>
    <mergeCell ref="F47:I47"/>
    <mergeCell ref="F48:I48"/>
    <mergeCell ref="F49:I49"/>
    <mergeCell ref="F50:I50"/>
    <mergeCell ref="F51:I51"/>
    <mergeCell ref="F71:I71"/>
    <mergeCell ref="F72:I72"/>
    <mergeCell ref="F73:I73"/>
    <mergeCell ref="F74:I74"/>
    <mergeCell ref="F52:I52"/>
    <mergeCell ref="F53:I53"/>
    <mergeCell ref="F54:I54"/>
    <mergeCell ref="F55:I55"/>
    <mergeCell ref="F56:I56"/>
    <mergeCell ref="F57:I57"/>
    <mergeCell ref="F61:I61"/>
    <mergeCell ref="F58:I58"/>
    <mergeCell ref="F59:I59"/>
    <mergeCell ref="F60:I60"/>
    <mergeCell ref="F75:I75"/>
    <mergeCell ref="F76:I76"/>
    <mergeCell ref="F62:I62"/>
    <mergeCell ref="F63:I63"/>
    <mergeCell ref="F64:I64"/>
    <mergeCell ref="F65:I65"/>
    <mergeCell ref="F66:I66"/>
    <mergeCell ref="F67:I67"/>
    <mergeCell ref="F68:I68"/>
    <mergeCell ref="F69:I69"/>
    <mergeCell ref="F70:I70"/>
  </mergeCells>
  <phoneticPr fontId="4"/>
  <dataValidations count="1">
    <dataValidation imeMode="off" allowBlank="1" showInputMessage="1" showErrorMessage="1" sqref="E6:E104"/>
  </dataValidations>
  <hyperlinks>
    <hyperlink ref="E7" location="asset_list!A9" display="asset_list!A9"/>
    <hyperlink ref="E8" location="carousel_detal!A9" display="carousel_detal!A9"/>
    <hyperlink ref="E9" location="carousel_list!A9" display="carousel_list!A9"/>
    <hyperlink ref="E10" location="config!A9" display="config!A9"/>
    <hyperlink ref="E11" location="customer!A9" display="customer!A9"/>
    <hyperlink ref="E12" location="file_list!A9" display="file_list!A9"/>
    <hyperlink ref="E13" location="link_list!A9" display="link_list!A9"/>
    <hyperlink ref="E14" location="td_list!A9" display="td_list!A9"/>
    <hyperlink ref="E6" location="admin!A9" display="admin!A9"/>
  </hyperlinks>
  <printOptions horizontalCentered="1"/>
  <pageMargins left="0.39370078740157477" right="0.39370078740157477" top="0.59055118110236215" bottom="0.59055118110236215" header="0.31496062992125989" footer="0.27559055118110232"/>
  <pageSetup paperSize="9" scale="62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>
    <pageSetUpPr fitToPage="1"/>
  </sheetPr>
  <dimension ref="A1:X231"/>
  <sheetViews>
    <sheetView showGridLines="0" zoomScaleNormal="100" workbookViewId="0">
      <pane ySplit="5" topLeftCell="A6" activePane="bottomLeft" state="frozen"/>
      <selection activeCell="B6" sqref="B6"/>
      <selection pane="bottomLeft" activeCell="E28" sqref="E28:U28"/>
    </sheetView>
  </sheetViews>
  <sheetFormatPr defaultRowHeight="18.75"/>
  <cols>
    <col min="1" max="1" width="3.85546875" style="28" customWidth="1"/>
    <col min="2" max="2" width="8.7109375" style="28" customWidth="1"/>
    <col min="3" max="3" width="15.7109375" style="28" customWidth="1"/>
    <col min="4" max="4" width="22.7109375" style="28" customWidth="1"/>
    <col min="5" max="5" width="25.7109375" style="28" customWidth="1"/>
    <col min="6" max="6" width="10.7109375" style="28" customWidth="1"/>
    <col min="7" max="7" width="14" style="28" customWidth="1"/>
    <col min="8" max="8" width="12" style="28" customWidth="1"/>
    <col min="9" max="9" width="10.85546875" style="28" hidden="1" customWidth="1"/>
    <col min="10" max="14" width="3" style="28" customWidth="1"/>
    <col min="15" max="15" width="12" style="28" customWidth="1"/>
    <col min="16" max="21" width="13.42578125" style="28" customWidth="1"/>
    <col min="22" max="22" width="15.28515625" style="41" customWidth="1"/>
    <col min="23" max="16384" width="9.140625" style="28"/>
  </cols>
  <sheetData>
    <row r="1" spans="1:22" ht="12" customHeight="1" thickBot="1">
      <c r="A1" s="33"/>
      <c r="V1" s="28"/>
    </row>
    <row r="2" spans="1:22" ht="15" customHeight="1">
      <c r="B2" s="282" t="s">
        <v>116</v>
      </c>
      <c r="C2" s="283"/>
      <c r="D2" s="283"/>
      <c r="E2" s="284"/>
      <c r="F2" s="290" t="s">
        <v>2</v>
      </c>
      <c r="G2" s="291"/>
      <c r="H2" s="276" t="str">
        <f>ProjectName</f>
        <v>○△□プロジェクト</v>
      </c>
      <c r="I2" s="277"/>
      <c r="J2" s="277"/>
      <c r="K2" s="277"/>
      <c r="L2" s="277"/>
      <c r="M2" s="277"/>
      <c r="N2" s="277"/>
      <c r="O2" s="278"/>
      <c r="P2" s="112" t="s">
        <v>3</v>
      </c>
      <c r="Q2" s="274" t="str">
        <f>CreateBy</f>
        <v>○○　✕✕</v>
      </c>
      <c r="R2" s="275"/>
      <c r="S2" s="112" t="s">
        <v>4</v>
      </c>
      <c r="T2" s="330">
        <f>CreateAt</f>
        <v>44287</v>
      </c>
      <c r="U2" s="331"/>
      <c r="V2" s="28"/>
    </row>
    <row r="3" spans="1:22" ht="15" customHeight="1" thickBot="1">
      <c r="B3" s="285"/>
      <c r="C3" s="286"/>
      <c r="D3" s="286"/>
      <c r="E3" s="287"/>
      <c r="F3" s="263" t="s">
        <v>5</v>
      </c>
      <c r="G3" s="264"/>
      <c r="H3" s="279" t="str">
        <f>systemName</f>
        <v>○✕システム</v>
      </c>
      <c r="I3" s="280"/>
      <c r="J3" s="280"/>
      <c r="K3" s="280"/>
      <c r="L3" s="280"/>
      <c r="M3" s="280"/>
      <c r="N3" s="280"/>
      <c r="O3" s="281"/>
      <c r="P3" s="113" t="s">
        <v>6</v>
      </c>
      <c r="Q3" s="272"/>
      <c r="R3" s="273"/>
      <c r="S3" s="113" t="s">
        <v>7</v>
      </c>
      <c r="T3" s="332"/>
      <c r="U3" s="333"/>
      <c r="V3" s="28"/>
    </row>
    <row r="4" spans="1:22" ht="13.5" customHeight="1" thickBot="1">
      <c r="V4" s="28"/>
    </row>
    <row r="5" spans="1:22" ht="20.100000000000001" customHeight="1" thickBot="1">
      <c r="B5" s="114" t="s">
        <v>115</v>
      </c>
      <c r="C5" s="115" t="s">
        <v>70</v>
      </c>
      <c r="D5" s="116" t="s">
        <v>208</v>
      </c>
      <c r="E5" s="327" t="s">
        <v>71</v>
      </c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  <c r="Q5" s="328"/>
      <c r="R5" s="328"/>
      <c r="S5" s="328"/>
      <c r="T5" s="328"/>
      <c r="U5" s="329"/>
      <c r="V5" s="28"/>
    </row>
    <row r="6" spans="1:22" ht="20.100000000000001" customHeight="1">
      <c r="B6" s="34">
        <v>1</v>
      </c>
      <c r="C6" s="35">
        <f>CreateAt</f>
        <v>44287</v>
      </c>
      <c r="D6" s="36" t="str">
        <f>CreateBy</f>
        <v>○○　✕✕</v>
      </c>
      <c r="E6" s="324" t="s">
        <v>213</v>
      </c>
      <c r="F6" s="325"/>
      <c r="G6" s="325"/>
      <c r="H6" s="325"/>
      <c r="I6" s="325"/>
      <c r="J6" s="325"/>
      <c r="K6" s="325"/>
      <c r="L6" s="325"/>
      <c r="M6" s="325"/>
      <c r="N6" s="325"/>
      <c r="O6" s="325"/>
      <c r="P6" s="325"/>
      <c r="Q6" s="325"/>
      <c r="R6" s="325"/>
      <c r="S6" s="325"/>
      <c r="T6" s="325"/>
      <c r="U6" s="326"/>
      <c r="V6" s="28"/>
    </row>
    <row r="7" spans="1:22" ht="20.100000000000001" customHeight="1">
      <c r="B7" s="37"/>
      <c r="C7" s="51"/>
      <c r="D7" s="50"/>
      <c r="E7" s="317"/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9"/>
      <c r="V7" s="28"/>
    </row>
    <row r="8" spans="1:22" ht="20.100000000000001" customHeight="1">
      <c r="B8" s="37"/>
      <c r="C8" s="51"/>
      <c r="D8" s="50"/>
      <c r="E8" s="317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9"/>
      <c r="V8" s="28"/>
    </row>
    <row r="9" spans="1:22" ht="20.100000000000001" customHeight="1">
      <c r="B9" s="37"/>
      <c r="C9" s="51"/>
      <c r="D9" s="50"/>
      <c r="E9" s="317"/>
      <c r="F9" s="318"/>
      <c r="G9" s="318"/>
      <c r="H9" s="318"/>
      <c r="I9" s="318"/>
      <c r="J9" s="318"/>
      <c r="K9" s="318"/>
      <c r="L9" s="318"/>
      <c r="M9" s="318"/>
      <c r="N9" s="318"/>
      <c r="O9" s="318"/>
      <c r="P9" s="318"/>
      <c r="Q9" s="318"/>
      <c r="R9" s="318"/>
      <c r="S9" s="318"/>
      <c r="T9" s="318"/>
      <c r="U9" s="319"/>
      <c r="V9" s="28"/>
    </row>
    <row r="10" spans="1:22" ht="20.100000000000001" customHeight="1">
      <c r="B10" s="37"/>
      <c r="C10" s="51"/>
      <c r="D10" s="50"/>
      <c r="E10" s="317"/>
      <c r="F10" s="318"/>
      <c r="G10" s="318"/>
      <c r="H10" s="318"/>
      <c r="I10" s="318"/>
      <c r="J10" s="318"/>
      <c r="K10" s="318"/>
      <c r="L10" s="318"/>
      <c r="M10" s="318"/>
      <c r="N10" s="318"/>
      <c r="O10" s="318"/>
      <c r="P10" s="318"/>
      <c r="Q10" s="318"/>
      <c r="R10" s="318"/>
      <c r="S10" s="318"/>
      <c r="T10" s="318"/>
      <c r="U10" s="319"/>
      <c r="V10" s="28"/>
    </row>
    <row r="11" spans="1:22" ht="20.100000000000001" customHeight="1">
      <c r="B11" s="37"/>
      <c r="C11" s="51"/>
      <c r="D11" s="50"/>
      <c r="E11" s="317"/>
      <c r="F11" s="318"/>
      <c r="G11" s="318"/>
      <c r="H11" s="318"/>
      <c r="I11" s="318"/>
      <c r="J11" s="318"/>
      <c r="K11" s="318"/>
      <c r="L11" s="318"/>
      <c r="M11" s="318"/>
      <c r="N11" s="318"/>
      <c r="O11" s="318"/>
      <c r="P11" s="318"/>
      <c r="Q11" s="318"/>
      <c r="R11" s="318"/>
      <c r="S11" s="318"/>
      <c r="T11" s="318"/>
      <c r="U11" s="319"/>
      <c r="V11" s="28"/>
    </row>
    <row r="12" spans="1:22" ht="20.100000000000001" customHeight="1">
      <c r="B12" s="37"/>
      <c r="C12" s="51"/>
      <c r="D12" s="50"/>
      <c r="E12" s="317"/>
      <c r="F12" s="318"/>
      <c r="G12" s="318"/>
      <c r="H12" s="318"/>
      <c r="I12" s="318"/>
      <c r="J12" s="318"/>
      <c r="K12" s="318"/>
      <c r="L12" s="318"/>
      <c r="M12" s="318"/>
      <c r="N12" s="318"/>
      <c r="O12" s="318"/>
      <c r="P12" s="318"/>
      <c r="Q12" s="318"/>
      <c r="R12" s="318"/>
      <c r="S12" s="318"/>
      <c r="T12" s="318"/>
      <c r="U12" s="319"/>
      <c r="V12" s="28"/>
    </row>
    <row r="13" spans="1:22" ht="20.100000000000001" customHeight="1">
      <c r="B13" s="37"/>
      <c r="C13" s="51"/>
      <c r="D13" s="50"/>
      <c r="E13" s="317"/>
      <c r="F13" s="318"/>
      <c r="G13" s="318"/>
      <c r="H13" s="318"/>
      <c r="I13" s="318"/>
      <c r="J13" s="318"/>
      <c r="K13" s="318"/>
      <c r="L13" s="318"/>
      <c r="M13" s="318"/>
      <c r="N13" s="318"/>
      <c r="O13" s="318"/>
      <c r="P13" s="318"/>
      <c r="Q13" s="318"/>
      <c r="R13" s="318"/>
      <c r="S13" s="318"/>
      <c r="T13" s="318"/>
      <c r="U13" s="319"/>
      <c r="V13" s="28"/>
    </row>
    <row r="14" spans="1:22" ht="20.100000000000001" customHeight="1">
      <c r="B14" s="37"/>
      <c r="C14" s="51"/>
      <c r="D14" s="50"/>
      <c r="E14" s="317"/>
      <c r="F14" s="318"/>
      <c r="G14" s="318"/>
      <c r="H14" s="318"/>
      <c r="I14" s="318"/>
      <c r="J14" s="318"/>
      <c r="K14" s="318"/>
      <c r="L14" s="318"/>
      <c r="M14" s="318"/>
      <c r="N14" s="318"/>
      <c r="O14" s="318"/>
      <c r="P14" s="318"/>
      <c r="Q14" s="318"/>
      <c r="R14" s="318"/>
      <c r="S14" s="318"/>
      <c r="T14" s="318"/>
      <c r="U14" s="319"/>
      <c r="V14" s="28"/>
    </row>
    <row r="15" spans="1:22" ht="20.100000000000001" customHeight="1">
      <c r="B15" s="37"/>
      <c r="C15" s="51"/>
      <c r="D15" s="50"/>
      <c r="E15" s="317"/>
      <c r="F15" s="318"/>
      <c r="G15" s="318"/>
      <c r="H15" s="318"/>
      <c r="I15" s="318"/>
      <c r="J15" s="318"/>
      <c r="K15" s="318"/>
      <c r="L15" s="318"/>
      <c r="M15" s="318"/>
      <c r="N15" s="318"/>
      <c r="O15" s="318"/>
      <c r="P15" s="318"/>
      <c r="Q15" s="318"/>
      <c r="R15" s="318"/>
      <c r="S15" s="318"/>
      <c r="T15" s="318"/>
      <c r="U15" s="319"/>
      <c r="V15" s="28"/>
    </row>
    <row r="16" spans="1:22" ht="20.100000000000001" customHeight="1">
      <c r="B16" s="37"/>
      <c r="C16" s="51"/>
      <c r="D16" s="50"/>
      <c r="E16" s="317"/>
      <c r="F16" s="318"/>
      <c r="G16" s="318"/>
      <c r="H16" s="318"/>
      <c r="I16" s="318"/>
      <c r="J16" s="318"/>
      <c r="K16" s="318"/>
      <c r="L16" s="318"/>
      <c r="M16" s="318"/>
      <c r="N16" s="318"/>
      <c r="O16" s="318"/>
      <c r="P16" s="318"/>
      <c r="Q16" s="318"/>
      <c r="R16" s="318"/>
      <c r="S16" s="318"/>
      <c r="T16" s="318"/>
      <c r="U16" s="319"/>
      <c r="V16" s="28"/>
    </row>
    <row r="17" spans="2:22" ht="20.100000000000001" customHeight="1">
      <c r="B17" s="37"/>
      <c r="C17" s="51"/>
      <c r="D17" s="50"/>
      <c r="E17" s="317"/>
      <c r="F17" s="318"/>
      <c r="G17" s="318"/>
      <c r="H17" s="318"/>
      <c r="I17" s="318"/>
      <c r="J17" s="318"/>
      <c r="K17" s="318"/>
      <c r="L17" s="318"/>
      <c r="M17" s="318"/>
      <c r="N17" s="318"/>
      <c r="O17" s="318"/>
      <c r="P17" s="318"/>
      <c r="Q17" s="318"/>
      <c r="R17" s="318"/>
      <c r="S17" s="318"/>
      <c r="T17" s="318"/>
      <c r="U17" s="319"/>
      <c r="V17" s="28"/>
    </row>
    <row r="18" spans="2:22" ht="20.100000000000001" customHeight="1">
      <c r="B18" s="37"/>
      <c r="C18" s="51"/>
      <c r="D18" s="50"/>
      <c r="E18" s="317"/>
      <c r="F18" s="318"/>
      <c r="G18" s="318"/>
      <c r="H18" s="318"/>
      <c r="I18" s="318"/>
      <c r="J18" s="318"/>
      <c r="K18" s="318"/>
      <c r="L18" s="318"/>
      <c r="M18" s="318"/>
      <c r="N18" s="318"/>
      <c r="O18" s="318"/>
      <c r="P18" s="318"/>
      <c r="Q18" s="318"/>
      <c r="R18" s="318"/>
      <c r="S18" s="318"/>
      <c r="T18" s="318"/>
      <c r="U18" s="319"/>
      <c r="V18" s="28"/>
    </row>
    <row r="19" spans="2:22" ht="20.100000000000001" customHeight="1">
      <c r="B19" s="37"/>
      <c r="C19" s="51"/>
      <c r="D19" s="50"/>
      <c r="E19" s="317"/>
      <c r="F19" s="318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9"/>
      <c r="V19" s="28"/>
    </row>
    <row r="20" spans="2:22" ht="20.100000000000001" customHeight="1">
      <c r="B20" s="37"/>
      <c r="C20" s="51"/>
      <c r="D20" s="50"/>
      <c r="E20" s="317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28"/>
    </row>
    <row r="21" spans="2:22" ht="20.100000000000001" customHeight="1">
      <c r="B21" s="37"/>
      <c r="C21" s="51"/>
      <c r="D21" s="50"/>
      <c r="E21" s="317"/>
      <c r="F21" s="318"/>
      <c r="G21" s="318"/>
      <c r="H21" s="318"/>
      <c r="I21" s="318"/>
      <c r="J21" s="318"/>
      <c r="K21" s="318"/>
      <c r="L21" s="318"/>
      <c r="M21" s="318"/>
      <c r="N21" s="318"/>
      <c r="O21" s="318"/>
      <c r="P21" s="318"/>
      <c r="Q21" s="318"/>
      <c r="R21" s="318"/>
      <c r="S21" s="318"/>
      <c r="T21" s="318"/>
      <c r="U21" s="319"/>
      <c r="V21" s="28"/>
    </row>
    <row r="22" spans="2:22" ht="20.100000000000001" customHeight="1">
      <c r="B22" s="37"/>
      <c r="C22" s="51"/>
      <c r="D22" s="50"/>
      <c r="E22" s="317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318"/>
      <c r="Q22" s="318"/>
      <c r="R22" s="318"/>
      <c r="S22" s="318"/>
      <c r="T22" s="318"/>
      <c r="U22" s="319"/>
      <c r="V22" s="28"/>
    </row>
    <row r="23" spans="2:22" ht="20.100000000000001" customHeight="1">
      <c r="B23" s="37"/>
      <c r="C23" s="51"/>
      <c r="D23" s="50"/>
      <c r="E23" s="317"/>
      <c r="F23" s="318"/>
      <c r="G23" s="318"/>
      <c r="H23" s="318"/>
      <c r="I23" s="318"/>
      <c r="J23" s="318"/>
      <c r="K23" s="318"/>
      <c r="L23" s="318"/>
      <c r="M23" s="318"/>
      <c r="N23" s="318"/>
      <c r="O23" s="318"/>
      <c r="P23" s="318"/>
      <c r="Q23" s="318"/>
      <c r="R23" s="318"/>
      <c r="S23" s="318"/>
      <c r="T23" s="318"/>
      <c r="U23" s="319"/>
      <c r="V23" s="28"/>
    </row>
    <row r="24" spans="2:22" ht="20.100000000000001" customHeight="1">
      <c r="B24" s="37"/>
      <c r="C24" s="51"/>
      <c r="D24" s="50"/>
      <c r="E24" s="317"/>
      <c r="F24" s="318"/>
      <c r="G24" s="318"/>
      <c r="H24" s="318"/>
      <c r="I24" s="318"/>
      <c r="J24" s="318"/>
      <c r="K24" s="318"/>
      <c r="L24" s="318"/>
      <c r="M24" s="318"/>
      <c r="N24" s="318"/>
      <c r="O24" s="318"/>
      <c r="P24" s="318"/>
      <c r="Q24" s="318"/>
      <c r="R24" s="318"/>
      <c r="S24" s="318"/>
      <c r="T24" s="318"/>
      <c r="U24" s="319"/>
      <c r="V24" s="28"/>
    </row>
    <row r="25" spans="2:22" ht="20.100000000000001" customHeight="1">
      <c r="B25" s="37"/>
      <c r="C25" s="51"/>
      <c r="D25" s="50"/>
      <c r="E25" s="317"/>
      <c r="F25" s="318"/>
      <c r="G25" s="318"/>
      <c r="H25" s="318"/>
      <c r="I25" s="318"/>
      <c r="J25" s="318"/>
      <c r="K25" s="318"/>
      <c r="L25" s="318"/>
      <c r="M25" s="318"/>
      <c r="N25" s="318"/>
      <c r="O25" s="318"/>
      <c r="P25" s="318"/>
      <c r="Q25" s="318"/>
      <c r="R25" s="318"/>
      <c r="S25" s="318"/>
      <c r="T25" s="318"/>
      <c r="U25" s="319"/>
      <c r="V25" s="28"/>
    </row>
    <row r="26" spans="2:22" ht="20.100000000000001" customHeight="1">
      <c r="B26" s="37"/>
      <c r="C26" s="51"/>
      <c r="D26" s="50"/>
      <c r="E26" s="317"/>
      <c r="F26" s="318"/>
      <c r="G26" s="318"/>
      <c r="H26" s="318"/>
      <c r="I26" s="318"/>
      <c r="J26" s="318"/>
      <c r="K26" s="318"/>
      <c r="L26" s="318"/>
      <c r="M26" s="318"/>
      <c r="N26" s="318"/>
      <c r="O26" s="318"/>
      <c r="P26" s="318"/>
      <c r="Q26" s="318"/>
      <c r="R26" s="318"/>
      <c r="S26" s="318"/>
      <c r="T26" s="318"/>
      <c r="U26" s="319"/>
      <c r="V26" s="28"/>
    </row>
    <row r="27" spans="2:22" ht="20.100000000000001" customHeight="1">
      <c r="B27" s="37"/>
      <c r="C27" s="51"/>
      <c r="D27" s="50"/>
      <c r="E27" s="317"/>
      <c r="F27" s="318"/>
      <c r="G27" s="318"/>
      <c r="H27" s="318"/>
      <c r="I27" s="318"/>
      <c r="J27" s="318"/>
      <c r="K27" s="318"/>
      <c r="L27" s="318"/>
      <c r="M27" s="318"/>
      <c r="N27" s="318"/>
      <c r="O27" s="318"/>
      <c r="P27" s="318"/>
      <c r="Q27" s="318"/>
      <c r="R27" s="318"/>
      <c r="S27" s="318"/>
      <c r="T27" s="318"/>
      <c r="U27" s="319"/>
      <c r="V27" s="28"/>
    </row>
    <row r="28" spans="2:22" ht="20.100000000000001" customHeight="1">
      <c r="B28" s="37"/>
      <c r="C28" s="51"/>
      <c r="D28" s="50"/>
      <c r="E28" s="317"/>
      <c r="F28" s="318"/>
      <c r="G28" s="318"/>
      <c r="H28" s="318"/>
      <c r="I28" s="318"/>
      <c r="J28" s="318"/>
      <c r="K28" s="318"/>
      <c r="L28" s="318"/>
      <c r="M28" s="318"/>
      <c r="N28" s="318"/>
      <c r="O28" s="318"/>
      <c r="P28" s="318"/>
      <c r="Q28" s="318"/>
      <c r="R28" s="318"/>
      <c r="S28" s="318"/>
      <c r="T28" s="318"/>
      <c r="U28" s="319"/>
      <c r="V28" s="28"/>
    </row>
    <row r="29" spans="2:22" ht="20.100000000000001" customHeight="1">
      <c r="B29" s="37"/>
      <c r="C29" s="51"/>
      <c r="D29" s="50"/>
      <c r="E29" s="317"/>
      <c r="F29" s="318"/>
      <c r="G29" s="318"/>
      <c r="H29" s="318"/>
      <c r="I29" s="318"/>
      <c r="J29" s="318"/>
      <c r="K29" s="318"/>
      <c r="L29" s="318"/>
      <c r="M29" s="318"/>
      <c r="N29" s="318"/>
      <c r="O29" s="318"/>
      <c r="P29" s="318"/>
      <c r="Q29" s="318"/>
      <c r="R29" s="318"/>
      <c r="S29" s="318"/>
      <c r="T29" s="318"/>
      <c r="U29" s="319"/>
      <c r="V29" s="28"/>
    </row>
    <row r="30" spans="2:22" ht="20.100000000000001" customHeight="1">
      <c r="B30" s="37"/>
      <c r="C30" s="51"/>
      <c r="D30" s="50"/>
      <c r="E30" s="317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318"/>
      <c r="S30" s="318"/>
      <c r="T30" s="318"/>
      <c r="U30" s="319"/>
      <c r="V30" s="28"/>
    </row>
    <row r="31" spans="2:22" ht="20.100000000000001" customHeight="1">
      <c r="B31" s="37"/>
      <c r="C31" s="51"/>
      <c r="D31" s="50"/>
      <c r="E31" s="317"/>
      <c r="F31" s="318"/>
      <c r="G31" s="318"/>
      <c r="H31" s="318"/>
      <c r="I31" s="318"/>
      <c r="J31" s="318"/>
      <c r="K31" s="318"/>
      <c r="L31" s="318"/>
      <c r="M31" s="318"/>
      <c r="N31" s="318"/>
      <c r="O31" s="318"/>
      <c r="P31" s="318"/>
      <c r="Q31" s="318"/>
      <c r="R31" s="318"/>
      <c r="S31" s="318"/>
      <c r="T31" s="318"/>
      <c r="U31" s="319"/>
      <c r="V31" s="28"/>
    </row>
    <row r="32" spans="2:22" ht="20.100000000000001" customHeight="1">
      <c r="B32" s="37"/>
      <c r="C32" s="51"/>
      <c r="D32" s="50"/>
      <c r="E32" s="317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318"/>
      <c r="S32" s="318"/>
      <c r="T32" s="318"/>
      <c r="U32" s="319"/>
      <c r="V32" s="28"/>
    </row>
    <row r="33" spans="2:22" ht="20.100000000000001" customHeight="1">
      <c r="B33" s="37"/>
      <c r="C33" s="51"/>
      <c r="D33" s="50"/>
      <c r="E33" s="317"/>
      <c r="F33" s="318"/>
      <c r="G33" s="318"/>
      <c r="H33" s="318"/>
      <c r="I33" s="318"/>
      <c r="J33" s="318"/>
      <c r="K33" s="318"/>
      <c r="L33" s="318"/>
      <c r="M33" s="318"/>
      <c r="N33" s="318"/>
      <c r="O33" s="318"/>
      <c r="P33" s="318"/>
      <c r="Q33" s="318"/>
      <c r="R33" s="318"/>
      <c r="S33" s="318"/>
      <c r="T33" s="318"/>
      <c r="U33" s="319"/>
      <c r="V33" s="28"/>
    </row>
    <row r="34" spans="2:22" ht="20.100000000000001" customHeight="1">
      <c r="B34" s="37"/>
      <c r="C34" s="51"/>
      <c r="D34" s="50"/>
      <c r="E34" s="317"/>
      <c r="F34" s="318"/>
      <c r="G34" s="318"/>
      <c r="H34" s="318"/>
      <c r="I34" s="318"/>
      <c r="J34" s="318"/>
      <c r="K34" s="318"/>
      <c r="L34" s="318"/>
      <c r="M34" s="318"/>
      <c r="N34" s="318"/>
      <c r="O34" s="318"/>
      <c r="P34" s="318"/>
      <c r="Q34" s="318"/>
      <c r="R34" s="318"/>
      <c r="S34" s="318"/>
      <c r="T34" s="318"/>
      <c r="U34" s="319"/>
      <c r="V34" s="28"/>
    </row>
    <row r="35" spans="2:22" ht="20.100000000000001" customHeight="1">
      <c r="B35" s="37"/>
      <c r="C35" s="51"/>
      <c r="D35" s="50"/>
      <c r="E35" s="317"/>
      <c r="F35" s="318"/>
      <c r="G35" s="318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9"/>
      <c r="V35" s="28"/>
    </row>
    <row r="36" spans="2:22" ht="20.100000000000001" customHeight="1">
      <c r="B36" s="37"/>
      <c r="C36" s="51"/>
      <c r="D36" s="50"/>
      <c r="E36" s="317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318"/>
      <c r="S36" s="318"/>
      <c r="T36" s="318"/>
      <c r="U36" s="319"/>
      <c r="V36" s="28"/>
    </row>
    <row r="37" spans="2:22" ht="20.100000000000001" customHeight="1">
      <c r="B37" s="37"/>
      <c r="C37" s="51"/>
      <c r="D37" s="50"/>
      <c r="E37" s="317"/>
      <c r="F37" s="318"/>
      <c r="G37" s="318"/>
      <c r="H37" s="318"/>
      <c r="I37" s="318"/>
      <c r="J37" s="318"/>
      <c r="K37" s="318"/>
      <c r="L37" s="318"/>
      <c r="M37" s="318"/>
      <c r="N37" s="318"/>
      <c r="O37" s="318"/>
      <c r="P37" s="318"/>
      <c r="Q37" s="318"/>
      <c r="R37" s="318"/>
      <c r="S37" s="318"/>
      <c r="T37" s="318"/>
      <c r="U37" s="319"/>
      <c r="V37" s="28"/>
    </row>
    <row r="38" spans="2:22" ht="20.100000000000001" customHeight="1">
      <c r="B38" s="37"/>
      <c r="C38" s="51"/>
      <c r="D38" s="50"/>
      <c r="E38" s="317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318"/>
      <c r="S38" s="318"/>
      <c r="T38" s="318"/>
      <c r="U38" s="319"/>
      <c r="V38" s="28"/>
    </row>
    <row r="39" spans="2:22" ht="20.100000000000001" customHeight="1">
      <c r="B39" s="37"/>
      <c r="C39" s="51"/>
      <c r="D39" s="50"/>
      <c r="E39" s="317"/>
      <c r="F39" s="318"/>
      <c r="G39" s="318"/>
      <c r="H39" s="318"/>
      <c r="I39" s="318"/>
      <c r="J39" s="318"/>
      <c r="K39" s="318"/>
      <c r="L39" s="318"/>
      <c r="M39" s="318"/>
      <c r="N39" s="318"/>
      <c r="O39" s="318"/>
      <c r="P39" s="318"/>
      <c r="Q39" s="318"/>
      <c r="R39" s="318"/>
      <c r="S39" s="318"/>
      <c r="T39" s="318"/>
      <c r="U39" s="319"/>
      <c r="V39" s="28"/>
    </row>
    <row r="40" spans="2:22" ht="20.100000000000001" customHeight="1">
      <c r="B40" s="37"/>
      <c r="C40" s="51"/>
      <c r="D40" s="50"/>
      <c r="E40" s="317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318"/>
      <c r="S40" s="318"/>
      <c r="T40" s="318"/>
      <c r="U40" s="319"/>
      <c r="V40" s="28"/>
    </row>
    <row r="41" spans="2:22" ht="20.100000000000001" customHeight="1">
      <c r="B41" s="37"/>
      <c r="C41" s="51"/>
      <c r="D41" s="50"/>
      <c r="E41" s="317"/>
      <c r="F41" s="318"/>
      <c r="G41" s="318"/>
      <c r="H41" s="318"/>
      <c r="I41" s="318"/>
      <c r="J41" s="318"/>
      <c r="K41" s="318"/>
      <c r="L41" s="318"/>
      <c r="M41" s="318"/>
      <c r="N41" s="318"/>
      <c r="O41" s="318"/>
      <c r="P41" s="318"/>
      <c r="Q41" s="318"/>
      <c r="R41" s="318"/>
      <c r="S41" s="318"/>
      <c r="T41" s="318"/>
      <c r="U41" s="319"/>
      <c r="V41" s="28"/>
    </row>
    <row r="42" spans="2:22" ht="20.100000000000001" customHeight="1">
      <c r="B42" s="37"/>
      <c r="C42" s="51"/>
      <c r="D42" s="50"/>
      <c r="E42" s="317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9"/>
      <c r="V42" s="28"/>
    </row>
    <row r="43" spans="2:22" ht="20.100000000000001" customHeight="1">
      <c r="B43" s="37"/>
      <c r="C43" s="51"/>
      <c r="D43" s="50"/>
      <c r="E43" s="317"/>
      <c r="F43" s="318"/>
      <c r="G43" s="318"/>
      <c r="H43" s="318"/>
      <c r="I43" s="318"/>
      <c r="J43" s="318"/>
      <c r="K43" s="318"/>
      <c r="L43" s="318"/>
      <c r="M43" s="318"/>
      <c r="N43" s="318"/>
      <c r="O43" s="318"/>
      <c r="P43" s="318"/>
      <c r="Q43" s="318"/>
      <c r="R43" s="318"/>
      <c r="S43" s="318"/>
      <c r="T43" s="318"/>
      <c r="U43" s="319"/>
      <c r="V43" s="28"/>
    </row>
    <row r="44" spans="2:22" ht="20.100000000000001" customHeight="1">
      <c r="B44" s="37"/>
      <c r="C44" s="51"/>
      <c r="D44" s="50"/>
      <c r="E44" s="317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9"/>
      <c r="V44" s="28"/>
    </row>
    <row r="45" spans="2:22" ht="20.100000000000001" customHeight="1">
      <c r="B45" s="37"/>
      <c r="C45" s="51"/>
      <c r="D45" s="50"/>
      <c r="E45" s="317"/>
      <c r="F45" s="318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318"/>
      <c r="R45" s="318"/>
      <c r="S45" s="318"/>
      <c r="T45" s="318"/>
      <c r="U45" s="319"/>
      <c r="V45" s="28"/>
    </row>
    <row r="46" spans="2:22" ht="20.100000000000001" customHeight="1">
      <c r="B46" s="37"/>
      <c r="C46" s="51"/>
      <c r="D46" s="50"/>
      <c r="E46" s="317"/>
      <c r="F46" s="318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18"/>
      <c r="R46" s="318"/>
      <c r="S46" s="318"/>
      <c r="T46" s="318"/>
      <c r="U46" s="319"/>
      <c r="V46" s="28"/>
    </row>
    <row r="47" spans="2:22" ht="20.100000000000001" customHeight="1">
      <c r="B47" s="37"/>
      <c r="C47" s="51"/>
      <c r="D47" s="50"/>
      <c r="E47" s="317"/>
      <c r="F47" s="318"/>
      <c r="G47" s="318"/>
      <c r="H47" s="318"/>
      <c r="I47" s="318"/>
      <c r="J47" s="318"/>
      <c r="K47" s="318"/>
      <c r="L47" s="318"/>
      <c r="M47" s="318"/>
      <c r="N47" s="318"/>
      <c r="O47" s="318"/>
      <c r="P47" s="318"/>
      <c r="Q47" s="318"/>
      <c r="R47" s="318"/>
      <c r="S47" s="318"/>
      <c r="T47" s="318"/>
      <c r="U47" s="319"/>
      <c r="V47" s="28"/>
    </row>
    <row r="48" spans="2:22" ht="20.100000000000001" customHeight="1">
      <c r="B48" s="37"/>
      <c r="C48" s="51"/>
      <c r="D48" s="50"/>
      <c r="E48" s="317"/>
      <c r="F48" s="318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318"/>
      <c r="R48" s="318"/>
      <c r="S48" s="318"/>
      <c r="T48" s="318"/>
      <c r="U48" s="319"/>
      <c r="V48" s="28"/>
    </row>
    <row r="49" spans="2:22" ht="20.100000000000001" customHeight="1">
      <c r="B49" s="37"/>
      <c r="C49" s="51"/>
      <c r="D49" s="50"/>
      <c r="E49" s="317"/>
      <c r="F49" s="318"/>
      <c r="G49" s="318"/>
      <c r="H49" s="318"/>
      <c r="I49" s="318"/>
      <c r="J49" s="318"/>
      <c r="K49" s="318"/>
      <c r="L49" s="318"/>
      <c r="M49" s="318"/>
      <c r="N49" s="318"/>
      <c r="O49" s="318"/>
      <c r="P49" s="318"/>
      <c r="Q49" s="318"/>
      <c r="R49" s="318"/>
      <c r="S49" s="318"/>
      <c r="T49" s="318"/>
      <c r="U49" s="319"/>
      <c r="V49" s="28"/>
    </row>
    <row r="50" spans="2:22" ht="20.100000000000001" customHeight="1">
      <c r="B50" s="37"/>
      <c r="C50" s="51"/>
      <c r="D50" s="50"/>
      <c r="E50" s="317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9"/>
      <c r="V50" s="28"/>
    </row>
    <row r="51" spans="2:22" ht="20.100000000000001" customHeight="1">
      <c r="B51" s="37"/>
      <c r="C51" s="51"/>
      <c r="D51" s="50"/>
      <c r="E51" s="317"/>
      <c r="F51" s="318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318"/>
      <c r="R51" s="318"/>
      <c r="S51" s="318"/>
      <c r="T51" s="318"/>
      <c r="U51" s="319"/>
      <c r="V51" s="28"/>
    </row>
    <row r="52" spans="2:22" ht="20.100000000000001" customHeight="1">
      <c r="B52" s="37"/>
      <c r="C52" s="51"/>
      <c r="D52" s="50"/>
      <c r="E52" s="317"/>
      <c r="F52" s="318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318"/>
      <c r="R52" s="318"/>
      <c r="S52" s="318"/>
      <c r="T52" s="318"/>
      <c r="U52" s="319"/>
      <c r="V52" s="28"/>
    </row>
    <row r="53" spans="2:22" ht="20.100000000000001" customHeight="1">
      <c r="B53" s="37"/>
      <c r="C53" s="51"/>
      <c r="D53" s="50"/>
      <c r="E53" s="317"/>
      <c r="F53" s="318"/>
      <c r="G53" s="318"/>
      <c r="H53" s="318"/>
      <c r="I53" s="318"/>
      <c r="J53" s="318"/>
      <c r="K53" s="318"/>
      <c r="L53" s="318"/>
      <c r="M53" s="318"/>
      <c r="N53" s="318"/>
      <c r="O53" s="318"/>
      <c r="P53" s="318"/>
      <c r="Q53" s="318"/>
      <c r="R53" s="318"/>
      <c r="S53" s="318"/>
      <c r="T53" s="318"/>
      <c r="U53" s="319"/>
      <c r="V53" s="28"/>
    </row>
    <row r="54" spans="2:22" ht="20.100000000000001" customHeight="1">
      <c r="B54" s="37"/>
      <c r="C54" s="51"/>
      <c r="D54" s="50"/>
      <c r="E54" s="317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9"/>
      <c r="V54" s="28"/>
    </row>
    <row r="55" spans="2:22" ht="20.100000000000001" customHeight="1">
      <c r="B55" s="37"/>
      <c r="C55" s="51"/>
      <c r="D55" s="50"/>
      <c r="E55" s="317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9"/>
      <c r="V55" s="28"/>
    </row>
    <row r="56" spans="2:22" ht="20.100000000000001" customHeight="1">
      <c r="B56" s="37"/>
      <c r="C56" s="51"/>
      <c r="D56" s="50"/>
      <c r="E56" s="317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9"/>
      <c r="V56" s="28"/>
    </row>
    <row r="57" spans="2:22" ht="20.100000000000001" customHeight="1">
      <c r="B57" s="37"/>
      <c r="C57" s="51"/>
      <c r="D57" s="50"/>
      <c r="E57" s="317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9"/>
      <c r="V57" s="28"/>
    </row>
    <row r="58" spans="2:22" ht="20.100000000000001" customHeight="1">
      <c r="B58" s="37"/>
      <c r="C58" s="51"/>
      <c r="D58" s="50"/>
      <c r="E58" s="317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9"/>
      <c r="V58" s="28"/>
    </row>
    <row r="59" spans="2:22" ht="20.100000000000001" customHeight="1">
      <c r="B59" s="37"/>
      <c r="C59" s="51"/>
      <c r="D59" s="50"/>
      <c r="E59" s="317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9"/>
      <c r="V59" s="28"/>
    </row>
    <row r="60" spans="2:22" ht="20.100000000000001" customHeight="1">
      <c r="B60" s="37"/>
      <c r="C60" s="51"/>
      <c r="D60" s="50"/>
      <c r="E60" s="317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9"/>
      <c r="V60" s="28"/>
    </row>
    <row r="61" spans="2:22" ht="20.100000000000001" customHeight="1">
      <c r="B61" s="37"/>
      <c r="C61" s="51"/>
      <c r="D61" s="50"/>
      <c r="E61" s="317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9"/>
      <c r="V61" s="28"/>
    </row>
    <row r="62" spans="2:22" ht="20.100000000000001" customHeight="1">
      <c r="B62" s="37"/>
      <c r="C62" s="51"/>
      <c r="D62" s="50"/>
      <c r="E62" s="317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9"/>
      <c r="V62" s="28"/>
    </row>
    <row r="63" spans="2:22" ht="20.100000000000001" customHeight="1">
      <c r="B63" s="37"/>
      <c r="C63" s="51"/>
      <c r="D63" s="50"/>
      <c r="E63" s="317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9"/>
      <c r="V63" s="28"/>
    </row>
    <row r="64" spans="2:22" ht="20.100000000000001" customHeight="1">
      <c r="B64" s="37"/>
      <c r="C64" s="51"/>
      <c r="D64" s="50"/>
      <c r="E64" s="317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9"/>
      <c r="V64" s="28"/>
    </row>
    <row r="65" spans="2:22" ht="20.100000000000001" customHeight="1">
      <c r="B65" s="37"/>
      <c r="C65" s="51"/>
      <c r="D65" s="50"/>
      <c r="E65" s="317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9"/>
      <c r="V65" s="28"/>
    </row>
    <row r="66" spans="2:22" ht="20.100000000000001" customHeight="1">
      <c r="B66" s="37"/>
      <c r="C66" s="51"/>
      <c r="D66" s="50"/>
      <c r="E66" s="317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9"/>
      <c r="V66" s="28"/>
    </row>
    <row r="67" spans="2:22" ht="20.100000000000001" customHeight="1">
      <c r="B67" s="37"/>
      <c r="C67" s="51"/>
      <c r="D67" s="50"/>
      <c r="E67" s="317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9"/>
      <c r="V67" s="28"/>
    </row>
    <row r="68" spans="2:22" ht="20.100000000000001" customHeight="1">
      <c r="B68" s="37"/>
      <c r="C68" s="51"/>
      <c r="D68" s="50"/>
      <c r="E68" s="317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9"/>
      <c r="V68" s="28"/>
    </row>
    <row r="69" spans="2:22" ht="20.100000000000001" customHeight="1">
      <c r="B69" s="37"/>
      <c r="C69" s="51"/>
      <c r="D69" s="50"/>
      <c r="E69" s="317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9"/>
      <c r="V69" s="28"/>
    </row>
    <row r="70" spans="2:22" ht="20.100000000000001" customHeight="1">
      <c r="B70" s="37"/>
      <c r="C70" s="51"/>
      <c r="D70" s="50"/>
      <c r="E70" s="317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9"/>
      <c r="V70" s="28"/>
    </row>
    <row r="71" spans="2:22" ht="20.100000000000001" customHeight="1">
      <c r="B71" s="37"/>
      <c r="C71" s="51"/>
      <c r="D71" s="50"/>
      <c r="E71" s="317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9"/>
      <c r="V71" s="28"/>
    </row>
    <row r="72" spans="2:22" ht="20.100000000000001" customHeight="1">
      <c r="B72" s="37"/>
      <c r="C72" s="51"/>
      <c r="D72" s="50"/>
      <c r="E72" s="317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9"/>
      <c r="V72" s="28"/>
    </row>
    <row r="73" spans="2:22" ht="20.100000000000001" customHeight="1">
      <c r="B73" s="37"/>
      <c r="C73" s="51"/>
      <c r="D73" s="50"/>
      <c r="E73" s="317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9"/>
      <c r="V73" s="28"/>
    </row>
    <row r="74" spans="2:22" ht="20.100000000000001" customHeight="1">
      <c r="B74" s="37"/>
      <c r="C74" s="51"/>
      <c r="D74" s="50"/>
      <c r="E74" s="317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9"/>
      <c r="V74" s="28"/>
    </row>
    <row r="75" spans="2:22" ht="20.100000000000001" customHeight="1">
      <c r="B75" s="37"/>
      <c r="C75" s="51"/>
      <c r="D75" s="50"/>
      <c r="E75" s="317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9"/>
      <c r="V75" s="28"/>
    </row>
    <row r="76" spans="2:22" ht="20.100000000000001" customHeight="1">
      <c r="B76" s="37"/>
      <c r="C76" s="51"/>
      <c r="D76" s="50"/>
      <c r="E76" s="317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9"/>
      <c r="V76" s="28"/>
    </row>
    <row r="77" spans="2:22" ht="20.100000000000001" customHeight="1">
      <c r="B77" s="37"/>
      <c r="C77" s="51"/>
      <c r="D77" s="50"/>
      <c r="E77" s="317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9"/>
      <c r="V77" s="28"/>
    </row>
    <row r="78" spans="2:22" ht="20.100000000000001" customHeight="1">
      <c r="B78" s="37"/>
      <c r="C78" s="51"/>
      <c r="D78" s="50"/>
      <c r="E78" s="317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9"/>
      <c r="V78" s="28"/>
    </row>
    <row r="79" spans="2:22" ht="20.100000000000001" customHeight="1">
      <c r="B79" s="37"/>
      <c r="C79" s="51"/>
      <c r="D79" s="50"/>
      <c r="E79" s="317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9"/>
      <c r="V79" s="28"/>
    </row>
    <row r="80" spans="2:22" ht="20.100000000000001" customHeight="1">
      <c r="B80" s="37"/>
      <c r="C80" s="51"/>
      <c r="D80" s="50"/>
      <c r="E80" s="317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9"/>
      <c r="V80" s="28"/>
    </row>
    <row r="81" spans="2:24" ht="20.100000000000001" customHeight="1">
      <c r="B81" s="37"/>
      <c r="C81" s="51"/>
      <c r="D81" s="50"/>
      <c r="E81" s="317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9"/>
      <c r="V81" s="28"/>
      <c r="W81" s="320"/>
      <c r="X81" s="320"/>
    </row>
    <row r="82" spans="2:24" ht="20.100000000000001" customHeight="1">
      <c r="B82" s="37"/>
      <c r="C82" s="51"/>
      <c r="D82" s="50"/>
      <c r="E82" s="317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9"/>
      <c r="V82" s="28"/>
      <c r="W82" s="320"/>
      <c r="X82" s="320"/>
    </row>
    <row r="83" spans="2:24" ht="20.100000000000001" customHeight="1">
      <c r="B83" s="37"/>
      <c r="C83" s="51"/>
      <c r="D83" s="50"/>
      <c r="E83" s="317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9"/>
      <c r="V83" s="28"/>
      <c r="W83" s="320"/>
      <c r="X83" s="320"/>
    </row>
    <row r="84" spans="2:24" ht="20.100000000000001" customHeight="1" thickBot="1">
      <c r="B84" s="38"/>
      <c r="C84" s="39"/>
      <c r="D84" s="40"/>
      <c r="E84" s="321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3"/>
      <c r="V84" s="28"/>
    </row>
    <row r="85" spans="2:24" ht="20.100000000000001" customHeight="1">
      <c r="V85" s="28"/>
    </row>
    <row r="86" spans="2:24" ht="20.100000000000001" customHeight="1">
      <c r="V86" s="28"/>
    </row>
    <row r="87" spans="2:24" ht="20.100000000000001" customHeight="1">
      <c r="V87" s="28"/>
    </row>
    <row r="88" spans="2:24" ht="20.100000000000001" customHeight="1">
      <c r="V88" s="28"/>
    </row>
    <row r="89" spans="2:24" ht="19.5" customHeight="1">
      <c r="V89" s="28"/>
    </row>
    <row r="90" spans="2:24" ht="20.100000000000001" customHeight="1">
      <c r="V90" s="28"/>
    </row>
    <row r="91" spans="2:24" ht="20.100000000000001" customHeight="1">
      <c r="V91" s="28"/>
    </row>
    <row r="92" spans="2:24" ht="20.100000000000001" customHeight="1">
      <c r="V92" s="28"/>
    </row>
    <row r="93" spans="2:24" ht="20.100000000000001" customHeight="1">
      <c r="V93" s="28"/>
    </row>
    <row r="94" spans="2:24" ht="20.100000000000001" customHeight="1">
      <c r="V94" s="28"/>
    </row>
    <row r="95" spans="2:24" ht="20.100000000000001" customHeight="1">
      <c r="V95" s="28"/>
    </row>
    <row r="96" spans="2:24" ht="20.100000000000001" customHeight="1">
      <c r="V96" s="28"/>
    </row>
    <row r="97" spans="22:22" ht="20.100000000000001" customHeight="1">
      <c r="V97" s="28"/>
    </row>
    <row r="98" spans="22:22" ht="20.100000000000001" customHeight="1">
      <c r="V98" s="28"/>
    </row>
    <row r="99" spans="22:22" ht="20.100000000000001" customHeight="1">
      <c r="V99" s="28"/>
    </row>
    <row r="100" spans="22:22" ht="20.100000000000001" customHeight="1">
      <c r="V100" s="28"/>
    </row>
    <row r="101" spans="22:22" ht="20.100000000000001" customHeight="1">
      <c r="V101" s="28"/>
    </row>
    <row r="102" spans="22:22" ht="20.100000000000001" customHeight="1">
      <c r="V102" s="28"/>
    </row>
    <row r="103" spans="22:22" ht="20.100000000000001" customHeight="1">
      <c r="V103" s="28"/>
    </row>
    <row r="104" spans="22:22" ht="20.100000000000001" customHeight="1">
      <c r="V104" s="28"/>
    </row>
    <row r="105" spans="22:22" ht="20.100000000000001" customHeight="1">
      <c r="V105" s="28"/>
    </row>
    <row r="106" spans="22:22" ht="20.100000000000001" customHeight="1">
      <c r="V106" s="28"/>
    </row>
    <row r="107" spans="22:22" ht="20.100000000000001" customHeight="1">
      <c r="V107" s="28"/>
    </row>
    <row r="108" spans="22:22" ht="20.100000000000001" customHeight="1">
      <c r="V108" s="28"/>
    </row>
    <row r="109" spans="22:22" ht="20.100000000000001" customHeight="1">
      <c r="V109" s="28"/>
    </row>
    <row r="110" spans="22:22" ht="20.100000000000001" customHeight="1">
      <c r="V110" s="28"/>
    </row>
    <row r="111" spans="22:22" ht="20.100000000000001" customHeight="1">
      <c r="V111" s="28"/>
    </row>
    <row r="112" spans="22:22" ht="20.100000000000001" customHeight="1">
      <c r="V112" s="28"/>
    </row>
    <row r="113" spans="22:22" ht="20.100000000000001" customHeight="1">
      <c r="V113" s="28"/>
    </row>
    <row r="114" spans="22:22" ht="20.100000000000001" customHeight="1">
      <c r="V114" s="28"/>
    </row>
    <row r="115" spans="22:22" ht="20.100000000000001" customHeight="1">
      <c r="V115" s="28"/>
    </row>
    <row r="116" spans="22:22" ht="20.100000000000001" customHeight="1">
      <c r="V116" s="28"/>
    </row>
    <row r="117" spans="22:22" ht="20.100000000000001" customHeight="1">
      <c r="V117" s="28"/>
    </row>
    <row r="118" spans="22:22" ht="20.100000000000001" customHeight="1">
      <c r="V118" s="28"/>
    </row>
    <row r="119" spans="22:22" ht="20.100000000000001" customHeight="1">
      <c r="V119" s="28"/>
    </row>
    <row r="120" spans="22:22" ht="20.100000000000001" customHeight="1">
      <c r="V120" s="28"/>
    </row>
    <row r="121" spans="22:22" ht="20.100000000000001" customHeight="1">
      <c r="V121" s="28"/>
    </row>
    <row r="122" spans="22:22" ht="20.100000000000001" customHeight="1">
      <c r="V122" s="28"/>
    </row>
    <row r="123" spans="22:22" ht="20.100000000000001" customHeight="1">
      <c r="V123" s="28"/>
    </row>
    <row r="124" spans="22:22" ht="20.100000000000001" customHeight="1">
      <c r="V124" s="28"/>
    </row>
    <row r="125" spans="22:22" ht="20.100000000000001" customHeight="1">
      <c r="V125" s="28"/>
    </row>
    <row r="126" spans="22:22" ht="20.100000000000001" customHeight="1">
      <c r="V126" s="28"/>
    </row>
    <row r="127" spans="22:22" ht="20.100000000000001" customHeight="1">
      <c r="V127" s="28"/>
    </row>
    <row r="128" spans="22:22" ht="20.100000000000001" customHeight="1">
      <c r="V128" s="28"/>
    </row>
    <row r="129" spans="22:22" ht="20.100000000000001" customHeight="1">
      <c r="V129" s="28"/>
    </row>
    <row r="130" spans="22:22" ht="20.100000000000001" customHeight="1">
      <c r="V130" s="28"/>
    </row>
    <row r="131" spans="22:22" ht="20.100000000000001" customHeight="1">
      <c r="V131" s="28"/>
    </row>
    <row r="132" spans="22:22" ht="20.100000000000001" customHeight="1">
      <c r="V132" s="28"/>
    </row>
    <row r="133" spans="22:22" ht="20.100000000000001" customHeight="1">
      <c r="V133" s="28"/>
    </row>
    <row r="134" spans="22:22" ht="20.100000000000001" customHeight="1">
      <c r="V134" s="28"/>
    </row>
    <row r="135" spans="22:22" ht="20.100000000000001" customHeight="1">
      <c r="V135" s="28"/>
    </row>
    <row r="136" spans="22:22" ht="20.100000000000001" customHeight="1">
      <c r="V136" s="28"/>
    </row>
    <row r="137" spans="22:22" ht="20.100000000000001" customHeight="1">
      <c r="V137" s="28"/>
    </row>
    <row r="138" spans="22:22" ht="20.100000000000001" customHeight="1">
      <c r="V138" s="28"/>
    </row>
    <row r="139" spans="22:22" ht="20.100000000000001" customHeight="1">
      <c r="V139" s="28"/>
    </row>
    <row r="140" spans="22:22" ht="20.100000000000001" customHeight="1">
      <c r="V140" s="28"/>
    </row>
    <row r="141" spans="22:22" ht="20.100000000000001" customHeight="1">
      <c r="V141" s="28"/>
    </row>
    <row r="142" spans="22:22" ht="20.100000000000001" customHeight="1">
      <c r="V142" s="28"/>
    </row>
    <row r="143" spans="22:22" ht="20.100000000000001" customHeight="1">
      <c r="V143" s="28"/>
    </row>
    <row r="144" spans="22:22" ht="20.100000000000001" customHeight="1">
      <c r="V144" s="28"/>
    </row>
    <row r="145" spans="22:22" ht="20.100000000000001" customHeight="1">
      <c r="V145" s="28"/>
    </row>
    <row r="146" spans="22:22" ht="20.100000000000001" customHeight="1">
      <c r="V146" s="28"/>
    </row>
    <row r="147" spans="22:22" ht="20.100000000000001" customHeight="1">
      <c r="V147" s="28"/>
    </row>
    <row r="148" spans="22:22" ht="20.100000000000001" customHeight="1">
      <c r="V148" s="28"/>
    </row>
    <row r="149" spans="22:22" ht="20.100000000000001" customHeight="1">
      <c r="V149" s="28"/>
    </row>
    <row r="150" spans="22:22" ht="20.100000000000001" customHeight="1">
      <c r="V150" s="28"/>
    </row>
    <row r="151" spans="22:22" ht="20.100000000000001" customHeight="1">
      <c r="V151" s="28"/>
    </row>
    <row r="152" spans="22:22" ht="20.100000000000001" customHeight="1">
      <c r="V152" s="28"/>
    </row>
    <row r="153" spans="22:22" ht="20.100000000000001" customHeight="1">
      <c r="V153" s="28"/>
    </row>
    <row r="154" spans="22:22" ht="20.100000000000001" customHeight="1">
      <c r="V154" s="28"/>
    </row>
    <row r="155" spans="22:22" ht="20.100000000000001" customHeight="1">
      <c r="V155" s="28"/>
    </row>
    <row r="156" spans="22:22" ht="20.100000000000001" customHeight="1">
      <c r="V156" s="28"/>
    </row>
    <row r="157" spans="22:22" ht="20.100000000000001" customHeight="1">
      <c r="V157" s="28"/>
    </row>
    <row r="158" spans="22:22" ht="20.100000000000001" customHeight="1">
      <c r="V158" s="28"/>
    </row>
    <row r="159" spans="22:22" ht="20.100000000000001" customHeight="1">
      <c r="V159" s="28"/>
    </row>
    <row r="160" spans="22:22" ht="20.100000000000001" customHeight="1">
      <c r="V160" s="28"/>
    </row>
    <row r="161" spans="22:22" ht="20.100000000000001" customHeight="1">
      <c r="V161" s="28"/>
    </row>
    <row r="162" spans="22:22" ht="20.100000000000001" customHeight="1">
      <c r="V162" s="28"/>
    </row>
    <row r="163" spans="22:22" ht="20.100000000000001" customHeight="1">
      <c r="V163" s="28"/>
    </row>
    <row r="164" spans="22:22" ht="20.100000000000001" customHeight="1">
      <c r="V164" s="28"/>
    </row>
    <row r="165" spans="22:22" ht="20.100000000000001" customHeight="1">
      <c r="V165" s="28"/>
    </row>
    <row r="166" spans="22:22" ht="20.100000000000001" customHeight="1">
      <c r="V166" s="28"/>
    </row>
    <row r="167" spans="22:22" ht="20.100000000000001" customHeight="1">
      <c r="V167" s="28"/>
    </row>
    <row r="168" spans="22:22" ht="20.100000000000001" customHeight="1">
      <c r="V168" s="28"/>
    </row>
    <row r="169" spans="22:22" ht="20.100000000000001" customHeight="1">
      <c r="V169" s="28"/>
    </row>
    <row r="170" spans="22:22" ht="20.100000000000001" customHeight="1">
      <c r="V170" s="28"/>
    </row>
    <row r="171" spans="22:22" ht="20.100000000000001" customHeight="1">
      <c r="V171" s="28"/>
    </row>
    <row r="172" spans="22:22" ht="20.100000000000001" customHeight="1">
      <c r="V172" s="28"/>
    </row>
    <row r="173" spans="22:22" ht="20.100000000000001" customHeight="1">
      <c r="V173" s="28"/>
    </row>
    <row r="174" spans="22:22" ht="20.100000000000001" customHeight="1">
      <c r="V174" s="28"/>
    </row>
    <row r="175" spans="22:22" ht="20.100000000000001" customHeight="1">
      <c r="V175" s="28"/>
    </row>
    <row r="176" spans="22:22" ht="20.100000000000001" customHeight="1">
      <c r="V176" s="28"/>
    </row>
    <row r="177" spans="22:22" ht="20.100000000000001" customHeight="1">
      <c r="V177" s="28"/>
    </row>
    <row r="178" spans="22:22" ht="20.100000000000001" customHeight="1">
      <c r="V178" s="28"/>
    </row>
    <row r="179" spans="22:22" ht="20.100000000000001" customHeight="1">
      <c r="V179" s="28"/>
    </row>
    <row r="180" spans="22:22" ht="20.100000000000001" customHeight="1">
      <c r="V180" s="28"/>
    </row>
    <row r="181" spans="22:22" ht="20.100000000000001" customHeight="1">
      <c r="V181" s="28"/>
    </row>
    <row r="182" spans="22:22" ht="20.100000000000001" customHeight="1">
      <c r="V182" s="28"/>
    </row>
    <row r="183" spans="22:22" ht="20.100000000000001" customHeight="1">
      <c r="V183" s="28"/>
    </row>
    <row r="184" spans="22:22" ht="20.100000000000001" customHeight="1">
      <c r="V184" s="28"/>
    </row>
    <row r="185" spans="22:22" ht="20.100000000000001" customHeight="1">
      <c r="V185" s="28"/>
    </row>
    <row r="186" spans="22:22" ht="20.100000000000001" customHeight="1">
      <c r="V186" s="28"/>
    </row>
    <row r="187" spans="22:22" ht="20.100000000000001" customHeight="1">
      <c r="V187" s="28"/>
    </row>
    <row r="188" spans="22:22" ht="20.100000000000001" customHeight="1">
      <c r="V188" s="28"/>
    </row>
    <row r="189" spans="22:22" ht="20.100000000000001" customHeight="1">
      <c r="V189" s="28"/>
    </row>
    <row r="190" spans="22:22" ht="20.100000000000001" customHeight="1">
      <c r="V190" s="28"/>
    </row>
    <row r="191" spans="22:22" ht="20.100000000000001" customHeight="1">
      <c r="V191" s="28"/>
    </row>
    <row r="192" spans="22:22" ht="20.100000000000001" customHeight="1">
      <c r="V192" s="28"/>
    </row>
    <row r="193" spans="22:22" ht="20.100000000000001" customHeight="1">
      <c r="V193" s="28"/>
    </row>
    <row r="194" spans="22:22" ht="20.100000000000001" customHeight="1">
      <c r="V194" s="28"/>
    </row>
    <row r="195" spans="22:22" ht="20.100000000000001" customHeight="1">
      <c r="V195" s="28"/>
    </row>
    <row r="196" spans="22:22" ht="20.100000000000001" customHeight="1">
      <c r="V196" s="28"/>
    </row>
    <row r="197" spans="22:22" ht="20.100000000000001" customHeight="1">
      <c r="V197" s="28"/>
    </row>
    <row r="198" spans="22:22" ht="20.100000000000001" customHeight="1">
      <c r="V198" s="28"/>
    </row>
    <row r="199" spans="22:22" ht="20.100000000000001" customHeight="1">
      <c r="V199" s="28"/>
    </row>
    <row r="200" spans="22:22" ht="20.100000000000001" customHeight="1">
      <c r="V200" s="28"/>
    </row>
    <row r="201" spans="22:22" ht="20.100000000000001" customHeight="1">
      <c r="V201" s="28"/>
    </row>
    <row r="202" spans="22:22" ht="20.100000000000001" customHeight="1">
      <c r="V202" s="28"/>
    </row>
    <row r="203" spans="22:22" ht="20.100000000000001" customHeight="1">
      <c r="V203" s="28"/>
    </row>
    <row r="204" spans="22:22" ht="20.100000000000001" customHeight="1">
      <c r="V204" s="28"/>
    </row>
    <row r="205" spans="22:22" ht="20.100000000000001" customHeight="1">
      <c r="V205" s="28"/>
    </row>
    <row r="206" spans="22:22" ht="20.100000000000001" customHeight="1">
      <c r="V206" s="28"/>
    </row>
    <row r="207" spans="22:22" ht="20.100000000000001" customHeight="1">
      <c r="V207" s="28"/>
    </row>
    <row r="208" spans="22:22" ht="20.100000000000001" customHeight="1">
      <c r="V208" s="28"/>
    </row>
    <row r="209" spans="22:22" ht="20.100000000000001" customHeight="1">
      <c r="V209" s="28"/>
    </row>
    <row r="210" spans="22:22" ht="20.100000000000001" customHeight="1">
      <c r="V210" s="28"/>
    </row>
    <row r="211" spans="22:22" ht="20.100000000000001" customHeight="1">
      <c r="V211" s="28"/>
    </row>
    <row r="212" spans="22:22" ht="20.100000000000001" customHeight="1">
      <c r="V212" s="28"/>
    </row>
    <row r="213" spans="22:22" ht="20.100000000000001" customHeight="1">
      <c r="V213" s="28"/>
    </row>
    <row r="214" spans="22:22" ht="20.100000000000001" customHeight="1">
      <c r="V214" s="28"/>
    </row>
    <row r="215" spans="22:22" ht="20.100000000000001" customHeight="1">
      <c r="V215" s="28"/>
    </row>
    <row r="216" spans="22:22" ht="20.100000000000001" customHeight="1">
      <c r="V216" s="28"/>
    </row>
    <row r="217" spans="22:22" ht="20.100000000000001" customHeight="1">
      <c r="V217" s="28"/>
    </row>
    <row r="218" spans="22:22" ht="20.100000000000001" customHeight="1">
      <c r="V218" s="28"/>
    </row>
    <row r="219" spans="22:22" ht="20.100000000000001" customHeight="1">
      <c r="V219" s="28"/>
    </row>
    <row r="220" spans="22:22" ht="20.100000000000001" customHeight="1">
      <c r="V220" s="28"/>
    </row>
    <row r="221" spans="22:22" ht="20.100000000000001" customHeight="1">
      <c r="V221" s="28"/>
    </row>
    <row r="222" spans="22:22" ht="20.100000000000001" customHeight="1">
      <c r="V222" s="28"/>
    </row>
    <row r="223" spans="22:22" ht="20.100000000000001" customHeight="1">
      <c r="V223" s="28"/>
    </row>
    <row r="224" spans="22:22" ht="20.100000000000001" customHeight="1">
      <c r="V224" s="28"/>
    </row>
    <row r="225" spans="22:22" ht="20.100000000000001" customHeight="1">
      <c r="V225" s="28"/>
    </row>
    <row r="226" spans="22:22" ht="20.100000000000001" customHeight="1">
      <c r="V226" s="28"/>
    </row>
    <row r="227" spans="22:22" ht="20.100000000000001" customHeight="1">
      <c r="V227" s="28"/>
    </row>
    <row r="228" spans="22:22" ht="20.100000000000001" customHeight="1">
      <c r="V228" s="28"/>
    </row>
    <row r="229" spans="22:22" ht="20.100000000000001" customHeight="1">
      <c r="V229" s="28"/>
    </row>
    <row r="230" spans="22:22" ht="20.100000000000001" customHeight="1">
      <c r="V230" s="28"/>
    </row>
    <row r="231" spans="22:22" ht="20.100000000000001" customHeight="1">
      <c r="V231" s="28"/>
    </row>
  </sheetData>
  <customSheetViews>
    <customSheetView guid="{809E84AF-EE5E-4456-99E6-0390B35F6AD9}" scale="80" showGridLines="0" hiddenColumns="1">
      <pane ySplit="5" topLeftCell="A27" activePane="bottomLeft" state="frozen"/>
      <selection pane="bottomLeft" activeCell="E30" sqref="E30:U30"/>
      <pageMargins left="0.39370078740157483" right="0.39370078740157483" top="0.22" bottom="0.39370078740157483" header="0.2" footer="0.31496062992125984"/>
      <printOptions verticalCentered="1"/>
      <pageSetup paperSize="9" scale="96" orientation="landscape" verticalDpi="360" r:id="rId1"/>
      <headerFooter alignWithMargins="0"/>
    </customSheetView>
  </customSheetViews>
  <mergeCells count="92">
    <mergeCell ref="T2:U2"/>
    <mergeCell ref="H3:O3"/>
    <mergeCell ref="Q3:R3"/>
    <mergeCell ref="T3:U3"/>
    <mergeCell ref="B2:E3"/>
    <mergeCell ref="F2:G2"/>
    <mergeCell ref="F3:G3"/>
    <mergeCell ref="H2:O2"/>
    <mergeCell ref="Q2:R2"/>
    <mergeCell ref="E6:U6"/>
    <mergeCell ref="E5:U5"/>
    <mergeCell ref="E10:U10"/>
    <mergeCell ref="E11:U11"/>
    <mergeCell ref="E12:U12"/>
    <mergeCell ref="E13:U13"/>
    <mergeCell ref="E14:U14"/>
    <mergeCell ref="E7:U7"/>
    <mergeCell ref="E8:U8"/>
    <mergeCell ref="E9:U9"/>
    <mergeCell ref="E20:U20"/>
    <mergeCell ref="E21:U21"/>
    <mergeCell ref="E22:U22"/>
    <mergeCell ref="E23:U23"/>
    <mergeCell ref="E24:U24"/>
    <mergeCell ref="E15:U15"/>
    <mergeCell ref="E16:U16"/>
    <mergeCell ref="E17:U17"/>
    <mergeCell ref="E18:U18"/>
    <mergeCell ref="E19:U19"/>
    <mergeCell ref="E30:U30"/>
    <mergeCell ref="E31:U31"/>
    <mergeCell ref="E32:U32"/>
    <mergeCell ref="E33:U33"/>
    <mergeCell ref="E34:U34"/>
    <mergeCell ref="E25:U25"/>
    <mergeCell ref="E26:U26"/>
    <mergeCell ref="E27:U27"/>
    <mergeCell ref="E28:U28"/>
    <mergeCell ref="E29:U29"/>
    <mergeCell ref="E40:U40"/>
    <mergeCell ref="E41:U41"/>
    <mergeCell ref="E42:U42"/>
    <mergeCell ref="E43:U43"/>
    <mergeCell ref="E44:U44"/>
    <mergeCell ref="E35:U35"/>
    <mergeCell ref="E36:U36"/>
    <mergeCell ref="E37:U37"/>
    <mergeCell ref="E38:U38"/>
    <mergeCell ref="E39:U39"/>
    <mergeCell ref="E50:U50"/>
    <mergeCell ref="E51:U51"/>
    <mergeCell ref="E52:U52"/>
    <mergeCell ref="E53:U53"/>
    <mergeCell ref="E54:U54"/>
    <mergeCell ref="E45:U45"/>
    <mergeCell ref="E46:U46"/>
    <mergeCell ref="E47:U47"/>
    <mergeCell ref="E48:U48"/>
    <mergeCell ref="E49:U49"/>
    <mergeCell ref="E84:U84"/>
    <mergeCell ref="E75:U75"/>
    <mergeCell ref="E76:U76"/>
    <mergeCell ref="E77:U77"/>
    <mergeCell ref="E78:U78"/>
    <mergeCell ref="E79:U79"/>
    <mergeCell ref="E70:U70"/>
    <mergeCell ref="E71:U71"/>
    <mergeCell ref="E72:U72"/>
    <mergeCell ref="E73:U73"/>
    <mergeCell ref="E74:U74"/>
    <mergeCell ref="W81:X81"/>
    <mergeCell ref="W82:X82"/>
    <mergeCell ref="W83:X83"/>
    <mergeCell ref="E80:U80"/>
    <mergeCell ref="E81:U81"/>
    <mergeCell ref="E82:U82"/>
    <mergeCell ref="E83:U83"/>
    <mergeCell ref="E65:U65"/>
    <mergeCell ref="E66:U66"/>
    <mergeCell ref="E67:U67"/>
    <mergeCell ref="E68:U68"/>
    <mergeCell ref="E69:U69"/>
    <mergeCell ref="E60:U60"/>
    <mergeCell ref="E61:U61"/>
    <mergeCell ref="E62:U62"/>
    <mergeCell ref="E63:U63"/>
    <mergeCell ref="E64:U64"/>
    <mergeCell ref="E55:U55"/>
    <mergeCell ref="E56:U56"/>
    <mergeCell ref="E57:U57"/>
    <mergeCell ref="E58:U58"/>
    <mergeCell ref="E59:U59"/>
  </mergeCells>
  <phoneticPr fontId="13"/>
  <dataValidations count="1">
    <dataValidation imeMode="off" allowBlank="1" showInputMessage="1" showErrorMessage="1" sqref="B6:C6"/>
  </dataValidations>
  <pageMargins left="0.39370078740157477" right="0.39370078740157477" top="0.59055118110236215" bottom="0.59055118110236215" header="0.31496062992125989" footer="0.27559055118110232"/>
  <pageSetup paperSize="9" scale="63" fitToHeight="0" orientation="landscape" verticalDpi="360" r:id="rId2"/>
  <headerFooter alignWithMargins="0">
    <oddFooter>&amp;R&amp;"Arial,標準"&amp;8Sharp Business Solutions Corporation&amp;C&amp;P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>
    <pageSetUpPr fitToPage="1"/>
  </sheetPr>
  <dimension ref="A1:I105"/>
  <sheetViews>
    <sheetView showGridLines="0" zoomScaleNormal="100" workbookViewId="0">
      <pane ySplit="4" topLeftCell="A5" activePane="bottomLeft" state="frozen"/>
      <selection activeCell="D7" sqref="D7"/>
      <selection pane="bottomLeft"/>
    </sheetView>
  </sheetViews>
  <sheetFormatPr defaultRowHeight="16.5"/>
  <cols>
    <col min="1" max="1" width="3.42578125" style="28" customWidth="1"/>
    <col min="2" max="2" width="5.7109375" style="28" customWidth="1"/>
    <col min="3" max="3" width="49.42578125" style="28" customWidth="1"/>
    <col min="4" max="4" width="39.140625" style="28" customWidth="1"/>
    <col min="5" max="5" width="40.7109375" style="28" customWidth="1"/>
    <col min="6" max="6" width="13.42578125" style="28" customWidth="1"/>
    <col min="7" max="7" width="19.28515625" style="28" customWidth="1"/>
    <col min="8" max="9" width="13.42578125" style="28" customWidth="1"/>
    <col min="10" max="16384" width="9.140625" style="28"/>
  </cols>
  <sheetData>
    <row r="1" spans="1:9" ht="12" customHeight="1" thickBot="1">
      <c r="A1" s="33"/>
    </row>
    <row r="2" spans="1:9" ht="15" customHeight="1">
      <c r="B2" s="313" t="s">
        <v>210</v>
      </c>
      <c r="C2" s="314"/>
      <c r="D2" s="188" t="s">
        <v>2</v>
      </c>
      <c r="E2" s="186" t="str">
        <f>ProjectName</f>
        <v>○△□プロジェクト</v>
      </c>
      <c r="F2" s="112" t="s">
        <v>3</v>
      </c>
      <c r="G2" s="185" t="str">
        <f>CreateBy</f>
        <v>○○　✕✕</v>
      </c>
      <c r="H2" s="112" t="s">
        <v>4</v>
      </c>
      <c r="I2" s="196">
        <f>CreateAt</f>
        <v>44287</v>
      </c>
    </row>
    <row r="3" spans="1:9" ht="15" customHeight="1" thickBot="1">
      <c r="B3" s="315"/>
      <c r="C3" s="316"/>
      <c r="D3" s="191" t="s">
        <v>5</v>
      </c>
      <c r="E3" s="187" t="str">
        <f>systemName</f>
        <v>○✕システム</v>
      </c>
      <c r="F3" s="113" t="s">
        <v>6</v>
      </c>
      <c r="G3" s="184"/>
      <c r="H3" s="113" t="s">
        <v>7</v>
      </c>
      <c r="I3" s="197"/>
    </row>
    <row r="4" spans="1:9" ht="5.25" customHeight="1" thickBot="1"/>
    <row r="5" spans="1:9" ht="20.100000000000001" customHeight="1">
      <c r="B5" s="206"/>
      <c r="C5" s="207"/>
      <c r="D5" s="207"/>
      <c r="E5" s="207"/>
      <c r="F5" s="207"/>
      <c r="G5" s="207"/>
      <c r="H5" s="207"/>
      <c r="I5" s="208"/>
    </row>
    <row r="6" spans="1:9" s="32" customFormat="1" ht="20.100000000000001" customHeight="1">
      <c r="B6" s="209"/>
      <c r="C6" s="210"/>
      <c r="D6" s="210"/>
      <c r="E6" s="210"/>
      <c r="F6" s="210"/>
      <c r="G6" s="210"/>
      <c r="H6" s="210"/>
      <c r="I6" s="211"/>
    </row>
    <row r="7" spans="1:9" s="32" customFormat="1" ht="20.100000000000001" customHeight="1">
      <c r="B7" s="209"/>
      <c r="C7" s="210"/>
      <c r="D7" s="210"/>
      <c r="E7" s="210"/>
      <c r="F7" s="210"/>
      <c r="G7" s="210"/>
      <c r="H7" s="210"/>
      <c r="I7" s="211"/>
    </row>
    <row r="8" spans="1:9" s="32" customFormat="1" ht="20.100000000000001" customHeight="1">
      <c r="B8" s="209"/>
      <c r="C8" s="210"/>
      <c r="D8" s="210"/>
      <c r="E8" s="210"/>
      <c r="F8" s="210"/>
      <c r="G8" s="210"/>
      <c r="H8" s="210"/>
      <c r="I8" s="211"/>
    </row>
    <row r="9" spans="1:9" s="32" customFormat="1" ht="20.100000000000001" customHeight="1">
      <c r="B9" s="209"/>
      <c r="C9" s="210"/>
      <c r="D9" s="210"/>
      <c r="E9" s="210"/>
      <c r="F9" s="210"/>
      <c r="G9" s="210"/>
      <c r="H9" s="210"/>
      <c r="I9" s="211"/>
    </row>
    <row r="10" spans="1:9" s="32" customFormat="1" ht="20.100000000000001" customHeight="1">
      <c r="B10" s="209"/>
      <c r="C10" s="210"/>
      <c r="D10" s="210"/>
      <c r="E10" s="210"/>
      <c r="F10" s="210"/>
      <c r="G10" s="210"/>
      <c r="H10" s="210"/>
      <c r="I10" s="211"/>
    </row>
    <row r="11" spans="1:9" s="32" customFormat="1" ht="20.100000000000001" customHeight="1">
      <c r="B11" s="209"/>
      <c r="C11" s="210"/>
      <c r="D11" s="210"/>
      <c r="E11" s="210"/>
      <c r="F11" s="210"/>
      <c r="G11" s="210"/>
      <c r="H11" s="210"/>
      <c r="I11" s="211"/>
    </row>
    <row r="12" spans="1:9" s="32" customFormat="1" ht="20.100000000000001" customHeight="1">
      <c r="B12" s="209"/>
      <c r="C12" s="210"/>
      <c r="D12" s="210"/>
      <c r="E12" s="210"/>
      <c r="F12" s="210"/>
      <c r="G12" s="210"/>
      <c r="H12" s="210"/>
      <c r="I12" s="211"/>
    </row>
    <row r="13" spans="1:9" s="32" customFormat="1" ht="20.100000000000001" customHeight="1">
      <c r="B13" s="209"/>
      <c r="C13" s="210"/>
      <c r="D13" s="210"/>
      <c r="E13" s="210"/>
      <c r="F13" s="210"/>
      <c r="G13" s="210"/>
      <c r="H13" s="210"/>
      <c r="I13" s="211"/>
    </row>
    <row r="14" spans="1:9" s="32" customFormat="1" ht="20.100000000000001" customHeight="1">
      <c r="B14" s="209"/>
      <c r="C14" s="210"/>
      <c r="D14" s="210"/>
      <c r="E14" s="210"/>
      <c r="F14" s="210"/>
      <c r="G14" s="210"/>
      <c r="H14" s="210"/>
      <c r="I14" s="211"/>
    </row>
    <row r="15" spans="1:9" s="32" customFormat="1" ht="20.100000000000001" customHeight="1">
      <c r="B15" s="209"/>
      <c r="C15" s="210"/>
      <c r="D15" s="210"/>
      <c r="E15" s="210"/>
      <c r="F15" s="210"/>
      <c r="G15" s="210"/>
      <c r="H15" s="210"/>
      <c r="I15" s="211"/>
    </row>
    <row r="16" spans="1:9" s="32" customFormat="1" ht="20.100000000000001" customHeight="1">
      <c r="B16" s="209"/>
      <c r="C16" s="210"/>
      <c r="D16" s="210"/>
      <c r="E16" s="210"/>
      <c r="F16" s="210"/>
      <c r="G16" s="210"/>
      <c r="H16" s="210"/>
      <c r="I16" s="211"/>
    </row>
    <row r="17" spans="2:9" s="32" customFormat="1" ht="20.100000000000001" customHeight="1">
      <c r="B17" s="209"/>
      <c r="C17" s="210"/>
      <c r="D17" s="210"/>
      <c r="E17" s="210"/>
      <c r="F17" s="210"/>
      <c r="G17" s="210"/>
      <c r="H17" s="210"/>
      <c r="I17" s="211"/>
    </row>
    <row r="18" spans="2:9" s="32" customFormat="1" ht="20.100000000000001" customHeight="1">
      <c r="B18" s="209"/>
      <c r="C18" s="210"/>
      <c r="D18" s="210"/>
      <c r="E18" s="210"/>
      <c r="F18" s="210"/>
      <c r="G18" s="210"/>
      <c r="H18" s="210"/>
      <c r="I18" s="211"/>
    </row>
    <row r="19" spans="2:9" s="32" customFormat="1" ht="20.100000000000001" customHeight="1">
      <c r="B19" s="209"/>
      <c r="C19" s="210"/>
      <c r="D19" s="210"/>
      <c r="E19" s="210"/>
      <c r="F19" s="210"/>
      <c r="G19" s="210"/>
      <c r="H19" s="210"/>
      <c r="I19" s="211"/>
    </row>
    <row r="20" spans="2:9" s="32" customFormat="1" ht="20.100000000000001" customHeight="1">
      <c r="B20" s="209"/>
      <c r="C20" s="210"/>
      <c r="D20" s="210"/>
      <c r="E20" s="210"/>
      <c r="F20" s="210"/>
      <c r="G20" s="210"/>
      <c r="H20" s="210"/>
      <c r="I20" s="211"/>
    </row>
    <row r="21" spans="2:9" s="32" customFormat="1" ht="20.100000000000001" customHeight="1">
      <c r="B21" s="209"/>
      <c r="C21" s="210"/>
      <c r="D21" s="210"/>
      <c r="E21" s="210"/>
      <c r="F21" s="210"/>
      <c r="G21" s="210"/>
      <c r="H21" s="210"/>
      <c r="I21" s="211"/>
    </row>
    <row r="22" spans="2:9" s="32" customFormat="1" ht="20.100000000000001" customHeight="1">
      <c r="B22" s="209"/>
      <c r="C22" s="210"/>
      <c r="D22" s="210"/>
      <c r="E22" s="210"/>
      <c r="F22" s="210"/>
      <c r="G22" s="210"/>
      <c r="H22" s="210"/>
      <c r="I22" s="211"/>
    </row>
    <row r="23" spans="2:9" s="32" customFormat="1" ht="20.100000000000001" customHeight="1">
      <c r="B23" s="209"/>
      <c r="C23" s="210"/>
      <c r="D23" s="210"/>
      <c r="E23" s="210"/>
      <c r="F23" s="210"/>
      <c r="G23" s="210"/>
      <c r="H23" s="210"/>
      <c r="I23" s="211"/>
    </row>
    <row r="24" spans="2:9" s="32" customFormat="1" ht="20.100000000000001" customHeight="1">
      <c r="B24" s="209"/>
      <c r="C24" s="210"/>
      <c r="D24" s="210"/>
      <c r="E24" s="210"/>
      <c r="F24" s="210"/>
      <c r="G24" s="210"/>
      <c r="H24" s="210"/>
      <c r="I24" s="211"/>
    </row>
    <row r="25" spans="2:9" s="32" customFormat="1" ht="20.100000000000001" customHeight="1">
      <c r="B25" s="209"/>
      <c r="C25" s="210"/>
      <c r="D25" s="210"/>
      <c r="E25" s="210"/>
      <c r="F25" s="210"/>
      <c r="G25" s="210"/>
      <c r="H25" s="210"/>
      <c r="I25" s="211"/>
    </row>
    <row r="26" spans="2:9" s="32" customFormat="1" ht="20.100000000000001" customHeight="1">
      <c r="B26" s="209"/>
      <c r="C26" s="210"/>
      <c r="D26" s="210"/>
      <c r="E26" s="210"/>
      <c r="F26" s="210"/>
      <c r="G26" s="210"/>
      <c r="H26" s="210"/>
      <c r="I26" s="211"/>
    </row>
    <row r="27" spans="2:9" s="32" customFormat="1" ht="20.100000000000001" customHeight="1">
      <c r="B27" s="209"/>
      <c r="C27" s="210"/>
      <c r="D27" s="210"/>
      <c r="E27" s="210"/>
      <c r="F27" s="210"/>
      <c r="G27" s="210"/>
      <c r="H27" s="210"/>
      <c r="I27" s="211"/>
    </row>
    <row r="28" spans="2:9" s="32" customFormat="1" ht="20.100000000000001" customHeight="1">
      <c r="B28" s="209"/>
      <c r="C28" s="210"/>
      <c r="D28" s="210"/>
      <c r="E28" s="210"/>
      <c r="F28" s="210"/>
      <c r="G28" s="210"/>
      <c r="H28" s="210"/>
      <c r="I28" s="211"/>
    </row>
    <row r="29" spans="2:9" s="32" customFormat="1" ht="20.100000000000001" customHeight="1">
      <c r="B29" s="209"/>
      <c r="C29" s="210"/>
      <c r="D29" s="210"/>
      <c r="E29" s="210"/>
      <c r="F29" s="210"/>
      <c r="G29" s="210"/>
      <c r="H29" s="210"/>
      <c r="I29" s="211"/>
    </row>
    <row r="30" spans="2:9" s="32" customFormat="1" ht="20.100000000000001" customHeight="1">
      <c r="B30" s="209"/>
      <c r="C30" s="210"/>
      <c r="D30" s="210"/>
      <c r="E30" s="210"/>
      <c r="F30" s="210"/>
      <c r="G30" s="210"/>
      <c r="H30" s="210"/>
      <c r="I30" s="211"/>
    </row>
    <row r="31" spans="2:9" s="32" customFormat="1" ht="20.100000000000001" customHeight="1">
      <c r="B31" s="209"/>
      <c r="C31" s="210"/>
      <c r="D31" s="210"/>
      <c r="E31" s="210"/>
      <c r="F31" s="210"/>
      <c r="G31" s="210"/>
      <c r="H31" s="210"/>
      <c r="I31" s="211"/>
    </row>
    <row r="32" spans="2:9" s="32" customFormat="1" ht="20.100000000000001" customHeight="1">
      <c r="B32" s="209"/>
      <c r="C32" s="210"/>
      <c r="D32" s="210"/>
      <c r="E32" s="210"/>
      <c r="F32" s="210"/>
      <c r="G32" s="210"/>
      <c r="H32" s="210"/>
      <c r="I32" s="211"/>
    </row>
    <row r="33" spans="2:9" s="32" customFormat="1" ht="20.100000000000001" customHeight="1">
      <c r="B33" s="209"/>
      <c r="C33" s="210"/>
      <c r="D33" s="210"/>
      <c r="E33" s="210"/>
      <c r="F33" s="210"/>
      <c r="G33" s="210"/>
      <c r="H33" s="210"/>
      <c r="I33" s="211"/>
    </row>
    <row r="34" spans="2:9" s="32" customFormat="1" ht="20.100000000000001" customHeight="1">
      <c r="B34" s="209"/>
      <c r="C34" s="210"/>
      <c r="D34" s="210"/>
      <c r="E34" s="210"/>
      <c r="F34" s="210"/>
      <c r="G34" s="210"/>
      <c r="H34" s="210"/>
      <c r="I34" s="211"/>
    </row>
    <row r="35" spans="2:9" s="32" customFormat="1" ht="20.100000000000001" customHeight="1">
      <c r="B35" s="209"/>
      <c r="C35" s="210"/>
      <c r="D35" s="210"/>
      <c r="E35" s="210"/>
      <c r="F35" s="210"/>
      <c r="G35" s="210"/>
      <c r="H35" s="210"/>
      <c r="I35" s="211"/>
    </row>
    <row r="36" spans="2:9" s="32" customFormat="1" ht="20.100000000000001" customHeight="1">
      <c r="B36" s="209"/>
      <c r="C36" s="210"/>
      <c r="D36" s="210"/>
      <c r="E36" s="210"/>
      <c r="F36" s="210"/>
      <c r="G36" s="210"/>
      <c r="H36" s="210"/>
      <c r="I36" s="211"/>
    </row>
    <row r="37" spans="2:9" s="32" customFormat="1" ht="20.100000000000001" customHeight="1">
      <c r="B37" s="209"/>
      <c r="C37" s="210"/>
      <c r="D37" s="210"/>
      <c r="E37" s="210"/>
      <c r="F37" s="210"/>
      <c r="G37" s="210"/>
      <c r="H37" s="210"/>
      <c r="I37" s="211"/>
    </row>
    <row r="38" spans="2:9" s="32" customFormat="1" ht="20.100000000000001" customHeight="1">
      <c r="B38" s="209"/>
      <c r="C38" s="210"/>
      <c r="D38" s="210"/>
      <c r="E38" s="210"/>
      <c r="F38" s="210"/>
      <c r="G38" s="210"/>
      <c r="H38" s="210"/>
      <c r="I38" s="211"/>
    </row>
    <row r="39" spans="2:9" s="32" customFormat="1" ht="20.100000000000001" customHeight="1">
      <c r="B39" s="209"/>
      <c r="C39" s="210"/>
      <c r="D39" s="210"/>
      <c r="E39" s="210"/>
      <c r="F39" s="210"/>
      <c r="G39" s="210"/>
      <c r="H39" s="210"/>
      <c r="I39" s="211"/>
    </row>
    <row r="40" spans="2:9" s="32" customFormat="1" ht="20.100000000000001" customHeight="1">
      <c r="B40" s="209"/>
      <c r="C40" s="210"/>
      <c r="D40" s="210"/>
      <c r="E40" s="210"/>
      <c r="F40" s="210"/>
      <c r="G40" s="210"/>
      <c r="H40" s="210"/>
      <c r="I40" s="211"/>
    </row>
    <row r="41" spans="2:9" s="32" customFormat="1" ht="20.100000000000001" customHeight="1">
      <c r="B41" s="209"/>
      <c r="C41" s="210"/>
      <c r="D41" s="210"/>
      <c r="E41" s="210"/>
      <c r="F41" s="210"/>
      <c r="G41" s="210"/>
      <c r="H41" s="210"/>
      <c r="I41" s="211"/>
    </row>
    <row r="42" spans="2:9" s="32" customFormat="1" ht="20.100000000000001" customHeight="1">
      <c r="B42" s="209"/>
      <c r="C42" s="210"/>
      <c r="D42" s="210"/>
      <c r="E42" s="210"/>
      <c r="F42" s="210"/>
      <c r="G42" s="210"/>
      <c r="H42" s="210"/>
      <c r="I42" s="211"/>
    </row>
    <row r="43" spans="2:9" s="32" customFormat="1" ht="20.100000000000001" customHeight="1">
      <c r="B43" s="209"/>
      <c r="C43" s="210"/>
      <c r="D43" s="210"/>
      <c r="E43" s="210"/>
      <c r="F43" s="210"/>
      <c r="G43" s="210"/>
      <c r="H43" s="210"/>
      <c r="I43" s="211"/>
    </row>
    <row r="44" spans="2:9" s="32" customFormat="1" ht="20.100000000000001" customHeight="1">
      <c r="B44" s="209"/>
      <c r="C44" s="210"/>
      <c r="D44" s="210"/>
      <c r="E44" s="210"/>
      <c r="F44" s="210"/>
      <c r="G44" s="210"/>
      <c r="H44" s="210"/>
      <c r="I44" s="211"/>
    </row>
    <row r="45" spans="2:9" s="32" customFormat="1" ht="20.100000000000001" customHeight="1">
      <c r="B45" s="209"/>
      <c r="C45" s="210"/>
      <c r="D45" s="210"/>
      <c r="E45" s="210"/>
      <c r="F45" s="210"/>
      <c r="G45" s="210"/>
      <c r="H45" s="210"/>
      <c r="I45" s="211"/>
    </row>
    <row r="46" spans="2:9" s="32" customFormat="1" ht="20.100000000000001" customHeight="1">
      <c r="B46" s="209"/>
      <c r="C46" s="210"/>
      <c r="D46" s="210"/>
      <c r="E46" s="210"/>
      <c r="F46" s="210"/>
      <c r="G46" s="210"/>
      <c r="H46" s="210"/>
      <c r="I46" s="211"/>
    </row>
    <row r="47" spans="2:9" s="32" customFormat="1" ht="20.100000000000001" customHeight="1">
      <c r="B47" s="209"/>
      <c r="C47" s="210"/>
      <c r="D47" s="210"/>
      <c r="E47" s="210"/>
      <c r="F47" s="210"/>
      <c r="G47" s="210"/>
      <c r="H47" s="210"/>
      <c r="I47" s="211"/>
    </row>
    <row r="48" spans="2:9" s="32" customFormat="1" ht="20.100000000000001" customHeight="1">
      <c r="B48" s="209"/>
      <c r="C48" s="210"/>
      <c r="D48" s="210"/>
      <c r="E48" s="210"/>
      <c r="F48" s="210"/>
      <c r="G48" s="210"/>
      <c r="H48" s="210"/>
      <c r="I48" s="211"/>
    </row>
    <row r="49" spans="2:9" s="32" customFormat="1" ht="20.100000000000001" customHeight="1">
      <c r="B49" s="209"/>
      <c r="C49" s="210"/>
      <c r="D49" s="210"/>
      <c r="E49" s="210"/>
      <c r="F49" s="210"/>
      <c r="G49" s="210"/>
      <c r="H49" s="210"/>
      <c r="I49" s="211"/>
    </row>
    <row r="50" spans="2:9" s="32" customFormat="1" ht="20.100000000000001" customHeight="1">
      <c r="B50" s="209"/>
      <c r="C50" s="210"/>
      <c r="D50" s="210"/>
      <c r="E50" s="210"/>
      <c r="F50" s="210"/>
      <c r="G50" s="210"/>
      <c r="H50" s="210"/>
      <c r="I50" s="211"/>
    </row>
    <row r="51" spans="2:9" s="32" customFormat="1" ht="20.100000000000001" customHeight="1">
      <c r="B51" s="209"/>
      <c r="C51" s="210"/>
      <c r="D51" s="210"/>
      <c r="E51" s="210"/>
      <c r="F51" s="210"/>
      <c r="G51" s="210"/>
      <c r="H51" s="210"/>
      <c r="I51" s="211"/>
    </row>
    <row r="52" spans="2:9" s="32" customFormat="1" ht="20.100000000000001" customHeight="1">
      <c r="B52" s="209"/>
      <c r="C52" s="210"/>
      <c r="D52" s="210"/>
      <c r="E52" s="210"/>
      <c r="F52" s="210"/>
      <c r="G52" s="210"/>
      <c r="H52" s="210"/>
      <c r="I52" s="211"/>
    </row>
    <row r="53" spans="2:9" s="32" customFormat="1" ht="20.100000000000001" customHeight="1">
      <c r="B53" s="209"/>
      <c r="C53" s="210"/>
      <c r="D53" s="210"/>
      <c r="E53" s="210"/>
      <c r="F53" s="210"/>
      <c r="G53" s="210"/>
      <c r="H53" s="210"/>
      <c r="I53" s="211"/>
    </row>
    <row r="54" spans="2:9" s="32" customFormat="1" ht="20.100000000000001" customHeight="1">
      <c r="B54" s="209"/>
      <c r="C54" s="210"/>
      <c r="D54" s="210"/>
      <c r="E54" s="210"/>
      <c r="F54" s="210"/>
      <c r="G54" s="210"/>
      <c r="H54" s="210"/>
      <c r="I54" s="211"/>
    </row>
    <row r="55" spans="2:9" s="32" customFormat="1" ht="20.100000000000001" customHeight="1">
      <c r="B55" s="209"/>
      <c r="C55" s="210"/>
      <c r="D55" s="210"/>
      <c r="E55" s="210"/>
      <c r="F55" s="210"/>
      <c r="G55" s="210"/>
      <c r="H55" s="210"/>
      <c r="I55" s="211"/>
    </row>
    <row r="56" spans="2:9" s="32" customFormat="1" ht="20.100000000000001" customHeight="1">
      <c r="B56" s="209"/>
      <c r="C56" s="210"/>
      <c r="D56" s="210"/>
      <c r="E56" s="210"/>
      <c r="F56" s="210"/>
      <c r="G56" s="210"/>
      <c r="H56" s="210"/>
      <c r="I56" s="211"/>
    </row>
    <row r="57" spans="2:9" s="32" customFormat="1" ht="20.100000000000001" customHeight="1">
      <c r="B57" s="209"/>
      <c r="C57" s="210"/>
      <c r="D57" s="210"/>
      <c r="E57" s="210"/>
      <c r="F57" s="210"/>
      <c r="G57" s="210"/>
      <c r="H57" s="210"/>
      <c r="I57" s="211"/>
    </row>
    <row r="58" spans="2:9" s="32" customFormat="1" ht="20.100000000000001" customHeight="1">
      <c r="B58" s="209"/>
      <c r="C58" s="210"/>
      <c r="D58" s="210"/>
      <c r="E58" s="210"/>
      <c r="F58" s="210"/>
      <c r="G58" s="210"/>
      <c r="H58" s="210"/>
      <c r="I58" s="211"/>
    </row>
    <row r="59" spans="2:9" s="32" customFormat="1" ht="20.100000000000001" customHeight="1">
      <c r="B59" s="209"/>
      <c r="C59" s="210"/>
      <c r="D59" s="210"/>
      <c r="E59" s="210"/>
      <c r="F59" s="210"/>
      <c r="G59" s="210"/>
      <c r="H59" s="210"/>
      <c r="I59" s="211"/>
    </row>
    <row r="60" spans="2:9" s="32" customFormat="1" ht="20.100000000000001" customHeight="1">
      <c r="B60" s="209"/>
      <c r="C60" s="210"/>
      <c r="D60" s="210"/>
      <c r="E60" s="210"/>
      <c r="F60" s="210"/>
      <c r="G60" s="210"/>
      <c r="H60" s="210"/>
      <c r="I60" s="211"/>
    </row>
    <row r="61" spans="2:9" s="32" customFormat="1" ht="20.100000000000001" customHeight="1">
      <c r="B61" s="209"/>
      <c r="C61" s="210"/>
      <c r="D61" s="210"/>
      <c r="E61" s="210"/>
      <c r="F61" s="210"/>
      <c r="G61" s="210"/>
      <c r="H61" s="210"/>
      <c r="I61" s="211"/>
    </row>
    <row r="62" spans="2:9" s="32" customFormat="1" ht="20.100000000000001" customHeight="1">
      <c r="B62" s="209"/>
      <c r="C62" s="210"/>
      <c r="D62" s="210"/>
      <c r="E62" s="210"/>
      <c r="F62" s="210"/>
      <c r="G62" s="210"/>
      <c r="H62" s="210"/>
      <c r="I62" s="211"/>
    </row>
    <row r="63" spans="2:9" s="32" customFormat="1" ht="20.100000000000001" customHeight="1">
      <c r="B63" s="209"/>
      <c r="C63" s="210"/>
      <c r="D63" s="210"/>
      <c r="E63" s="210"/>
      <c r="F63" s="210"/>
      <c r="G63" s="210"/>
      <c r="H63" s="210"/>
      <c r="I63" s="211"/>
    </row>
    <row r="64" spans="2:9" s="32" customFormat="1" ht="20.100000000000001" customHeight="1">
      <c r="B64" s="209"/>
      <c r="C64" s="210"/>
      <c r="D64" s="210"/>
      <c r="E64" s="210"/>
      <c r="F64" s="210"/>
      <c r="G64" s="210"/>
      <c r="H64" s="210"/>
      <c r="I64" s="211"/>
    </row>
    <row r="65" spans="2:9" s="32" customFormat="1" ht="20.100000000000001" customHeight="1">
      <c r="B65" s="209"/>
      <c r="C65" s="210"/>
      <c r="D65" s="210"/>
      <c r="E65" s="210"/>
      <c r="F65" s="210"/>
      <c r="G65" s="210"/>
      <c r="H65" s="210"/>
      <c r="I65" s="211"/>
    </row>
    <row r="66" spans="2:9" s="32" customFormat="1" ht="20.100000000000001" customHeight="1">
      <c r="B66" s="209"/>
      <c r="C66" s="210"/>
      <c r="D66" s="210"/>
      <c r="E66" s="210"/>
      <c r="F66" s="210"/>
      <c r="G66" s="210"/>
      <c r="H66" s="210"/>
      <c r="I66" s="211"/>
    </row>
    <row r="67" spans="2:9" s="32" customFormat="1" ht="20.100000000000001" customHeight="1">
      <c r="B67" s="209"/>
      <c r="C67" s="210"/>
      <c r="D67" s="210"/>
      <c r="E67" s="210"/>
      <c r="F67" s="210"/>
      <c r="G67" s="210"/>
      <c r="H67" s="210"/>
      <c r="I67" s="211"/>
    </row>
    <row r="68" spans="2:9" s="32" customFormat="1" ht="20.100000000000001" customHeight="1">
      <c r="B68" s="209"/>
      <c r="C68" s="210"/>
      <c r="D68" s="210"/>
      <c r="E68" s="210"/>
      <c r="F68" s="210"/>
      <c r="G68" s="210"/>
      <c r="H68" s="210"/>
      <c r="I68" s="211"/>
    </row>
    <row r="69" spans="2:9" s="32" customFormat="1" ht="20.100000000000001" customHeight="1">
      <c r="B69" s="209"/>
      <c r="C69" s="210"/>
      <c r="D69" s="210"/>
      <c r="E69" s="210"/>
      <c r="F69" s="210"/>
      <c r="G69" s="210"/>
      <c r="H69" s="210"/>
      <c r="I69" s="211"/>
    </row>
    <row r="70" spans="2:9" s="32" customFormat="1" ht="20.100000000000001" customHeight="1">
      <c r="B70" s="209"/>
      <c r="C70" s="210"/>
      <c r="D70" s="210"/>
      <c r="E70" s="210"/>
      <c r="F70" s="210"/>
      <c r="G70" s="210"/>
      <c r="H70" s="210"/>
      <c r="I70" s="211"/>
    </row>
    <row r="71" spans="2:9" s="32" customFormat="1" ht="20.100000000000001" customHeight="1">
      <c r="B71" s="209"/>
      <c r="C71" s="210"/>
      <c r="D71" s="210"/>
      <c r="E71" s="210"/>
      <c r="F71" s="210"/>
      <c r="G71" s="210"/>
      <c r="H71" s="210"/>
      <c r="I71" s="211"/>
    </row>
    <row r="72" spans="2:9" s="32" customFormat="1" ht="20.100000000000001" customHeight="1">
      <c r="B72" s="209"/>
      <c r="C72" s="210"/>
      <c r="D72" s="210"/>
      <c r="E72" s="210"/>
      <c r="F72" s="210"/>
      <c r="G72" s="210"/>
      <c r="H72" s="210"/>
      <c r="I72" s="211"/>
    </row>
    <row r="73" spans="2:9" s="32" customFormat="1" ht="20.100000000000001" customHeight="1">
      <c r="B73" s="209"/>
      <c r="C73" s="210"/>
      <c r="D73" s="210"/>
      <c r="E73" s="210"/>
      <c r="F73" s="210"/>
      <c r="G73" s="210"/>
      <c r="H73" s="210"/>
      <c r="I73" s="211"/>
    </row>
    <row r="74" spans="2:9" s="32" customFormat="1" ht="20.100000000000001" customHeight="1">
      <c r="B74" s="209"/>
      <c r="C74" s="210"/>
      <c r="D74" s="210"/>
      <c r="E74" s="210"/>
      <c r="F74" s="210"/>
      <c r="G74" s="210"/>
      <c r="H74" s="210"/>
      <c r="I74" s="211"/>
    </row>
    <row r="75" spans="2:9" s="32" customFormat="1" ht="20.100000000000001" customHeight="1">
      <c r="B75" s="209"/>
      <c r="C75" s="210"/>
      <c r="D75" s="210"/>
      <c r="E75" s="210"/>
      <c r="F75" s="210"/>
      <c r="G75" s="210"/>
      <c r="H75" s="210"/>
      <c r="I75" s="211"/>
    </row>
    <row r="76" spans="2:9" s="32" customFormat="1" ht="20.100000000000001" customHeight="1">
      <c r="B76" s="209"/>
      <c r="C76" s="210"/>
      <c r="D76" s="210"/>
      <c r="E76" s="210"/>
      <c r="F76" s="210"/>
      <c r="G76" s="210"/>
      <c r="H76" s="210"/>
      <c r="I76" s="211"/>
    </row>
    <row r="77" spans="2:9" s="32" customFormat="1" ht="20.100000000000001" customHeight="1">
      <c r="B77" s="209"/>
      <c r="C77" s="210"/>
      <c r="D77" s="210"/>
      <c r="E77" s="210"/>
      <c r="F77" s="210"/>
      <c r="G77" s="210"/>
      <c r="H77" s="210"/>
      <c r="I77" s="211"/>
    </row>
    <row r="78" spans="2:9" s="32" customFormat="1" ht="20.100000000000001" customHeight="1">
      <c r="B78" s="209"/>
      <c r="C78" s="210"/>
      <c r="D78" s="210"/>
      <c r="E78" s="210"/>
      <c r="F78" s="210"/>
      <c r="G78" s="210"/>
      <c r="H78" s="210"/>
      <c r="I78" s="211"/>
    </row>
    <row r="79" spans="2:9" s="32" customFormat="1" ht="20.100000000000001" customHeight="1">
      <c r="B79" s="209"/>
      <c r="C79" s="210"/>
      <c r="D79" s="210"/>
      <c r="E79" s="210"/>
      <c r="F79" s="210"/>
      <c r="G79" s="210"/>
      <c r="H79" s="210"/>
      <c r="I79" s="211"/>
    </row>
    <row r="80" spans="2:9" s="32" customFormat="1" ht="20.100000000000001" customHeight="1">
      <c r="B80" s="209"/>
      <c r="C80" s="210"/>
      <c r="D80" s="210"/>
      <c r="E80" s="210"/>
      <c r="F80" s="210"/>
      <c r="G80" s="210"/>
      <c r="H80" s="210"/>
      <c r="I80" s="211"/>
    </row>
    <row r="81" spans="2:9" s="32" customFormat="1" ht="20.100000000000001" customHeight="1">
      <c r="B81" s="209"/>
      <c r="C81" s="210"/>
      <c r="D81" s="210"/>
      <c r="E81" s="210"/>
      <c r="F81" s="210"/>
      <c r="G81" s="210"/>
      <c r="H81" s="210"/>
      <c r="I81" s="211"/>
    </row>
    <row r="82" spans="2:9" s="32" customFormat="1" ht="20.100000000000001" customHeight="1">
      <c r="B82" s="209"/>
      <c r="C82" s="210"/>
      <c r="D82" s="210"/>
      <c r="E82" s="210"/>
      <c r="F82" s="210"/>
      <c r="G82" s="210"/>
      <c r="H82" s="210"/>
      <c r="I82" s="211"/>
    </row>
    <row r="83" spans="2:9" s="32" customFormat="1" ht="20.100000000000001" customHeight="1">
      <c r="B83" s="209"/>
      <c r="C83" s="210"/>
      <c r="D83" s="210"/>
      <c r="E83" s="210"/>
      <c r="F83" s="210"/>
      <c r="G83" s="210"/>
      <c r="H83" s="210"/>
      <c r="I83" s="211"/>
    </row>
    <row r="84" spans="2:9" s="32" customFormat="1" ht="20.100000000000001" customHeight="1">
      <c r="B84" s="209"/>
      <c r="C84" s="210"/>
      <c r="D84" s="210"/>
      <c r="E84" s="210"/>
      <c r="F84" s="210"/>
      <c r="G84" s="210"/>
      <c r="H84" s="210"/>
      <c r="I84" s="211"/>
    </row>
    <row r="85" spans="2:9" s="32" customFormat="1" ht="20.100000000000001" customHeight="1">
      <c r="B85" s="209"/>
      <c r="C85" s="210"/>
      <c r="D85" s="210"/>
      <c r="E85" s="210"/>
      <c r="F85" s="210"/>
      <c r="G85" s="210"/>
      <c r="H85" s="210"/>
      <c r="I85" s="211"/>
    </row>
    <row r="86" spans="2:9" s="32" customFormat="1" ht="20.100000000000001" customHeight="1">
      <c r="B86" s="209"/>
      <c r="C86" s="210"/>
      <c r="D86" s="210"/>
      <c r="E86" s="210"/>
      <c r="F86" s="210"/>
      <c r="G86" s="210"/>
      <c r="H86" s="210"/>
      <c r="I86" s="211"/>
    </row>
    <row r="87" spans="2:9" s="32" customFormat="1" ht="20.100000000000001" customHeight="1">
      <c r="B87" s="209"/>
      <c r="C87" s="210"/>
      <c r="D87" s="210"/>
      <c r="E87" s="210"/>
      <c r="F87" s="210"/>
      <c r="G87" s="210"/>
      <c r="H87" s="210"/>
      <c r="I87" s="211"/>
    </row>
    <row r="88" spans="2:9" s="32" customFormat="1" ht="20.100000000000001" customHeight="1">
      <c r="B88" s="209"/>
      <c r="C88" s="210"/>
      <c r="D88" s="210"/>
      <c r="E88" s="210"/>
      <c r="F88" s="210"/>
      <c r="G88" s="210"/>
      <c r="H88" s="210"/>
      <c r="I88" s="211"/>
    </row>
    <row r="89" spans="2:9" s="32" customFormat="1" ht="20.100000000000001" customHeight="1">
      <c r="B89" s="209"/>
      <c r="C89" s="210"/>
      <c r="D89" s="210"/>
      <c r="E89" s="210"/>
      <c r="F89" s="210"/>
      <c r="G89" s="210"/>
      <c r="H89" s="210"/>
      <c r="I89" s="211"/>
    </row>
    <row r="90" spans="2:9" s="32" customFormat="1" ht="20.100000000000001" customHeight="1">
      <c r="B90" s="209"/>
      <c r="C90" s="210"/>
      <c r="D90" s="210"/>
      <c r="E90" s="210"/>
      <c r="F90" s="210"/>
      <c r="G90" s="210"/>
      <c r="H90" s="210"/>
      <c r="I90" s="211"/>
    </row>
    <row r="91" spans="2:9" s="32" customFormat="1" ht="20.100000000000001" customHeight="1">
      <c r="B91" s="209"/>
      <c r="C91" s="210"/>
      <c r="D91" s="210"/>
      <c r="E91" s="210"/>
      <c r="F91" s="210"/>
      <c r="G91" s="210"/>
      <c r="H91" s="210"/>
      <c r="I91" s="211"/>
    </row>
    <row r="92" spans="2:9" s="32" customFormat="1" ht="20.100000000000001" customHeight="1">
      <c r="B92" s="209"/>
      <c r="C92" s="210"/>
      <c r="D92" s="210"/>
      <c r="E92" s="210"/>
      <c r="F92" s="210"/>
      <c r="G92" s="210"/>
      <c r="H92" s="210"/>
      <c r="I92" s="211"/>
    </row>
    <row r="93" spans="2:9" s="32" customFormat="1" ht="20.100000000000001" customHeight="1">
      <c r="B93" s="209"/>
      <c r="C93" s="210"/>
      <c r="D93" s="210"/>
      <c r="E93" s="210"/>
      <c r="F93" s="210"/>
      <c r="G93" s="210"/>
      <c r="H93" s="210"/>
      <c r="I93" s="211"/>
    </row>
    <row r="94" spans="2:9" s="32" customFormat="1" ht="20.100000000000001" customHeight="1">
      <c r="B94" s="209"/>
      <c r="C94" s="210"/>
      <c r="D94" s="210"/>
      <c r="E94" s="210"/>
      <c r="F94" s="210"/>
      <c r="G94" s="210"/>
      <c r="H94" s="210"/>
      <c r="I94" s="211"/>
    </row>
    <row r="95" spans="2:9" s="32" customFormat="1" ht="20.100000000000001" customHeight="1">
      <c r="B95" s="209"/>
      <c r="C95" s="210"/>
      <c r="D95" s="210"/>
      <c r="E95" s="210"/>
      <c r="F95" s="210"/>
      <c r="G95" s="210"/>
      <c r="H95" s="210"/>
      <c r="I95" s="211"/>
    </row>
    <row r="96" spans="2:9" s="32" customFormat="1" ht="20.100000000000001" customHeight="1">
      <c r="B96" s="209"/>
      <c r="C96" s="210"/>
      <c r="D96" s="210"/>
      <c r="E96" s="210"/>
      <c r="F96" s="210"/>
      <c r="G96" s="210"/>
      <c r="H96" s="210"/>
      <c r="I96" s="211"/>
    </row>
    <row r="97" spans="2:9" s="32" customFormat="1" ht="20.100000000000001" customHeight="1">
      <c r="B97" s="209"/>
      <c r="C97" s="210"/>
      <c r="D97" s="210"/>
      <c r="E97" s="210"/>
      <c r="F97" s="210"/>
      <c r="G97" s="210"/>
      <c r="H97" s="210"/>
      <c r="I97" s="211"/>
    </row>
    <row r="98" spans="2:9" s="32" customFormat="1" ht="20.100000000000001" customHeight="1">
      <c r="B98" s="209"/>
      <c r="C98" s="210"/>
      <c r="D98" s="210"/>
      <c r="E98" s="210"/>
      <c r="F98" s="210"/>
      <c r="G98" s="210"/>
      <c r="H98" s="210"/>
      <c r="I98" s="211"/>
    </row>
    <row r="99" spans="2:9" s="32" customFormat="1" ht="20.100000000000001" customHeight="1">
      <c r="B99" s="209"/>
      <c r="C99" s="210"/>
      <c r="D99" s="210"/>
      <c r="E99" s="210"/>
      <c r="F99" s="210"/>
      <c r="G99" s="210"/>
      <c r="H99" s="210"/>
      <c r="I99" s="211"/>
    </row>
    <row r="100" spans="2:9" s="32" customFormat="1" ht="20.100000000000001" customHeight="1">
      <c r="B100" s="209"/>
      <c r="C100" s="210"/>
      <c r="D100" s="210"/>
      <c r="E100" s="210"/>
      <c r="F100" s="210"/>
      <c r="G100" s="210"/>
      <c r="H100" s="210"/>
      <c r="I100" s="211"/>
    </row>
    <row r="101" spans="2:9" s="32" customFormat="1" ht="20.100000000000001" customHeight="1">
      <c r="B101" s="209"/>
      <c r="C101" s="210"/>
      <c r="D101" s="210"/>
      <c r="E101" s="210"/>
      <c r="F101" s="210"/>
      <c r="G101" s="210"/>
      <c r="H101" s="210"/>
      <c r="I101" s="211"/>
    </row>
    <row r="102" spans="2:9" s="32" customFormat="1" ht="20.100000000000001" customHeight="1">
      <c r="B102" s="209"/>
      <c r="C102" s="210"/>
      <c r="D102" s="210"/>
      <c r="E102" s="210"/>
      <c r="F102" s="210"/>
      <c r="G102" s="210"/>
      <c r="H102" s="210"/>
      <c r="I102" s="211"/>
    </row>
    <row r="103" spans="2:9" s="32" customFormat="1" ht="20.100000000000001" customHeight="1">
      <c r="B103" s="209"/>
      <c r="C103" s="210"/>
      <c r="D103" s="210"/>
      <c r="E103" s="210"/>
      <c r="F103" s="210"/>
      <c r="G103" s="210"/>
      <c r="H103" s="210"/>
      <c r="I103" s="211"/>
    </row>
    <row r="104" spans="2:9" s="32" customFormat="1" ht="20.100000000000001" customHeight="1">
      <c r="B104" s="209"/>
      <c r="C104" s="210"/>
      <c r="D104" s="210"/>
      <c r="E104" s="210"/>
      <c r="F104" s="210"/>
      <c r="G104" s="210"/>
      <c r="H104" s="210"/>
      <c r="I104" s="211"/>
    </row>
    <row r="105" spans="2:9" s="32" customFormat="1" ht="20.100000000000001" customHeight="1" thickBot="1">
      <c r="B105" s="212"/>
      <c r="C105" s="213"/>
      <c r="D105" s="213"/>
      <c r="E105" s="213"/>
      <c r="F105" s="213"/>
      <c r="G105" s="213"/>
      <c r="H105" s="213"/>
      <c r="I105" s="214"/>
    </row>
  </sheetData>
  <customSheetViews>
    <customSheetView guid="{809E84AF-EE5E-4456-99E6-0390B35F6AD9}" scale="80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1"/>
      <headerFooter alignWithMargins="0">
        <oddFooter>&amp;C&amp;P / &amp;N</oddFooter>
      </headerFooter>
    </customSheetView>
    <customSheetView guid="{898DF6CC-64C7-4F2D-A13E-0A476B60DF75}" scale="85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2"/>
      <headerFooter alignWithMargins="0">
        <oddFooter>&amp;C&amp;P / &amp;N</oddFooter>
      </headerFooter>
    </customSheetView>
    <customSheetView guid="{1D8BE6F4-405A-4FC6-B1E3-D9618F9FD7A8}" scale="85" showGridLines="0" fitToPage="1" hiddenColumns="1" topLeftCell="A22">
      <selection activeCell="A26" sqref="A26"/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3"/>
      <headerFooter alignWithMargins="0">
        <oddFooter>&amp;C&amp;P / &amp;N</oddFooter>
      </headerFooter>
    </customSheetView>
    <customSheetView guid="{11FF3D1A-B611-4935-A0EC-72FFAD7F9EAF}" scale="85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4"/>
      <headerFooter alignWithMargins="0">
        <oddFooter>&amp;C&amp;P / &amp;N</oddFooter>
      </headerFooter>
    </customSheetView>
  </customSheetViews>
  <mergeCells count="1">
    <mergeCell ref="B2:C3"/>
  </mergeCells>
  <phoneticPr fontId="4"/>
  <printOptions horizontalCentered="1"/>
  <pageMargins left="0.39370078740157483" right="0.39370078740157483" top="0.59055118110236227" bottom="0.59055118110236227" header="0.31496062992125984" footer="0.27559055118110237"/>
  <pageSetup paperSize="9" scale="63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D67"/>
  <sheetViews>
    <sheetView showGridLines="0" tabSelected="1" zoomScaleNormal="100" workbookViewId="0">
      <pane ySplit="8" topLeftCell="A9" activePane="bottomLeft" state="frozen"/>
      <selection activeCell="A9" sqref="A9"/>
      <selection pane="bottomLeft" activeCell="E15" sqref="E15"/>
    </sheetView>
  </sheetViews>
  <sheetFormatPr defaultRowHeight="18" customHeight="1"/>
  <cols>
    <col min="1" max="1" width="12.85546875" style="111" bestFit="1" customWidth="1"/>
    <col min="2" max="2" width="3.42578125" style="111" customWidth="1"/>
    <col min="3" max="3" width="5.7109375" style="28" customWidth="1"/>
    <col min="4" max="5" width="40.7109375" style="28" customWidth="1"/>
    <col min="6" max="6" width="13.85546875" style="28" customWidth="1"/>
    <col min="7" max="7" width="18.7109375" style="28" customWidth="1"/>
    <col min="8" max="8" width="11.85546875" style="28" customWidth="1"/>
    <col min="9" max="9" width="9.5703125" style="28" hidden="1" customWidth="1"/>
    <col min="10" max="16" width="3" style="28" customWidth="1"/>
    <col min="17" max="20" width="3" style="28" hidden="1" customWidth="1"/>
    <col min="21" max="21" width="12.140625" style="28" customWidth="1"/>
    <col min="22" max="22" width="15.7109375" style="28" customWidth="1"/>
    <col min="23" max="27" width="13.42578125" style="28" customWidth="1"/>
    <col min="28" max="28" width="9" style="100" customWidth="1"/>
    <col min="29" max="29" width="27.7109375" style="28" customWidth="1"/>
    <col min="30" max="16384" width="9.140625" style="28"/>
  </cols>
  <sheetData>
    <row r="1" spans="1:27" ht="12" customHeight="1" thickBot="1">
      <c r="A1" s="153"/>
      <c r="B1" s="153"/>
    </row>
    <row r="2" spans="1:27" ht="18" customHeight="1">
      <c r="A2" s="153"/>
      <c r="B2" s="153"/>
      <c r="C2" s="282" t="s">
        <v>543</v>
      </c>
      <c r="D2" s="283"/>
      <c r="E2" s="284"/>
      <c r="F2" s="231"/>
      <c r="G2" s="218" t="s">
        <v>363</v>
      </c>
      <c r="H2" s="276" t="str">
        <f>ProjectName</f>
        <v>○△□プロジェクト</v>
      </c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78"/>
      <c r="V2" s="112" t="s">
        <v>3</v>
      </c>
      <c r="W2" s="274" t="str">
        <f>CreateBy</f>
        <v>○○　✕✕</v>
      </c>
      <c r="X2" s="275"/>
      <c r="Y2" s="112" t="s">
        <v>4</v>
      </c>
      <c r="Z2" s="268">
        <f>CreateAt</f>
        <v>44287</v>
      </c>
      <c r="AA2" s="269"/>
    </row>
    <row r="3" spans="1:27" ht="18" customHeight="1" thickBot="1">
      <c r="C3" s="285"/>
      <c r="D3" s="286"/>
      <c r="E3" s="287"/>
      <c r="F3" s="232"/>
      <c r="G3" s="217" t="s">
        <v>364</v>
      </c>
      <c r="H3" s="279" t="str">
        <f>systemName</f>
        <v>○✕システム</v>
      </c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1"/>
      <c r="V3" s="113" t="s">
        <v>248</v>
      </c>
      <c r="W3" s="272" t="s">
        <v>551</v>
      </c>
      <c r="X3" s="273"/>
      <c r="Y3" s="335">
        <v>44466</v>
      </c>
      <c r="Z3" s="270">
        <v>44466</v>
      </c>
      <c r="AA3" s="271"/>
    </row>
    <row r="4" spans="1:27" ht="5.25" customHeight="1" thickBot="1">
      <c r="C4" s="267"/>
      <c r="D4" s="267"/>
    </row>
    <row r="5" spans="1:27" ht="18" customHeight="1">
      <c r="B5" s="111" t="s">
        <v>552</v>
      </c>
      <c r="C5" s="290" t="s">
        <v>216</v>
      </c>
      <c r="D5" s="291"/>
      <c r="E5" s="177" t="s">
        <v>541</v>
      </c>
      <c r="F5" s="177"/>
      <c r="G5" s="218" t="s">
        <v>365</v>
      </c>
      <c r="H5" s="276" t="s">
        <v>540</v>
      </c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8"/>
      <c r="V5" s="112" t="s">
        <v>240</v>
      </c>
      <c r="W5" s="294" t="str">
        <f>IF(DBName&lt;&gt;"",DBName,"")</f>
        <v>test</v>
      </c>
      <c r="X5" s="295"/>
      <c r="Y5" s="112" t="s">
        <v>284</v>
      </c>
      <c r="Z5" s="288" t="str">
        <f>IF(Schema&lt;&gt;"",Schema,"")</f>
        <v/>
      </c>
      <c r="AA5" s="289"/>
    </row>
    <row r="6" spans="1:27" ht="18" customHeight="1" thickBot="1">
      <c r="C6" s="263" t="s">
        <v>119</v>
      </c>
      <c r="D6" s="264"/>
      <c r="E6" s="292" t="s">
        <v>542</v>
      </c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3"/>
      <c r="V6" s="113" t="s">
        <v>238</v>
      </c>
      <c r="W6" s="261" t="str">
        <f>IF(Instance&lt;&gt;"",Instance,"")</f>
        <v/>
      </c>
      <c r="X6" s="262"/>
      <c r="Y6" s="113"/>
      <c r="Z6" s="265"/>
      <c r="AA6" s="266"/>
    </row>
    <row r="7" spans="1:27" ht="13.5" customHeight="1" thickBot="1"/>
    <row r="8" spans="1:27" ht="18" customHeight="1" thickBot="1">
      <c r="A8" s="111" t="s">
        <v>312</v>
      </c>
      <c r="C8" s="117" t="s">
        <v>300</v>
      </c>
      <c r="D8" s="219" t="s">
        <v>286</v>
      </c>
      <c r="E8" s="219" t="s">
        <v>287</v>
      </c>
      <c r="F8" s="233" t="s">
        <v>556</v>
      </c>
      <c r="G8" s="219" t="s">
        <v>1</v>
      </c>
      <c r="H8" s="219" t="s">
        <v>8</v>
      </c>
      <c r="I8" s="219" t="s">
        <v>121</v>
      </c>
      <c r="J8" s="219" t="s">
        <v>122</v>
      </c>
      <c r="K8" s="219" t="s">
        <v>123</v>
      </c>
      <c r="L8" s="219" t="s">
        <v>124</v>
      </c>
      <c r="M8" s="219" t="s">
        <v>301</v>
      </c>
      <c r="N8" s="219" t="s">
        <v>298</v>
      </c>
      <c r="O8" s="219" t="s">
        <v>293</v>
      </c>
      <c r="P8" s="219" t="s">
        <v>294</v>
      </c>
      <c r="Q8" s="219" t="s">
        <v>295</v>
      </c>
      <c r="R8" s="219" t="s">
        <v>296</v>
      </c>
      <c r="S8" s="219" t="s">
        <v>297</v>
      </c>
      <c r="T8" s="219" t="s">
        <v>299</v>
      </c>
      <c r="U8" s="118" t="s">
        <v>125</v>
      </c>
      <c r="V8" s="219" t="s">
        <v>117</v>
      </c>
      <c r="W8" s="296" t="s">
        <v>126</v>
      </c>
      <c r="X8" s="297"/>
      <c r="Y8" s="297"/>
      <c r="Z8" s="297"/>
      <c r="AA8" s="298"/>
    </row>
    <row r="9" spans="1:27" ht="18" customHeight="1">
      <c r="A9" s="111" t="s">
        <v>316</v>
      </c>
      <c r="B9" s="111" t="s">
        <v>555</v>
      </c>
      <c r="C9" s="1">
        <v>1</v>
      </c>
      <c r="D9" s="165" t="s">
        <v>473</v>
      </c>
      <c r="E9" s="165" t="s">
        <v>474</v>
      </c>
      <c r="F9" s="336">
        <f>LEN(E9)</f>
        <v>2</v>
      </c>
      <c r="G9" s="171" t="s">
        <v>74</v>
      </c>
      <c r="H9" s="47"/>
      <c r="I9" s="48"/>
      <c r="J9" s="44">
        <v>1</v>
      </c>
      <c r="K9" s="45"/>
      <c r="L9" s="45"/>
      <c r="M9" s="45"/>
      <c r="N9" s="45"/>
      <c r="O9" s="45"/>
      <c r="P9" s="45"/>
      <c r="Q9" s="45"/>
      <c r="R9" s="45"/>
      <c r="S9" s="45"/>
      <c r="T9" s="45"/>
      <c r="U9" s="46">
        <v>1</v>
      </c>
      <c r="V9" s="2"/>
      <c r="W9" s="226"/>
      <c r="X9" s="227"/>
      <c r="Y9" s="227"/>
      <c r="Z9" s="227"/>
      <c r="AA9" s="228"/>
    </row>
    <row r="10" spans="1:27" ht="18" customHeight="1">
      <c r="A10" s="111" t="s">
        <v>316</v>
      </c>
      <c r="B10" s="111" t="s">
        <v>555</v>
      </c>
      <c r="C10" s="3">
        <v>2</v>
      </c>
      <c r="D10" s="171" t="s">
        <v>475</v>
      </c>
      <c r="E10" s="171" t="s">
        <v>476</v>
      </c>
      <c r="F10" s="336">
        <f t="shared" ref="F10:F47" si="0">LEN(E10)</f>
        <v>7</v>
      </c>
      <c r="G10" s="171" t="s">
        <v>75</v>
      </c>
      <c r="H10" s="47">
        <v>20</v>
      </c>
      <c r="I10" s="48"/>
      <c r="J10" s="44"/>
      <c r="K10" s="45">
        <v>1</v>
      </c>
      <c r="L10" s="45"/>
      <c r="M10" s="45"/>
      <c r="N10" s="45"/>
      <c r="O10" s="45"/>
      <c r="P10" s="45"/>
      <c r="Q10" s="45"/>
      <c r="R10" s="45"/>
      <c r="S10" s="45"/>
      <c r="T10" s="45"/>
      <c r="U10" s="46"/>
      <c r="V10" s="4"/>
      <c r="W10" s="220"/>
      <c r="X10" s="221"/>
      <c r="Y10" s="221"/>
      <c r="Z10" s="221"/>
      <c r="AA10" s="222"/>
    </row>
    <row r="11" spans="1:27" ht="18" customHeight="1">
      <c r="A11" s="111" t="s">
        <v>316</v>
      </c>
      <c r="C11" s="3">
        <v>3</v>
      </c>
      <c r="D11" s="171" t="s">
        <v>477</v>
      </c>
      <c r="E11" s="171" t="s">
        <v>478</v>
      </c>
      <c r="F11" s="336">
        <f t="shared" si="0"/>
        <v>8</v>
      </c>
      <c r="G11" s="171" t="s">
        <v>75</v>
      </c>
      <c r="H11" s="47">
        <v>200</v>
      </c>
      <c r="I11" s="48"/>
      <c r="J11" s="44"/>
      <c r="K11" s="45"/>
      <c r="L11" s="45">
        <v>1</v>
      </c>
      <c r="M11" s="45"/>
      <c r="N11" s="45"/>
      <c r="O11" s="45"/>
      <c r="P11" s="45"/>
      <c r="Q11" s="45"/>
      <c r="R11" s="45"/>
      <c r="S11" s="45"/>
      <c r="T11" s="45"/>
      <c r="U11" s="46"/>
      <c r="V11" s="4"/>
      <c r="W11" s="220"/>
      <c r="X11" s="221"/>
      <c r="Y11" s="221"/>
      <c r="Z11" s="221"/>
      <c r="AA11" s="222"/>
    </row>
    <row r="12" spans="1:27" ht="18" customHeight="1">
      <c r="A12" s="111" t="s">
        <v>316</v>
      </c>
      <c r="C12" s="3">
        <v>4</v>
      </c>
      <c r="D12" s="171" t="s">
        <v>479</v>
      </c>
      <c r="E12" s="171" t="s">
        <v>480</v>
      </c>
      <c r="F12" s="336">
        <f t="shared" si="0"/>
        <v>7</v>
      </c>
      <c r="G12" s="171" t="s">
        <v>75</v>
      </c>
      <c r="H12" s="47">
        <v>20</v>
      </c>
      <c r="I12" s="48"/>
      <c r="J12" s="44"/>
      <c r="K12" s="45"/>
      <c r="L12" s="45"/>
      <c r="M12" s="45">
        <v>1</v>
      </c>
      <c r="N12" s="45"/>
      <c r="O12" s="45"/>
      <c r="P12" s="45"/>
      <c r="Q12" s="45"/>
      <c r="R12" s="45"/>
      <c r="S12" s="45"/>
      <c r="T12" s="45"/>
      <c r="U12" s="46"/>
      <c r="V12" s="4"/>
      <c r="W12" s="220"/>
      <c r="X12" s="221"/>
      <c r="Y12" s="221"/>
      <c r="Z12" s="221"/>
      <c r="AA12" s="222"/>
    </row>
    <row r="13" spans="1:27" ht="18" customHeight="1">
      <c r="A13" s="111" t="s">
        <v>316</v>
      </c>
      <c r="C13" s="3">
        <v>5</v>
      </c>
      <c r="D13" s="171" t="s">
        <v>481</v>
      </c>
      <c r="E13" s="171" t="s">
        <v>482</v>
      </c>
      <c r="F13" s="336">
        <f t="shared" si="0"/>
        <v>7</v>
      </c>
      <c r="G13" s="171" t="s">
        <v>75</v>
      </c>
      <c r="H13" s="47">
        <v>20</v>
      </c>
      <c r="I13" s="48"/>
      <c r="J13" s="44"/>
      <c r="K13" s="45"/>
      <c r="L13" s="45"/>
      <c r="M13" s="45"/>
      <c r="N13" s="45">
        <v>1</v>
      </c>
      <c r="O13" s="45"/>
      <c r="P13" s="45"/>
      <c r="Q13" s="45"/>
      <c r="R13" s="45"/>
      <c r="S13" s="45"/>
      <c r="T13" s="45"/>
      <c r="U13" s="46"/>
      <c r="V13" s="4"/>
      <c r="W13" s="220"/>
      <c r="X13" s="221"/>
      <c r="Y13" s="221"/>
      <c r="Z13" s="221"/>
      <c r="AA13" s="222"/>
    </row>
    <row r="14" spans="1:27" ht="36" customHeight="1">
      <c r="A14" s="111" t="s">
        <v>316</v>
      </c>
      <c r="C14" s="3">
        <v>6</v>
      </c>
      <c r="D14" s="171" t="s">
        <v>483</v>
      </c>
      <c r="E14" s="171" t="s">
        <v>484</v>
      </c>
      <c r="F14" s="336">
        <f t="shared" si="0"/>
        <v>9</v>
      </c>
      <c r="G14" s="171" t="s">
        <v>75</v>
      </c>
      <c r="H14" s="47">
        <v>20</v>
      </c>
      <c r="I14" s="48"/>
      <c r="J14" s="44"/>
      <c r="K14" s="45"/>
      <c r="L14" s="45"/>
      <c r="M14" s="45"/>
      <c r="N14" s="45"/>
      <c r="O14" s="45">
        <v>1</v>
      </c>
      <c r="P14" s="45"/>
      <c r="Q14" s="45"/>
      <c r="R14" s="45"/>
      <c r="S14" s="45"/>
      <c r="T14" s="45"/>
      <c r="U14" s="46"/>
      <c r="V14" s="4"/>
      <c r="W14" s="230" t="s">
        <v>554</v>
      </c>
      <c r="X14" s="221"/>
      <c r="Y14" s="221"/>
      <c r="Z14" s="221"/>
      <c r="AA14" s="222"/>
    </row>
    <row r="15" spans="1:27" ht="18" customHeight="1">
      <c r="A15" s="111" t="s">
        <v>316</v>
      </c>
      <c r="C15" s="3">
        <v>7</v>
      </c>
      <c r="D15" s="171" t="s">
        <v>553</v>
      </c>
      <c r="E15" s="171" t="s">
        <v>485</v>
      </c>
      <c r="F15" s="336">
        <f t="shared" si="0"/>
        <v>6</v>
      </c>
      <c r="G15" s="171" t="s">
        <v>75</v>
      </c>
      <c r="H15" s="47">
        <v>20</v>
      </c>
      <c r="I15" s="48"/>
      <c r="J15" s="44"/>
      <c r="K15" s="45"/>
      <c r="L15" s="45"/>
      <c r="M15" s="45"/>
      <c r="N15" s="45"/>
      <c r="O15" s="45"/>
      <c r="P15" s="45">
        <v>1</v>
      </c>
      <c r="Q15" s="45"/>
      <c r="R15" s="45"/>
      <c r="S15" s="45"/>
      <c r="T15" s="45"/>
      <c r="U15" s="46"/>
      <c r="V15" s="4"/>
      <c r="W15" s="220"/>
      <c r="X15" s="221"/>
      <c r="Y15" s="221"/>
      <c r="Z15" s="221"/>
      <c r="AA15" s="222"/>
    </row>
    <row r="16" spans="1:27" ht="18" customHeight="1">
      <c r="A16" s="111" t="s">
        <v>316</v>
      </c>
      <c r="C16" s="3">
        <v>8</v>
      </c>
      <c r="D16" s="171" t="s">
        <v>486</v>
      </c>
      <c r="E16" s="171" t="s">
        <v>487</v>
      </c>
      <c r="F16" s="336">
        <f t="shared" si="0"/>
        <v>12</v>
      </c>
      <c r="G16" s="171" t="s">
        <v>75</v>
      </c>
      <c r="H16" s="47">
        <v>20</v>
      </c>
      <c r="I16" s="48"/>
      <c r="J16" s="44"/>
      <c r="K16" s="45">
        <v>2</v>
      </c>
      <c r="L16" s="45"/>
      <c r="M16" s="45"/>
      <c r="N16" s="45"/>
      <c r="O16" s="45"/>
      <c r="P16" s="45"/>
      <c r="Q16" s="45"/>
      <c r="R16" s="45"/>
      <c r="S16" s="45"/>
      <c r="T16" s="45"/>
      <c r="U16" s="46">
        <v>1</v>
      </c>
      <c r="V16" s="4"/>
      <c r="W16" s="220"/>
      <c r="X16" s="221"/>
      <c r="Y16" s="221"/>
      <c r="Z16" s="221"/>
      <c r="AA16" s="222"/>
    </row>
    <row r="17" spans="1:27" ht="18" customHeight="1">
      <c r="A17" s="111" t="s">
        <v>316</v>
      </c>
      <c r="C17" s="3">
        <v>9</v>
      </c>
      <c r="D17" s="171" t="s">
        <v>488</v>
      </c>
      <c r="E17" s="171" t="s">
        <v>489</v>
      </c>
      <c r="F17" s="336">
        <f t="shared" si="0"/>
        <v>12</v>
      </c>
      <c r="G17" s="171" t="s">
        <v>75</v>
      </c>
      <c r="H17" s="47">
        <v>200</v>
      </c>
      <c r="I17" s="48"/>
      <c r="J17" s="44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6"/>
      <c r="V17" s="4"/>
      <c r="W17" s="220"/>
      <c r="X17" s="221"/>
      <c r="Y17" s="221"/>
      <c r="Z17" s="221"/>
      <c r="AA17" s="222"/>
    </row>
    <row r="18" spans="1:27" ht="18" customHeight="1">
      <c r="A18" s="111" t="s">
        <v>316</v>
      </c>
      <c r="C18" s="3">
        <v>10</v>
      </c>
      <c r="D18" s="171" t="s">
        <v>490</v>
      </c>
      <c r="E18" s="171" t="s">
        <v>491</v>
      </c>
      <c r="F18" s="336">
        <f t="shared" si="0"/>
        <v>8</v>
      </c>
      <c r="G18" s="171" t="s">
        <v>30</v>
      </c>
      <c r="H18" s="47"/>
      <c r="I18" s="48"/>
      <c r="J18" s="44"/>
      <c r="K18" s="45">
        <v>3</v>
      </c>
      <c r="L18" s="45"/>
      <c r="M18" s="45"/>
      <c r="N18" s="45"/>
      <c r="O18" s="45"/>
      <c r="P18" s="45"/>
      <c r="Q18" s="45"/>
      <c r="R18" s="45"/>
      <c r="S18" s="45"/>
      <c r="T18" s="45"/>
      <c r="U18" s="46"/>
      <c r="V18" s="4"/>
      <c r="W18" s="220"/>
      <c r="X18" s="221"/>
      <c r="Y18" s="221"/>
      <c r="Z18" s="221"/>
      <c r="AA18" s="222"/>
    </row>
    <row r="19" spans="1:27" ht="18" customHeight="1">
      <c r="A19" s="111" t="s">
        <v>316</v>
      </c>
      <c r="C19" s="3">
        <v>11</v>
      </c>
      <c r="D19" s="171" t="s">
        <v>492</v>
      </c>
      <c r="E19" s="171" t="s">
        <v>493</v>
      </c>
      <c r="F19" s="336">
        <f t="shared" si="0"/>
        <v>6</v>
      </c>
      <c r="G19" s="171" t="s">
        <v>30</v>
      </c>
      <c r="H19" s="47"/>
      <c r="I19" s="48"/>
      <c r="J19" s="44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6"/>
      <c r="V19" s="4"/>
      <c r="W19" s="220"/>
      <c r="X19" s="221"/>
      <c r="Y19" s="221"/>
      <c r="Z19" s="221"/>
      <c r="AA19" s="222"/>
    </row>
    <row r="20" spans="1:27" ht="18" customHeight="1">
      <c r="A20" s="111" t="s">
        <v>316</v>
      </c>
      <c r="C20" s="3">
        <v>12</v>
      </c>
      <c r="D20" s="171" t="s">
        <v>494</v>
      </c>
      <c r="E20" s="171" t="s">
        <v>495</v>
      </c>
      <c r="F20" s="336">
        <f t="shared" si="0"/>
        <v>12</v>
      </c>
      <c r="G20" s="171" t="s">
        <v>75</v>
      </c>
      <c r="H20" s="47">
        <v>50</v>
      </c>
      <c r="I20" s="48"/>
      <c r="J20" s="44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6"/>
      <c r="V20" s="4"/>
      <c r="W20" s="220"/>
      <c r="X20" s="221"/>
      <c r="Y20" s="221"/>
      <c r="Z20" s="221"/>
      <c r="AA20" s="222"/>
    </row>
    <row r="21" spans="1:27" ht="18" customHeight="1">
      <c r="A21" s="111" t="s">
        <v>316</v>
      </c>
      <c r="C21" s="3">
        <v>13</v>
      </c>
      <c r="D21" s="171" t="s">
        <v>496</v>
      </c>
      <c r="E21" s="171" t="s">
        <v>497</v>
      </c>
      <c r="F21" s="336">
        <f t="shared" si="0"/>
        <v>13</v>
      </c>
      <c r="G21" s="171" t="s">
        <v>75</v>
      </c>
      <c r="H21" s="47">
        <v>200</v>
      </c>
      <c r="I21" s="48"/>
      <c r="J21" s="44"/>
      <c r="K21" s="45"/>
      <c r="L21" s="45">
        <v>2</v>
      </c>
      <c r="M21" s="45"/>
      <c r="N21" s="45"/>
      <c r="O21" s="45"/>
      <c r="P21" s="45"/>
      <c r="Q21" s="45"/>
      <c r="R21" s="45"/>
      <c r="S21" s="45"/>
      <c r="T21" s="45"/>
      <c r="U21" s="46"/>
      <c r="V21" s="4"/>
      <c r="W21" s="220"/>
      <c r="X21" s="221"/>
      <c r="Y21" s="221"/>
      <c r="Z21" s="221"/>
      <c r="AA21" s="222"/>
    </row>
    <row r="22" spans="1:27" ht="18" customHeight="1">
      <c r="A22" s="111" t="s">
        <v>316</v>
      </c>
      <c r="C22" s="3">
        <v>14</v>
      </c>
      <c r="D22" s="171" t="s">
        <v>498</v>
      </c>
      <c r="E22" s="171" t="s">
        <v>499</v>
      </c>
      <c r="F22" s="336">
        <f t="shared" si="0"/>
        <v>8</v>
      </c>
      <c r="G22" s="171" t="s">
        <v>30</v>
      </c>
      <c r="H22" s="47"/>
      <c r="I22" s="48"/>
      <c r="J22" s="44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6"/>
      <c r="V22" s="4"/>
      <c r="W22" s="220"/>
      <c r="X22" s="221"/>
      <c r="Y22" s="221"/>
      <c r="Z22" s="221"/>
      <c r="AA22" s="222"/>
    </row>
    <row r="23" spans="1:27" ht="18" customHeight="1">
      <c r="A23" s="111" t="s">
        <v>316</v>
      </c>
      <c r="C23" s="3">
        <v>15</v>
      </c>
      <c r="D23" s="171" t="s">
        <v>500</v>
      </c>
      <c r="E23" s="171" t="s">
        <v>501</v>
      </c>
      <c r="F23" s="336">
        <f t="shared" si="0"/>
        <v>12</v>
      </c>
      <c r="G23" s="171" t="s">
        <v>74</v>
      </c>
      <c r="H23" s="47"/>
      <c r="I23" s="48"/>
      <c r="J23" s="44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6"/>
      <c r="V23" s="4"/>
      <c r="W23" s="220"/>
      <c r="X23" s="221"/>
      <c r="Y23" s="221"/>
      <c r="Z23" s="221"/>
      <c r="AA23" s="222"/>
    </row>
    <row r="24" spans="1:27" ht="18" customHeight="1">
      <c r="A24" s="111" t="s">
        <v>316</v>
      </c>
      <c r="C24" s="3">
        <v>16</v>
      </c>
      <c r="D24" s="171" t="s">
        <v>502</v>
      </c>
      <c r="E24" s="171" t="s">
        <v>503</v>
      </c>
      <c r="F24" s="336">
        <f t="shared" si="0"/>
        <v>10</v>
      </c>
      <c r="G24" s="171" t="s">
        <v>74</v>
      </c>
      <c r="H24" s="47"/>
      <c r="I24" s="48"/>
      <c r="J24" s="44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6"/>
      <c r="V24" s="4"/>
      <c r="W24" s="220"/>
      <c r="X24" s="221"/>
      <c r="Y24" s="221"/>
      <c r="Z24" s="221"/>
      <c r="AA24" s="222"/>
    </row>
    <row r="25" spans="1:27" ht="18" customHeight="1">
      <c r="A25" s="111" t="s">
        <v>316</v>
      </c>
      <c r="C25" s="3">
        <v>17</v>
      </c>
      <c r="D25" s="171" t="s">
        <v>504</v>
      </c>
      <c r="E25" s="171" t="s">
        <v>505</v>
      </c>
      <c r="F25" s="336">
        <f t="shared" si="0"/>
        <v>25</v>
      </c>
      <c r="G25" s="171" t="s">
        <v>74</v>
      </c>
      <c r="H25" s="47"/>
      <c r="I25" s="48"/>
      <c r="J25" s="44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6"/>
      <c r="V25" s="4"/>
      <c r="W25" s="220"/>
      <c r="X25" s="221"/>
      <c r="Y25" s="221"/>
      <c r="Z25" s="221"/>
      <c r="AA25" s="222"/>
    </row>
    <row r="26" spans="1:27" ht="18" customHeight="1">
      <c r="A26" s="111" t="s">
        <v>316</v>
      </c>
      <c r="C26" s="3">
        <v>18</v>
      </c>
      <c r="D26" s="171" t="s">
        <v>506</v>
      </c>
      <c r="E26" s="171" t="s">
        <v>507</v>
      </c>
      <c r="F26" s="336">
        <f t="shared" si="0"/>
        <v>30</v>
      </c>
      <c r="G26" s="171" t="s">
        <v>74</v>
      </c>
      <c r="H26" s="47"/>
      <c r="I26" s="48"/>
      <c r="J26" s="44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6"/>
      <c r="V26" s="4"/>
      <c r="W26" s="220"/>
      <c r="X26" s="221"/>
      <c r="Y26" s="221"/>
      <c r="Z26" s="221"/>
      <c r="AA26" s="222"/>
    </row>
    <row r="27" spans="1:27" ht="18" customHeight="1">
      <c r="A27" s="111" t="s">
        <v>316</v>
      </c>
      <c r="C27" s="3">
        <v>19</v>
      </c>
      <c r="D27" s="171" t="s">
        <v>508</v>
      </c>
      <c r="E27" s="171" t="s">
        <v>509</v>
      </c>
      <c r="F27" s="336">
        <f t="shared" si="0"/>
        <v>17</v>
      </c>
      <c r="G27" s="171" t="s">
        <v>74</v>
      </c>
      <c r="H27" s="47"/>
      <c r="I27" s="48"/>
      <c r="J27" s="44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6"/>
      <c r="V27" s="4"/>
      <c r="W27" s="220"/>
      <c r="X27" s="221"/>
      <c r="Y27" s="221"/>
      <c r="Z27" s="221"/>
      <c r="AA27" s="222"/>
    </row>
    <row r="28" spans="1:27" ht="18" customHeight="1">
      <c r="A28" s="111" t="s">
        <v>316</v>
      </c>
      <c r="C28" s="3">
        <v>20</v>
      </c>
      <c r="D28" s="171" t="s">
        <v>510</v>
      </c>
      <c r="E28" s="171" t="s">
        <v>511</v>
      </c>
      <c r="F28" s="336">
        <f t="shared" si="0"/>
        <v>11</v>
      </c>
      <c r="G28" s="171" t="s">
        <v>74</v>
      </c>
      <c r="H28" s="47"/>
      <c r="I28" s="48"/>
      <c r="J28" s="44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6"/>
      <c r="V28" s="4"/>
      <c r="W28" s="220"/>
      <c r="X28" s="221"/>
      <c r="Y28" s="221"/>
      <c r="Z28" s="221"/>
      <c r="AA28" s="222"/>
    </row>
    <row r="29" spans="1:27" ht="18" customHeight="1">
      <c r="A29" s="111" t="s">
        <v>316</v>
      </c>
      <c r="C29" s="3">
        <v>21</v>
      </c>
      <c r="D29" s="171" t="s">
        <v>512</v>
      </c>
      <c r="E29" s="171" t="s">
        <v>513</v>
      </c>
      <c r="F29" s="336">
        <f t="shared" si="0"/>
        <v>16</v>
      </c>
      <c r="G29" s="171" t="s">
        <v>9</v>
      </c>
      <c r="H29" s="47"/>
      <c r="I29" s="48"/>
      <c r="J29" s="44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6"/>
      <c r="V29" s="4"/>
      <c r="W29" s="220"/>
      <c r="X29" s="221"/>
      <c r="Y29" s="221"/>
      <c r="Z29" s="221"/>
      <c r="AA29" s="222"/>
    </row>
    <row r="30" spans="1:27" ht="18" customHeight="1">
      <c r="A30" s="111" t="s">
        <v>316</v>
      </c>
      <c r="C30" s="3">
        <v>22</v>
      </c>
      <c r="D30" s="171" t="s">
        <v>514</v>
      </c>
      <c r="E30" s="171" t="s">
        <v>515</v>
      </c>
      <c r="F30" s="336">
        <f t="shared" si="0"/>
        <v>12</v>
      </c>
      <c r="G30" s="171" t="s">
        <v>9</v>
      </c>
      <c r="H30" s="47"/>
      <c r="I30" s="48"/>
      <c r="J30" s="44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6"/>
      <c r="V30" s="4"/>
      <c r="W30" s="220"/>
      <c r="X30" s="221"/>
      <c r="Y30" s="221"/>
      <c r="Z30" s="221"/>
      <c r="AA30" s="222"/>
    </row>
    <row r="31" spans="1:27" ht="18" customHeight="1">
      <c r="A31" s="111" t="s">
        <v>316</v>
      </c>
      <c r="C31" s="3">
        <v>23</v>
      </c>
      <c r="D31" s="171" t="s">
        <v>516</v>
      </c>
      <c r="E31" s="171" t="s">
        <v>517</v>
      </c>
      <c r="F31" s="336">
        <f t="shared" si="0"/>
        <v>17</v>
      </c>
      <c r="G31" s="171" t="s">
        <v>518</v>
      </c>
      <c r="H31" s="47"/>
      <c r="I31" s="48"/>
      <c r="J31" s="44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6"/>
      <c r="V31" s="4"/>
      <c r="W31" s="220"/>
      <c r="X31" s="221"/>
      <c r="Y31" s="221"/>
      <c r="Z31" s="221"/>
      <c r="AA31" s="222"/>
    </row>
    <row r="32" spans="1:27" ht="18" customHeight="1">
      <c r="A32" s="111" t="s">
        <v>316</v>
      </c>
      <c r="C32" s="3">
        <v>24</v>
      </c>
      <c r="D32" s="171" t="s">
        <v>519</v>
      </c>
      <c r="E32" s="171" t="s">
        <v>520</v>
      </c>
      <c r="F32" s="336">
        <f t="shared" si="0"/>
        <v>14</v>
      </c>
      <c r="G32" s="171" t="s">
        <v>217</v>
      </c>
      <c r="H32" s="47"/>
      <c r="I32" s="48"/>
      <c r="J32" s="44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6"/>
      <c r="V32" s="4"/>
      <c r="W32" s="220"/>
      <c r="X32" s="221"/>
      <c r="Y32" s="221"/>
      <c r="Z32" s="221"/>
      <c r="AA32" s="222"/>
    </row>
    <row r="33" spans="1:27" ht="18" customHeight="1">
      <c r="A33" s="111" t="s">
        <v>316</v>
      </c>
      <c r="C33" s="3">
        <v>25</v>
      </c>
      <c r="D33" s="171" t="s">
        <v>521</v>
      </c>
      <c r="E33" s="171" t="s">
        <v>522</v>
      </c>
      <c r="F33" s="336">
        <f t="shared" si="0"/>
        <v>20</v>
      </c>
      <c r="G33" s="171" t="s">
        <v>217</v>
      </c>
      <c r="H33" s="47"/>
      <c r="I33" s="48"/>
      <c r="J33" s="44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6"/>
      <c r="V33" s="4"/>
      <c r="W33" s="220"/>
      <c r="X33" s="221"/>
      <c r="Y33" s="221"/>
      <c r="Z33" s="221"/>
      <c r="AA33" s="222"/>
    </row>
    <row r="34" spans="1:27" ht="18" customHeight="1">
      <c r="A34" s="111" t="s">
        <v>316</v>
      </c>
      <c r="C34" s="3">
        <v>26</v>
      </c>
      <c r="D34" s="171" t="s">
        <v>523</v>
      </c>
      <c r="E34" s="171" t="s">
        <v>524</v>
      </c>
      <c r="F34" s="336">
        <f t="shared" si="0"/>
        <v>21</v>
      </c>
      <c r="G34" s="171" t="s">
        <v>217</v>
      </c>
      <c r="H34" s="47"/>
      <c r="I34" s="48"/>
      <c r="J34" s="44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6"/>
      <c r="V34" s="4"/>
      <c r="W34" s="220"/>
      <c r="X34" s="221"/>
      <c r="Y34" s="221"/>
      <c r="Z34" s="221"/>
      <c r="AA34" s="222"/>
    </row>
    <row r="35" spans="1:27" ht="18" customHeight="1">
      <c r="A35" s="111" t="s">
        <v>316</v>
      </c>
      <c r="C35" s="3">
        <v>27</v>
      </c>
      <c r="D35" s="171" t="s">
        <v>525</v>
      </c>
      <c r="E35" s="171" t="s">
        <v>526</v>
      </c>
      <c r="F35" s="336">
        <f t="shared" si="0"/>
        <v>28</v>
      </c>
      <c r="G35" s="171" t="s">
        <v>217</v>
      </c>
      <c r="H35" s="47"/>
      <c r="I35" s="48"/>
      <c r="J35" s="44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6"/>
      <c r="V35" s="4"/>
      <c r="W35" s="220"/>
      <c r="X35" s="221"/>
      <c r="Y35" s="221"/>
      <c r="Z35" s="221"/>
      <c r="AA35" s="222"/>
    </row>
    <row r="36" spans="1:27" ht="18" customHeight="1">
      <c r="A36" s="111" t="s">
        <v>316</v>
      </c>
      <c r="C36" s="3">
        <v>28</v>
      </c>
      <c r="D36" s="171" t="s">
        <v>527</v>
      </c>
      <c r="E36" s="171" t="s">
        <v>528</v>
      </c>
      <c r="F36" s="336">
        <f t="shared" si="0"/>
        <v>16</v>
      </c>
      <c r="G36" s="171" t="s">
        <v>217</v>
      </c>
      <c r="H36" s="47"/>
      <c r="I36" s="48"/>
      <c r="J36" s="44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6"/>
      <c r="V36" s="4"/>
      <c r="W36" s="220"/>
      <c r="X36" s="221"/>
      <c r="Y36" s="221"/>
      <c r="Z36" s="221"/>
      <c r="AA36" s="222"/>
    </row>
    <row r="37" spans="1:27" ht="18" customHeight="1">
      <c r="A37" s="111" t="s">
        <v>316</v>
      </c>
      <c r="C37" s="3">
        <v>29</v>
      </c>
      <c r="D37" s="171" t="s">
        <v>529</v>
      </c>
      <c r="E37" s="171" t="s">
        <v>530</v>
      </c>
      <c r="F37" s="336">
        <f t="shared" si="0"/>
        <v>20</v>
      </c>
      <c r="G37" s="171" t="s">
        <v>217</v>
      </c>
      <c r="H37" s="47"/>
      <c r="I37" s="48"/>
      <c r="J37" s="44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6"/>
      <c r="V37" s="4"/>
      <c r="W37" s="220"/>
      <c r="X37" s="221"/>
      <c r="Y37" s="221"/>
      <c r="Z37" s="221"/>
      <c r="AA37" s="222"/>
    </row>
    <row r="38" spans="1:27" ht="18" customHeight="1">
      <c r="A38" s="111" t="s">
        <v>316</v>
      </c>
      <c r="C38" s="3">
        <f t="shared" ref="C38:C48" si="1">ROW()-8</f>
        <v>30</v>
      </c>
      <c r="D38" s="171"/>
      <c r="E38" s="171"/>
      <c r="F38" s="336">
        <f t="shared" si="0"/>
        <v>0</v>
      </c>
      <c r="G38" s="171"/>
      <c r="H38" s="47"/>
      <c r="I38" s="48"/>
      <c r="J38" s="44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6"/>
      <c r="V38" s="4"/>
      <c r="W38" s="220"/>
      <c r="X38" s="221"/>
      <c r="Y38" s="221"/>
      <c r="Z38" s="221"/>
      <c r="AA38" s="222"/>
    </row>
    <row r="39" spans="1:27" ht="18" customHeight="1">
      <c r="A39" s="111" t="s">
        <v>316</v>
      </c>
      <c r="C39" s="3">
        <f t="shared" si="1"/>
        <v>31</v>
      </c>
      <c r="D39" s="171"/>
      <c r="E39" s="171"/>
      <c r="F39" s="336">
        <f t="shared" si="0"/>
        <v>0</v>
      </c>
      <c r="G39" s="171"/>
      <c r="H39" s="47"/>
      <c r="I39" s="48"/>
      <c r="J39" s="44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6"/>
      <c r="V39" s="4"/>
      <c r="W39" s="220"/>
      <c r="X39" s="221"/>
      <c r="Y39" s="221"/>
      <c r="Z39" s="221"/>
      <c r="AA39" s="222"/>
    </row>
    <row r="40" spans="1:27" ht="18" customHeight="1">
      <c r="A40" s="111" t="s">
        <v>316</v>
      </c>
      <c r="C40" s="3">
        <f t="shared" si="1"/>
        <v>32</v>
      </c>
      <c r="D40" s="171"/>
      <c r="E40" s="171"/>
      <c r="F40" s="336">
        <f t="shared" si="0"/>
        <v>0</v>
      </c>
      <c r="G40" s="171"/>
      <c r="H40" s="47"/>
      <c r="I40" s="48"/>
      <c r="J40" s="44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4"/>
      <c r="W40" s="220"/>
      <c r="X40" s="221"/>
      <c r="Y40" s="221"/>
      <c r="Z40" s="221"/>
      <c r="AA40" s="222"/>
    </row>
    <row r="41" spans="1:27" ht="18" customHeight="1">
      <c r="A41" s="111" t="s">
        <v>316</v>
      </c>
      <c r="C41" s="3">
        <f t="shared" si="1"/>
        <v>33</v>
      </c>
      <c r="D41" s="171"/>
      <c r="E41" s="171"/>
      <c r="F41" s="336">
        <f t="shared" si="0"/>
        <v>0</v>
      </c>
      <c r="G41" s="171"/>
      <c r="H41" s="47"/>
      <c r="I41" s="48"/>
      <c r="J41" s="44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4"/>
      <c r="W41" s="220"/>
      <c r="X41" s="221"/>
      <c r="Y41" s="221"/>
      <c r="Z41" s="221"/>
      <c r="AA41" s="222"/>
    </row>
    <row r="42" spans="1:27" ht="18" customHeight="1">
      <c r="A42" s="111" t="s">
        <v>316</v>
      </c>
      <c r="C42" s="3">
        <f t="shared" si="1"/>
        <v>34</v>
      </c>
      <c r="D42" s="171"/>
      <c r="E42" s="171"/>
      <c r="F42" s="336">
        <f t="shared" si="0"/>
        <v>0</v>
      </c>
      <c r="G42" s="171"/>
      <c r="H42" s="47"/>
      <c r="I42" s="48"/>
      <c r="J42" s="44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4"/>
      <c r="W42" s="220"/>
      <c r="X42" s="221"/>
      <c r="Y42" s="221"/>
      <c r="Z42" s="221"/>
      <c r="AA42" s="222"/>
    </row>
    <row r="43" spans="1:27" ht="18" customHeight="1">
      <c r="A43" s="111" t="s">
        <v>316</v>
      </c>
      <c r="C43" s="3">
        <f t="shared" si="1"/>
        <v>35</v>
      </c>
      <c r="D43" s="171"/>
      <c r="E43" s="171"/>
      <c r="F43" s="336">
        <f t="shared" si="0"/>
        <v>0</v>
      </c>
      <c r="G43" s="171"/>
      <c r="H43" s="47"/>
      <c r="I43" s="48"/>
      <c r="J43" s="44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6"/>
      <c r="V43" s="4"/>
      <c r="W43" s="220"/>
      <c r="X43" s="221"/>
      <c r="Y43" s="221"/>
      <c r="Z43" s="221"/>
      <c r="AA43" s="222"/>
    </row>
    <row r="44" spans="1:27" ht="18" customHeight="1">
      <c r="A44" s="111" t="s">
        <v>316</v>
      </c>
      <c r="C44" s="3">
        <f t="shared" si="1"/>
        <v>36</v>
      </c>
      <c r="D44" s="171"/>
      <c r="E44" s="171"/>
      <c r="F44" s="336">
        <f t="shared" si="0"/>
        <v>0</v>
      </c>
      <c r="G44" s="171"/>
      <c r="H44" s="47"/>
      <c r="I44" s="48"/>
      <c r="J44" s="44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6"/>
      <c r="V44" s="4"/>
      <c r="W44" s="220"/>
      <c r="X44" s="221"/>
      <c r="Y44" s="221"/>
      <c r="Z44" s="221"/>
      <c r="AA44" s="222"/>
    </row>
    <row r="45" spans="1:27" ht="18" customHeight="1">
      <c r="A45" s="111" t="s">
        <v>316</v>
      </c>
      <c r="C45" s="3">
        <f t="shared" si="1"/>
        <v>37</v>
      </c>
      <c r="D45" s="171"/>
      <c r="E45" s="171"/>
      <c r="F45" s="336">
        <f t="shared" si="0"/>
        <v>0</v>
      </c>
      <c r="G45" s="171"/>
      <c r="H45" s="47"/>
      <c r="I45" s="48"/>
      <c r="J45" s="44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6"/>
      <c r="V45" s="4"/>
      <c r="W45" s="220"/>
      <c r="X45" s="221"/>
      <c r="Y45" s="221"/>
      <c r="Z45" s="221"/>
      <c r="AA45" s="222"/>
    </row>
    <row r="46" spans="1:27" ht="18" customHeight="1">
      <c r="A46" s="111" t="s">
        <v>316</v>
      </c>
      <c r="C46" s="3">
        <f t="shared" si="1"/>
        <v>38</v>
      </c>
      <c r="D46" s="171"/>
      <c r="E46" s="171"/>
      <c r="F46" s="336">
        <f t="shared" si="0"/>
        <v>0</v>
      </c>
      <c r="G46" s="171"/>
      <c r="H46" s="47"/>
      <c r="I46" s="48"/>
      <c r="J46" s="44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6"/>
      <c r="V46" s="4"/>
      <c r="W46" s="220"/>
      <c r="X46" s="221"/>
      <c r="Y46" s="221"/>
      <c r="Z46" s="221"/>
      <c r="AA46" s="222"/>
    </row>
    <row r="47" spans="1:27" ht="18" customHeight="1">
      <c r="A47" s="111" t="s">
        <v>316</v>
      </c>
      <c r="C47" s="3">
        <f t="shared" si="1"/>
        <v>39</v>
      </c>
      <c r="D47" s="171"/>
      <c r="E47" s="171"/>
      <c r="F47" s="336">
        <f>LEN(E47)</f>
        <v>0</v>
      </c>
      <c r="G47" s="171"/>
      <c r="H47" s="47"/>
      <c r="I47" s="48"/>
      <c r="J47" s="44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6"/>
      <c r="V47" s="4"/>
      <c r="W47" s="220"/>
      <c r="X47" s="221"/>
      <c r="Y47" s="221"/>
      <c r="Z47" s="221"/>
      <c r="AA47" s="222"/>
    </row>
    <row r="48" spans="1:27" ht="18" customHeight="1" thickBot="1">
      <c r="A48" s="111" t="s">
        <v>316</v>
      </c>
      <c r="B48" s="111" t="s">
        <v>555</v>
      </c>
      <c r="C48" s="5">
        <f t="shared" si="1"/>
        <v>40</v>
      </c>
      <c r="D48" s="182"/>
      <c r="E48" s="182"/>
      <c r="F48" s="337">
        <f>LEN(E48)</f>
        <v>0</v>
      </c>
      <c r="G48" s="182"/>
      <c r="H48" s="11"/>
      <c r="I48" s="6"/>
      <c r="J48" s="7"/>
      <c r="K48" s="8"/>
      <c r="L48" s="8"/>
      <c r="M48" s="8"/>
      <c r="N48" s="8"/>
      <c r="O48" s="8"/>
      <c r="P48" s="8"/>
      <c r="Q48" s="8"/>
      <c r="R48" s="8"/>
      <c r="S48" s="8"/>
      <c r="T48" s="8"/>
      <c r="U48" s="9"/>
      <c r="V48" s="10"/>
      <c r="W48" s="223"/>
      <c r="X48" s="224"/>
      <c r="Y48" s="224"/>
      <c r="Z48" s="224"/>
      <c r="AA48" s="225"/>
    </row>
    <row r="49" spans="1:30" ht="18" customHeight="1">
      <c r="A49" s="111" t="s">
        <v>315</v>
      </c>
      <c r="C49" s="157"/>
      <c r="D49" s="21"/>
      <c r="E49" s="21"/>
      <c r="F49" s="21"/>
      <c r="G49" s="21"/>
      <c r="H49" s="22"/>
      <c r="I49" s="158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5"/>
      <c r="V49" s="26"/>
      <c r="W49" s="27"/>
      <c r="X49" s="27"/>
      <c r="Y49" s="27"/>
      <c r="Z49" s="27"/>
      <c r="AA49" s="27"/>
    </row>
    <row r="50" spans="1:30" ht="18" customHeight="1" thickBot="1">
      <c r="A50" s="111" t="s">
        <v>315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</row>
    <row r="51" spans="1:30" s="42" customFormat="1" ht="18" customHeight="1" thickBot="1">
      <c r="A51" s="111" t="s">
        <v>313</v>
      </c>
      <c r="B51" s="111"/>
      <c r="C51" s="117" t="s">
        <v>300</v>
      </c>
      <c r="D51" s="215" t="s">
        <v>367</v>
      </c>
      <c r="E51" s="119" t="s">
        <v>368</v>
      </c>
      <c r="F51" s="235"/>
      <c r="G51" s="216" t="s">
        <v>366</v>
      </c>
      <c r="H51" s="243" t="s">
        <v>374</v>
      </c>
      <c r="I51" s="253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43" t="s">
        <v>369</v>
      </c>
      <c r="X51" s="253"/>
      <c r="Y51" s="253"/>
      <c r="Z51" s="253"/>
      <c r="AA51" s="260"/>
      <c r="AC51" s="28"/>
      <c r="AD51" s="28"/>
    </row>
    <row r="52" spans="1:30" s="100" customFormat="1" ht="18" customHeight="1">
      <c r="A52" s="111" t="s">
        <v>316</v>
      </c>
      <c r="B52" s="111"/>
      <c r="C52" s="30" t="s">
        <v>531</v>
      </c>
      <c r="D52" s="162" t="s">
        <v>532</v>
      </c>
      <c r="E52" s="43" t="s">
        <v>534</v>
      </c>
      <c r="F52" s="334"/>
      <c r="G52" s="178" t="s">
        <v>533</v>
      </c>
      <c r="H52" s="241" t="s">
        <v>474</v>
      </c>
      <c r="I52" s="254"/>
      <c r="J52" s="254"/>
      <c r="K52" s="254"/>
      <c r="L52" s="254"/>
      <c r="M52" s="254"/>
      <c r="N52" s="254"/>
      <c r="O52" s="254"/>
      <c r="P52" s="254"/>
      <c r="Q52" s="254"/>
      <c r="R52" s="254"/>
      <c r="S52" s="254"/>
      <c r="T52" s="254"/>
      <c r="U52" s="254"/>
      <c r="V52" s="254"/>
      <c r="W52" s="257"/>
      <c r="X52" s="258"/>
      <c r="Y52" s="258"/>
      <c r="Z52" s="258"/>
      <c r="AA52" s="259"/>
      <c r="AC52" s="28"/>
      <c r="AD52" s="28"/>
    </row>
    <row r="53" spans="1:30" s="100" customFormat="1" ht="18" customHeight="1">
      <c r="A53" s="111"/>
      <c r="B53" s="111"/>
      <c r="C53" s="30">
        <v>1</v>
      </c>
      <c r="D53" s="166" t="s">
        <v>544</v>
      </c>
      <c r="E53" s="43" t="s">
        <v>546</v>
      </c>
      <c r="F53" s="236"/>
      <c r="G53" s="167" t="s">
        <v>545</v>
      </c>
      <c r="H53" s="245" t="s">
        <v>547</v>
      </c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47"/>
      <c r="X53" s="248"/>
      <c r="Y53" s="248"/>
      <c r="Z53" s="248"/>
      <c r="AA53" s="249"/>
      <c r="AC53" s="28"/>
      <c r="AD53" s="28"/>
    </row>
    <row r="54" spans="1:30" s="100" customFormat="1" ht="18" customHeight="1">
      <c r="A54" s="111"/>
      <c r="B54" s="111"/>
      <c r="C54" s="30">
        <v>2</v>
      </c>
      <c r="D54" s="166" t="s">
        <v>548</v>
      </c>
      <c r="E54" s="43" t="s">
        <v>546</v>
      </c>
      <c r="F54" s="236"/>
      <c r="G54" s="167" t="s">
        <v>545</v>
      </c>
      <c r="H54" s="245" t="s">
        <v>549</v>
      </c>
      <c r="I54" s="255"/>
      <c r="J54" s="255"/>
      <c r="K54" s="255"/>
      <c r="L54" s="255"/>
      <c r="M54" s="255"/>
      <c r="N54" s="255"/>
      <c r="O54" s="255"/>
      <c r="P54" s="255"/>
      <c r="Q54" s="255"/>
      <c r="R54" s="255"/>
      <c r="S54" s="255"/>
      <c r="T54" s="255"/>
      <c r="U54" s="255"/>
      <c r="V54" s="255"/>
      <c r="W54" s="247"/>
      <c r="X54" s="248"/>
      <c r="Y54" s="248"/>
      <c r="Z54" s="248"/>
      <c r="AA54" s="249"/>
      <c r="AC54" s="28"/>
      <c r="AD54" s="28"/>
    </row>
    <row r="55" spans="1:30" s="100" customFormat="1" ht="18" customHeight="1">
      <c r="A55" s="111"/>
      <c r="B55" s="111"/>
      <c r="C55" s="30">
        <v>3</v>
      </c>
      <c r="D55" s="166" t="s">
        <v>536</v>
      </c>
      <c r="E55" s="43" t="s">
        <v>535</v>
      </c>
      <c r="F55" s="236"/>
      <c r="G55" s="167" t="s">
        <v>533</v>
      </c>
      <c r="H55" s="245" t="s">
        <v>480</v>
      </c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47"/>
      <c r="X55" s="248"/>
      <c r="Y55" s="248"/>
      <c r="Z55" s="248"/>
      <c r="AA55" s="249"/>
      <c r="AC55" s="28"/>
      <c r="AD55" s="28"/>
    </row>
    <row r="56" spans="1:30" s="100" customFormat="1" ht="18" customHeight="1">
      <c r="A56" s="111"/>
      <c r="B56" s="111"/>
      <c r="C56" s="30">
        <v>4</v>
      </c>
      <c r="D56" s="166" t="s">
        <v>537</v>
      </c>
      <c r="E56" s="43" t="s">
        <v>535</v>
      </c>
      <c r="F56" s="236"/>
      <c r="G56" s="167" t="s">
        <v>533</v>
      </c>
      <c r="H56" s="245" t="s">
        <v>482</v>
      </c>
      <c r="I56" s="255"/>
      <c r="J56" s="255"/>
      <c r="K56" s="255"/>
      <c r="L56" s="255"/>
      <c r="M56" s="255"/>
      <c r="N56" s="255"/>
      <c r="O56" s="255"/>
      <c r="P56" s="255"/>
      <c r="Q56" s="255"/>
      <c r="R56" s="255"/>
      <c r="S56" s="255"/>
      <c r="T56" s="255"/>
      <c r="U56" s="255"/>
      <c r="V56" s="255"/>
      <c r="W56" s="247"/>
      <c r="X56" s="248"/>
      <c r="Y56" s="248"/>
      <c r="Z56" s="248"/>
      <c r="AA56" s="249"/>
      <c r="AC56" s="28"/>
      <c r="AD56" s="28"/>
    </row>
    <row r="57" spans="1:30" s="100" customFormat="1" ht="18" customHeight="1">
      <c r="A57" s="111"/>
      <c r="B57" s="111"/>
      <c r="C57" s="30">
        <v>5</v>
      </c>
      <c r="D57" s="166" t="s">
        <v>538</v>
      </c>
      <c r="E57" s="43" t="s">
        <v>535</v>
      </c>
      <c r="F57" s="236"/>
      <c r="G57" s="167" t="s">
        <v>533</v>
      </c>
      <c r="H57" s="245" t="s">
        <v>484</v>
      </c>
      <c r="I57" s="255"/>
      <c r="J57" s="255"/>
      <c r="K57" s="255"/>
      <c r="L57" s="255"/>
      <c r="M57" s="255"/>
      <c r="N57" s="255"/>
      <c r="O57" s="255"/>
      <c r="P57" s="255"/>
      <c r="Q57" s="255"/>
      <c r="R57" s="255"/>
      <c r="S57" s="255"/>
      <c r="T57" s="255"/>
      <c r="U57" s="255"/>
      <c r="V57" s="255"/>
      <c r="W57" s="247"/>
      <c r="X57" s="248"/>
      <c r="Y57" s="248"/>
      <c r="Z57" s="248"/>
      <c r="AA57" s="249"/>
      <c r="AC57" s="28"/>
      <c r="AD57" s="28"/>
    </row>
    <row r="58" spans="1:30" s="100" customFormat="1" ht="18" customHeight="1">
      <c r="A58" s="111"/>
      <c r="B58" s="111"/>
      <c r="C58" s="30">
        <v>6</v>
      </c>
      <c r="D58" s="166" t="s">
        <v>539</v>
      </c>
      <c r="E58" s="43" t="s">
        <v>535</v>
      </c>
      <c r="F58" s="236"/>
      <c r="G58" s="167" t="s">
        <v>533</v>
      </c>
      <c r="H58" s="245" t="s">
        <v>485</v>
      </c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/>
      <c r="T58" s="255"/>
      <c r="U58" s="255"/>
      <c r="V58" s="255"/>
      <c r="W58" s="247"/>
      <c r="X58" s="248"/>
      <c r="Y58" s="248"/>
      <c r="Z58" s="248"/>
      <c r="AA58" s="249"/>
      <c r="AC58" s="28"/>
      <c r="AD58" s="28"/>
    </row>
    <row r="59" spans="1:30" s="100" customFormat="1" ht="18" customHeight="1">
      <c r="A59" s="111"/>
      <c r="B59" s="111"/>
      <c r="C59" s="30"/>
      <c r="D59" s="166"/>
      <c r="E59" s="43"/>
      <c r="F59" s="236"/>
      <c r="G59" s="167"/>
      <c r="H59" s="24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/>
      <c r="T59" s="255"/>
      <c r="U59" s="255"/>
      <c r="V59" s="255"/>
      <c r="W59" s="247"/>
      <c r="X59" s="248"/>
      <c r="Y59" s="248"/>
      <c r="Z59" s="248"/>
      <c r="AA59" s="249"/>
      <c r="AC59" s="28"/>
      <c r="AD59" s="28"/>
    </row>
    <row r="60" spans="1:30" s="100" customFormat="1" ht="18" customHeight="1">
      <c r="A60" s="111" t="s">
        <v>316</v>
      </c>
      <c r="B60" s="111"/>
      <c r="C60" s="30"/>
      <c r="D60" s="166"/>
      <c r="E60" s="43"/>
      <c r="F60" s="236"/>
      <c r="G60" s="167"/>
      <c r="H60" s="245"/>
      <c r="I60" s="255"/>
      <c r="J60" s="255"/>
      <c r="K60" s="255"/>
      <c r="L60" s="255"/>
      <c r="M60" s="255"/>
      <c r="N60" s="255"/>
      <c r="O60" s="255"/>
      <c r="P60" s="255"/>
      <c r="Q60" s="255"/>
      <c r="R60" s="255"/>
      <c r="S60" s="255"/>
      <c r="T60" s="255"/>
      <c r="U60" s="255"/>
      <c r="V60" s="255"/>
      <c r="W60" s="247"/>
      <c r="X60" s="248"/>
      <c r="Y60" s="248"/>
      <c r="Z60" s="248"/>
      <c r="AA60" s="249"/>
      <c r="AC60" s="28"/>
      <c r="AD60" s="28"/>
    </row>
    <row r="61" spans="1:30" ht="18" customHeight="1" thickBot="1">
      <c r="A61" s="111" t="s">
        <v>316</v>
      </c>
      <c r="C61" s="31"/>
      <c r="D61" s="161"/>
      <c r="E61" s="66"/>
      <c r="F61" s="234"/>
      <c r="G61" s="183"/>
      <c r="H61" s="239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0"/>
      <c r="X61" s="251"/>
      <c r="Y61" s="251"/>
      <c r="Z61" s="251"/>
      <c r="AA61" s="252"/>
    </row>
    <row r="62" spans="1:30" ht="18" customHeight="1" thickBot="1">
      <c r="A62" s="111" t="s">
        <v>315</v>
      </c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30" ht="18" customHeight="1" thickBot="1">
      <c r="A63" s="111" t="s">
        <v>314</v>
      </c>
      <c r="C63" s="117" t="s">
        <v>300</v>
      </c>
      <c r="D63" s="215" t="s">
        <v>370</v>
      </c>
      <c r="E63" s="243" t="s">
        <v>371</v>
      </c>
      <c r="F63" s="253"/>
      <c r="G63" s="244"/>
      <c r="H63" s="243" t="s">
        <v>372</v>
      </c>
      <c r="I63" s="253"/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  <c r="U63" s="253"/>
      <c r="V63" s="253"/>
      <c r="W63" s="243" t="s">
        <v>369</v>
      </c>
      <c r="X63" s="253"/>
      <c r="Y63" s="253"/>
      <c r="Z63" s="253"/>
      <c r="AA63" s="260"/>
      <c r="AB63" s="42"/>
    </row>
    <row r="64" spans="1:30" ht="18" customHeight="1">
      <c r="A64" s="111" t="s">
        <v>316</v>
      </c>
      <c r="C64" s="29"/>
      <c r="D64" s="162"/>
      <c r="E64" s="241"/>
      <c r="F64" s="254"/>
      <c r="G64" s="242"/>
      <c r="H64" s="241"/>
      <c r="I64" s="254"/>
      <c r="J64" s="254"/>
      <c r="K64" s="254"/>
      <c r="L64" s="254"/>
      <c r="M64" s="254"/>
      <c r="N64" s="254"/>
      <c r="O64" s="254"/>
      <c r="P64" s="254"/>
      <c r="Q64" s="254"/>
      <c r="R64" s="254"/>
      <c r="S64" s="254"/>
      <c r="T64" s="254"/>
      <c r="U64" s="254"/>
      <c r="V64" s="254"/>
      <c r="W64" s="257"/>
      <c r="X64" s="258"/>
      <c r="Y64" s="258"/>
      <c r="Z64" s="258"/>
      <c r="AA64" s="259"/>
    </row>
    <row r="65" spans="1:28" ht="18" customHeight="1">
      <c r="A65" s="111" t="s">
        <v>316</v>
      </c>
      <c r="C65" s="30"/>
      <c r="D65" s="166"/>
      <c r="E65" s="245"/>
      <c r="F65" s="255"/>
      <c r="G65" s="246"/>
      <c r="H65" s="245"/>
      <c r="I65" s="255"/>
      <c r="J65" s="255"/>
      <c r="K65" s="255"/>
      <c r="L65" s="255"/>
      <c r="M65" s="255"/>
      <c r="N65" s="255"/>
      <c r="O65" s="255"/>
      <c r="P65" s="255"/>
      <c r="Q65" s="255"/>
      <c r="R65" s="255"/>
      <c r="S65" s="255"/>
      <c r="T65" s="255"/>
      <c r="U65" s="255"/>
      <c r="V65" s="255"/>
      <c r="W65" s="247"/>
      <c r="X65" s="248"/>
      <c r="Y65" s="248"/>
      <c r="Z65" s="248"/>
      <c r="AA65" s="249"/>
    </row>
    <row r="66" spans="1:28" ht="18" customHeight="1" thickBot="1">
      <c r="A66" s="111" t="s">
        <v>316</v>
      </c>
      <c r="C66" s="31"/>
      <c r="D66" s="161"/>
      <c r="E66" s="239"/>
      <c r="F66" s="256"/>
      <c r="G66" s="240"/>
      <c r="H66" s="239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0"/>
      <c r="X66" s="251"/>
      <c r="Y66" s="251"/>
      <c r="Z66" s="251"/>
      <c r="AA66" s="252"/>
    </row>
    <row r="67" spans="1:28" s="33" customFormat="1" ht="18" customHeight="1">
      <c r="A67" s="111" t="s">
        <v>317</v>
      </c>
      <c r="B67" s="111"/>
      <c r="AB67" s="101"/>
    </row>
  </sheetData>
  <mergeCells count="51">
    <mergeCell ref="C6:D6"/>
    <mergeCell ref="E6:U6"/>
    <mergeCell ref="W6:X6"/>
    <mergeCell ref="Z6:AA6"/>
    <mergeCell ref="C2:E3"/>
    <mergeCell ref="H2:U2"/>
    <mergeCell ref="W2:X2"/>
    <mergeCell ref="Z2:AA2"/>
    <mergeCell ref="H3:U3"/>
    <mergeCell ref="W3:X3"/>
    <mergeCell ref="Z3:AA3"/>
    <mergeCell ref="C4:D4"/>
    <mergeCell ref="C5:D5"/>
    <mergeCell ref="H5:U5"/>
    <mergeCell ref="W5:X5"/>
    <mergeCell ref="Z5:AA5"/>
    <mergeCell ref="E64:G64"/>
    <mergeCell ref="H64:V64"/>
    <mergeCell ref="W64:AA64"/>
    <mergeCell ref="W8:AA8"/>
    <mergeCell ref="H51:V51"/>
    <mergeCell ref="W51:AA51"/>
    <mergeCell ref="H52:V52"/>
    <mergeCell ref="W52:AA52"/>
    <mergeCell ref="H60:V60"/>
    <mergeCell ref="W60:AA60"/>
    <mergeCell ref="H61:V61"/>
    <mergeCell ref="W61:AA61"/>
    <mergeCell ref="E63:G63"/>
    <mergeCell ref="H63:V63"/>
    <mergeCell ref="W63:AA63"/>
    <mergeCell ref="E65:G65"/>
    <mergeCell ref="H65:V65"/>
    <mergeCell ref="W65:AA65"/>
    <mergeCell ref="E66:G66"/>
    <mergeCell ref="H66:V66"/>
    <mergeCell ref="W66:AA66"/>
    <mergeCell ref="H53:V53"/>
    <mergeCell ref="W53:AA53"/>
    <mergeCell ref="H54:V54"/>
    <mergeCell ref="W54:AA54"/>
    <mergeCell ref="H55:V55"/>
    <mergeCell ref="W55:AA55"/>
    <mergeCell ref="H59:V59"/>
    <mergeCell ref="W59:AA59"/>
    <mergeCell ref="H56:V56"/>
    <mergeCell ref="W56:AA56"/>
    <mergeCell ref="H57:V57"/>
    <mergeCell ref="W57:AA57"/>
    <mergeCell ref="H58:V58"/>
    <mergeCell ref="W58:AA58"/>
  </mergeCells>
  <phoneticPr fontId="13"/>
  <dataValidations count="6">
    <dataValidation type="list" allowBlank="1" showInputMessage="1" showErrorMessage="1" sqref="C2:F3">
      <formula1>TableTypeList</formula1>
    </dataValidation>
    <dataValidation imeMode="off" allowBlank="1" showInputMessage="1" showErrorMessage="1" sqref="Z5:Z6 J9:T49 H9:H49"/>
    <dataValidation type="list" allowBlank="1" showInputMessage="1" showErrorMessage="1" sqref="G9:G49">
      <formula1>INDIRECT(DBMS)</formula1>
    </dataValidation>
    <dataValidation type="textLength" imeMode="off" operator="lessThanOrEqual" allowBlank="1" showInputMessage="1" showErrorMessage="1" errorTitle="エラー" error="文字数は63文字まで。" sqref="E9:F49">
      <formula1>63</formula1>
    </dataValidation>
    <dataValidation type="whole" imeMode="off" allowBlank="1" showErrorMessage="1" errorTitle="Not NUll設定" error="Not Null の場合は、「1」を入力" promptTitle="Not NUll設定" prompt="Not Null の場合は、「1」を入力" sqref="U9:U49">
      <formula1>0</formula1>
      <formula2>1</formula2>
    </dataValidation>
    <dataValidation type="list" allowBlank="1" showInputMessage="1" showErrorMessage="1" sqref="E52:F61">
      <formula1>IndexTypeList</formula1>
    </dataValidation>
  </dataValidations>
  <printOptions horizontalCentered="1"/>
  <pageMargins left="0.24" right="0.19685039370078741" top="0.4" bottom="0.4" header="0.2" footer="0"/>
  <pageSetup paperSize="9" scale="61" orientation="landscape" r:id="rId1"/>
  <headerFooter alignWithMargins="0"/>
  <rowBreaks count="1" manualBreakCount="1">
    <brk id="49" max="16383" man="1"/>
  </rowBreaks>
  <legacyDrawing r:id="rId2"/>
</worksheet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Option"/>
          <button id="データ削除" label="データ削除" imageMso="ClearAll" screentip="データ削除" supertip="オプション画面を表示します &#13;" onAction="Ctl_Ribbon.ClearAll"/>
          <dynamicMenu id="SheetList" label="シート一覧" imageMso="HeaderFooterSheetNameInsert" size="normal" getContent="Ctl_Ribbon.getSheetsList"/>
        </group>
        <group id="共通" label="共通">
          <button id="シート追加" label="シート追加" imageMso="SheetInsert" screentip="シート追加" supertip="オプション画面を表示します &#13;" onAction="Ctl_Ribbon.addSheet"/>
          <button id="TBLリスト更新" label="TBLリスト更新" imageMso="CurrentViewSettings" screentip="TBLリスト更新" supertip="オプション画面を表示します &#13;" onAction="Ctl_Ribbon.makeTblList"/>
        </group>
        <group id="DB操作" label="DB操作">
          <button id="一括取得" label="一括取得" imageMso="DatabaseModelingReverse" onAction="Ctl_Ribbon.getDatabaseInfo" screentip="一括取得 &#13;"/>
          <button id="テーブル情報取得" label="情報取得" imageMso="DatabaseModelingReverse" onAction="Ctl_Ribbon.getTableInfo" screentip="テーブル情報取得 &#13;"/>
          <button id="テーブル情報反映" label="情報反映" imageMso="DatabaseSqlServer" onAction="Ctl_Ribbon.CreateTableInfo" screentip="テーブル情報反映 &#13;"/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45</vt:i4>
      </vt:variant>
    </vt:vector>
  </HeadingPairs>
  <TitlesOfParts>
    <vt:vector size="56" baseType="lpstr">
      <vt:lpstr>設定-MySQL</vt:lpstr>
      <vt:lpstr>設定-ACC</vt:lpstr>
      <vt:lpstr>Notice</vt:lpstr>
      <vt:lpstr>DataType</vt:lpstr>
      <vt:lpstr>Sheet1</vt:lpstr>
      <vt:lpstr>コピー用</vt:lpstr>
      <vt:lpstr>表紙</vt:lpstr>
      <vt:lpstr>TBLリスト</vt:lpstr>
      <vt:lpstr>変更履歴</vt:lpstr>
      <vt:lpstr>ER図</vt:lpstr>
      <vt:lpstr>si_joblist</vt:lpstr>
      <vt:lpstr>■VBA用の設定</vt:lpstr>
      <vt:lpstr>Cell_colMaxLen</vt:lpstr>
      <vt:lpstr>Cell_dateType</vt:lpstr>
      <vt:lpstr>Cell_Default</vt:lpstr>
      <vt:lpstr>Cell_digits</vt:lpstr>
      <vt:lpstr>Cell_Idx01</vt:lpstr>
      <vt:lpstr>Cell_logicalName</vt:lpstr>
      <vt:lpstr>Cell_logicalTableName</vt:lpstr>
      <vt:lpstr>Cell_Note</vt:lpstr>
      <vt:lpstr>Cell_Null</vt:lpstr>
      <vt:lpstr>Cell_physicalName</vt:lpstr>
      <vt:lpstr>Cell_physicalTableName</vt:lpstr>
      <vt:lpstr>Cell_PK</vt:lpstr>
      <vt:lpstr>Cell_tableNote</vt:lpstr>
      <vt:lpstr>Cell_TableType</vt:lpstr>
      <vt:lpstr>CreateAt</vt:lpstr>
      <vt:lpstr>CreateBy</vt:lpstr>
      <vt:lpstr>CustomRibbon</vt:lpstr>
      <vt:lpstr>DBList</vt:lpstr>
      <vt:lpstr>DBMS</vt:lpstr>
      <vt:lpstr>DBName</vt:lpstr>
      <vt:lpstr>DBServer</vt:lpstr>
      <vt:lpstr>debugMode</vt:lpstr>
      <vt:lpstr>Frm_NewSheetLeft</vt:lpstr>
      <vt:lpstr>Frm_NewSheetTop</vt:lpstr>
      <vt:lpstr>HighLightColor</vt:lpstr>
      <vt:lpstr>IndexTypeList</vt:lpstr>
      <vt:lpstr>Instance</vt:lpstr>
      <vt:lpstr>MSAccess</vt:lpstr>
      <vt:lpstr>MySQL</vt:lpstr>
      <vt:lpstr>ODBCDriver</vt:lpstr>
      <vt:lpstr>ODBCDriverList</vt:lpstr>
      <vt:lpstr>Oracle</vt:lpstr>
      <vt:lpstr>passwd</vt:lpstr>
      <vt:lpstr>Port</vt:lpstr>
      <vt:lpstr>PostgreSQL</vt:lpstr>
      <vt:lpstr>ProjectName</vt:lpstr>
      <vt:lpstr>ribbonHighLightFlg</vt:lpstr>
      <vt:lpstr>Schema</vt:lpstr>
      <vt:lpstr>SQLServer</vt:lpstr>
      <vt:lpstr>systemName</vt:lpstr>
      <vt:lpstr>TableTypeList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小泉　文平</cp:lastModifiedBy>
  <cp:lastPrinted>2016-01-21T08:34:09Z</cp:lastPrinted>
  <dcterms:created xsi:type="dcterms:W3CDTF">2006-04-16T04:34:38Z</dcterms:created>
  <dcterms:modified xsi:type="dcterms:W3CDTF">2021-09-27T10:02:58Z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