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Line01_N.png" ContentType="image/.png"/>
</Types>
</file>

<file path=_rels/.rels><?xml version="1.0" encoding="UTF-8" standalone="yes"?>
<Relationships xmlns="http://schemas.openxmlformats.org/package/2006/relationships"><Relationship Id="R008e2dae33f5424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-15" yWindow="57885" windowWidth="20505" windowHeight="5115" tabRatio="788" activeTab="10"/>
  </bookViews>
  <sheets>
    <sheet name="設定-MySQL" sheetId="46" r:id="rId1"/>
    <sheet name="設定-ACC" sheetId="47" r:id="rId2"/>
    <sheet name="Notice" sheetId="35" r:id="rId3"/>
    <sheet name="DataType" sheetId="2" r:id="rId4"/>
    <sheet name="CopyLine" sheetId="103" r:id="rId5"/>
    <sheet name="CopySheet" sheetId="3" r:id="rId6"/>
    <sheet name="Tmp" sheetId="101" r:id="rId7"/>
    <sheet name="表紙" sheetId="4" r:id="rId8"/>
    <sheet name="変更履歴" sheetId="7" r:id="rId9"/>
    <sheet name="TBLリスト" sheetId="5" r:id="rId10"/>
    <sheet name="ER図" sheetId="86" r:id="rId11"/>
  </sheets>
  <functionGroups builtInGroupCount="18"/>
  <definedNames>
    <definedName name="■VBA用の設定">'設定-MySQL'!$B$3</definedName>
    <definedName name="Cell_colMaxLen">'設定-MySQL'!$B$59</definedName>
    <definedName name="Cell_CreateAt">'設定-MySQL'!$B$37</definedName>
    <definedName name="Cell_CreateBy">'設定-MySQL'!$B$35</definedName>
    <definedName name="Cell_dateType">'設定-MySQL'!$B$42</definedName>
    <definedName name="Cell_Default">'設定-MySQL'!$B$56</definedName>
    <definedName name="Cell_digits">'設定-MySQL'!$B$43</definedName>
    <definedName name="Cell_Idx01">'設定-MySQL'!$B$45</definedName>
    <definedName name="Cell_Idx02">'設定-MySQL'!$B$46</definedName>
    <definedName name="Cell_Idx03">'設定-MySQL'!$B$47</definedName>
    <definedName name="Cell_Idx04">'設定-MySQL'!$B$48</definedName>
    <definedName name="Cell_Idx05">'設定-MySQL'!$B$49</definedName>
    <definedName name="Cell_Idx06">'設定-MySQL'!$B$50</definedName>
    <definedName name="Cell_Idx07">'設定-MySQL'!$B$51</definedName>
    <definedName name="Cell_Idx08">'設定-MySQL'!$B$52</definedName>
    <definedName name="Cell_Idx09">'設定-MySQL'!$B$53</definedName>
    <definedName name="Cell_Idx10">'設定-MySQL'!$B$54</definedName>
    <definedName name="Cell_internalDigit">'設定-MySQL'!$B$60</definedName>
    <definedName name="Cell_logicalName">'設定-MySQL'!$B$40</definedName>
    <definedName name="Cell_logicalTableName">'設定-MySQL'!$B$32</definedName>
    <definedName name="Cell_Note">'設定-MySQL'!$B$57</definedName>
    <definedName name="Cell_Null">'設定-MySQL'!$B$55</definedName>
    <definedName name="Cell_physicalName">'設定-MySQL'!$B$41</definedName>
    <definedName name="Cell_physicalTableName">'設定-MySQL'!$B$33</definedName>
    <definedName name="Cell_PK">'設定-MySQL'!$B$44</definedName>
    <definedName name="Cell_tableNote">'設定-MySQL'!$B$34</definedName>
    <definedName name="Cell_TableType">'設定-MySQL'!$B$31</definedName>
    <definedName name="Cell_UpdateAt">'設定-MySQL'!$B$38</definedName>
    <definedName name="Cell_UpdateBy">'設定-MySQL'!$B$36</definedName>
    <definedName name="CreateAt">'設定-MySQL'!$B$15</definedName>
    <definedName name="CreateBy">'設定-MySQL'!$B$14</definedName>
    <definedName name="CustomerName">'設定-MySQL'!$B$11</definedName>
    <definedName name="CustomRibbon">'設定-MySQL'!$B$6</definedName>
    <definedName name="DBList">'設定-MySQL'!$H$5:$H$8</definedName>
    <definedName name="DBMS">'設定-MySQL'!$B$17</definedName>
    <definedName name="DBName">'設定-MySQL'!$B$20</definedName>
    <definedName name="DBServer">'設定-MySQL'!$B$19</definedName>
    <definedName name="debugMode">'設定-MySQL'!$B$5</definedName>
    <definedName name="defaultRowHeight">'設定-MySQL'!$B$27</definedName>
    <definedName name="defaultVal">'設定-MySQL'!$K$5:$K$7</definedName>
    <definedName name="HighLightColor">'設定-MySQL'!$B$8</definedName>
    <definedName name="IndexTypeList">'設定-MySQL'!$J$5:$J$8</definedName>
    <definedName name="Instance">'設定-MySQL'!$B$22</definedName>
    <definedName name="MSAccess">DataType!$M$3:$M$16</definedName>
    <definedName name="MySQL">DataType!$D$3:$D$19</definedName>
    <definedName name="ODBCDriver">'設定-MySQL'!$B$18</definedName>
    <definedName name="ODBCDriverList">'設定-MySQL'!$I$5:$I$7</definedName>
    <definedName name="Oracle">DataType!$G$3:$G$11</definedName>
    <definedName name="outputDir">'設定-MySQL'!$B$28</definedName>
    <definedName name="passwd">'設定-MySQL'!$B$25</definedName>
    <definedName name="Port">'設定-MySQL'!$B$21</definedName>
    <definedName name="PostgreSQL">DataType!$A$3:$A$35</definedName>
    <definedName name="ProjectName">'設定-MySQL'!$B$12</definedName>
    <definedName name="ribbonHighLightFlg">'設定-MySQL'!$B$7</definedName>
    <definedName name="Schema">'設定-MySQL'!$B$23</definedName>
    <definedName name="SQLServer">DataType!$J$3:$J$34</definedName>
    <definedName name="systemName">'設定-MySQL'!$B$13</definedName>
    <definedName name="TableTypeList">'設定-MySQL'!$G$5:$G$10</definedName>
    <definedName name="useImage">'設定-MySQL'!$B$64</definedName>
    <definedName name="useLogicalName">'設定-MySQL'!$B$62</definedName>
    <definedName name="usePhysicalName">'設定-MySQL'!$B$63</definedName>
    <definedName name="userID">'設定-MySQL'!$B$24</definedName>
    <definedName name="zoomLevel">'設定-MySQL'!$B$9</definedName>
    <definedName name="項目名">'設定-MySQL'!$B$4</definedName>
  </definedNames>
  <calcPr calcId="162913"/>
  <customWorkbookViews>
    <customWorkbookView name="Administrator - 個人用ビュー" guid="{11FF3D1A-B611-4935-A0EC-72FFAD7F9EAF}" mergeInterval="0" personalView="1" maximized="1" xWindow="-8" yWindow="-8" windowWidth="1696" windowHeight="1036" tabRatio="882" activeSheetId="18"/>
    <customWorkbookView name="LHT0220001 - 個人用ビュー" guid="{1D8BE6F4-405A-4FC6-B1E3-D9618F9FD7A8}" mergeInterval="0" personalView="1" maximized="1" xWindow="1" yWindow="1" windowWidth="1916" windowHeight="788" tabRatio="766" activeSheetId="5" showComments="commIndAndComment"/>
    <customWorkbookView name="kaneko - 個人用ビュー" guid="{898DF6CC-64C7-4F2D-A13E-0A476B60DF75}" mergeInterval="0" personalView="1" maximized="1" xWindow="1" yWindow="1" windowWidth="1276" windowHeight="797" tabRatio="882" activeSheetId="5"/>
    <customWorkbookView name="TCI_小泉文平 - 個人用ビュー" guid="{809E84AF-EE5E-4456-99E6-0390B35F6AD9}" mergeInterval="0" personalView="1" maximized="1" xWindow="1" yWindow="1" windowWidth="1276" windowHeight="746" tabRatio="766" activeSheetId="4"/>
  </customWorkbookViews>
</workbook>
</file>

<file path=xl/calcChain.xml><?xml version="1.0" encoding="utf-8"?>
<calcChain xmlns="http://schemas.openxmlformats.org/spreadsheetml/2006/main">
  <c r="B1" i="3" l="1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A1" i="3"/>
  <c r="B13" i="5"/>
  <c r="B12" i="5"/>
  <c r="B11" i="5"/>
  <c r="B10" i="5"/>
  <c r="B9" i="5"/>
  <c r="B8" i="5"/>
  <c r="B7" i="5"/>
  <c r="B6" i="5"/>
  <c r="B15" i="5"/>
  <c r="B14" i="5"/>
  <c r="E1" i="46" l="1"/>
  <c r="W5" i="3" l="1"/>
  <c r="U5" i="3"/>
  <c r="A1" i="46" l="1"/>
  <c r="B1" i="46"/>
  <c r="C1" i="46"/>
  <c r="D1" i="46"/>
  <c r="F1" i="46"/>
  <c r="G1" i="46"/>
  <c r="H1" i="46"/>
  <c r="I1" i="46"/>
  <c r="J1" i="46"/>
  <c r="K1" i="46"/>
  <c r="L1" i="46"/>
  <c r="M1" i="46"/>
  <c r="N1" i="46"/>
  <c r="O1" i="46"/>
  <c r="P1" i="46"/>
  <c r="Q1" i="46"/>
  <c r="R1" i="46"/>
  <c r="S1" i="46"/>
  <c r="T1" i="46"/>
  <c r="U1" i="46"/>
  <c r="V1" i="46"/>
  <c r="B1" i="4" l="1"/>
  <c r="A4" i="4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AA48" i="3"/>
  <c r="C48" i="3"/>
  <c r="AA47" i="3"/>
  <c r="C47" i="3"/>
  <c r="AA46" i="3"/>
  <c r="C46" i="3"/>
  <c r="AA45" i="3"/>
  <c r="C45" i="3"/>
  <c r="AA44" i="3"/>
  <c r="C44" i="3"/>
  <c r="AA43" i="3"/>
  <c r="C43" i="3"/>
  <c r="AA42" i="3"/>
  <c r="C42" i="3"/>
  <c r="AA41" i="3"/>
  <c r="C41" i="3"/>
  <c r="AA40" i="3"/>
  <c r="C40" i="3"/>
  <c r="AA39" i="3"/>
  <c r="C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U6" i="3"/>
  <c r="G3" i="3"/>
  <c r="W2" i="3"/>
  <c r="U2" i="3"/>
  <c r="G2" i="3"/>
  <c r="U12" i="47" l="1"/>
  <c r="V12" i="46"/>
  <c r="B16" i="5" l="1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 l="1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AR38" i="4" l="1"/>
  <c r="D6" i="7"/>
  <c r="C6" i="7"/>
  <c r="AL38" i="4" s="1"/>
  <c r="T2" i="7"/>
  <c r="H3" i="7"/>
  <c r="Q2" i="7"/>
  <c r="H2" i="7"/>
  <c r="I2" i="5"/>
  <c r="E3" i="5"/>
  <c r="G2" i="5"/>
  <c r="E2" i="5"/>
</calcChain>
</file>

<file path=xl/comments1.xml><?xml version="1.0" encoding="utf-8"?>
<comments xmlns="http://schemas.openxmlformats.org/spreadsheetml/2006/main">
  <authors>
    <author>小泉文平</author>
  </authors>
  <commentList>
    <comment ref="S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sharedStrings.xml><?xml version="1.0" encoding="utf-8"?>
<sst xmlns="http://schemas.openxmlformats.org/spreadsheetml/2006/main" count="919" uniqueCount="547">
  <si>
    <t>整数型。別名でintEGER型がある。暦の日付（年月日）</t>
  </si>
  <si>
    <t>データ型</t>
  </si>
  <si>
    <t>プロジェクト名</t>
    <rPh sb="6" eb="7">
      <t>メイ</t>
    </rPh>
    <phoneticPr fontId="4"/>
  </si>
  <si>
    <t>作成者</t>
    <rPh sb="0" eb="3">
      <t>サクセイシャ</t>
    </rPh>
    <phoneticPr fontId="4"/>
  </si>
  <si>
    <t>作成日</t>
    <rPh sb="0" eb="3">
      <t>サクセイビ</t>
    </rPh>
    <phoneticPr fontId="4"/>
  </si>
  <si>
    <t>システム名</t>
    <rPh sb="4" eb="5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</si>
  <si>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</si>
  <si>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</si>
  <si>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桁数</t>
    <rPh sb="0" eb="2">
      <t>ケタスウ</t>
    </rPh>
    <phoneticPr fontId="4"/>
  </si>
  <si>
    <t>bigint</t>
  </si>
  <si>
    <t>int8</t>
  </si>
  <si>
    <t>8バイト符号付整数</t>
  </si>
  <si>
    <t>serial8</t>
  </si>
  <si>
    <t>bigserial</t>
  </si>
  <si>
    <t>bit</t>
  </si>
  <si>
    <t>固定長ビット列</t>
  </si>
  <si>
    <t>可変長ビット列</t>
  </si>
  <si>
    <t>bool</t>
  </si>
  <si>
    <t>boolean</t>
  </si>
  <si>
    <t>論理（ブール）値（真/偽）</t>
  </si>
  <si>
    <t>box</t>
  </si>
  <si>
    <t>平面上の矩形</t>
  </si>
  <si>
    <t>bytea</t>
  </si>
  <si>
    <t>バイナリデータ</t>
  </si>
  <si>
    <t>可変長文字列</t>
  </si>
  <si>
    <t>固定長文字列</t>
  </si>
  <si>
    <t>cidr</t>
  </si>
  <si>
    <t>IPv4もしくはIPv6ネットワークアドレス</t>
  </si>
  <si>
    <t>circle</t>
  </si>
  <si>
    <t>平面上の円</t>
  </si>
  <si>
    <t>date</t>
  </si>
  <si>
    <t>暦の日付（年月日）</t>
  </si>
  <si>
    <t>float8</t>
  </si>
  <si>
    <t>double precision</t>
  </si>
  <si>
    <t>倍精度浮動小数点</t>
  </si>
  <si>
    <t>inet</t>
  </si>
  <si>
    <t>IPv4もしくはIPv6ホストアドレス</t>
  </si>
  <si>
    <t>integer</t>
  </si>
  <si>
    <t>4バイト符号付整数</t>
  </si>
  <si>
    <t>時間間隔</t>
  </si>
  <si>
    <t>line</t>
  </si>
  <si>
    <t>平面上の無限直線(完全に実装されていません)</t>
  </si>
  <si>
    <t>lseg</t>
  </si>
  <si>
    <t>平面上の線分</t>
  </si>
  <si>
    <t>macaddr</t>
  </si>
  <si>
    <t>MAC アドレス</t>
  </si>
  <si>
    <t>money</t>
  </si>
  <si>
    <t>貨幣金額</t>
  </si>
  <si>
    <t>精度の選択可能な高精度数値</t>
  </si>
  <si>
    <t>path</t>
  </si>
  <si>
    <t>平面上の経路(開経路および閉経路)</t>
  </si>
  <si>
    <t>point</t>
  </si>
  <si>
    <t>平面上の幾何学的点</t>
  </si>
  <si>
    <t>polygon</t>
  </si>
  <si>
    <t>平面上の閉じた幾何学的経路</t>
  </si>
  <si>
    <t>real</t>
  </si>
  <si>
    <t>単精度浮動小数点</t>
  </si>
  <si>
    <t>smallint</t>
  </si>
  <si>
    <t>2 バイト符号付整数</t>
  </si>
  <si>
    <t>serial</t>
  </si>
  <si>
    <t>text</t>
  </si>
  <si>
    <t>時刻</t>
  </si>
  <si>
    <t>timetz</t>
  </si>
  <si>
    <t>時間帯付き時刻</t>
  </si>
  <si>
    <t>timestamp</t>
  </si>
  <si>
    <t>日付と時刻</t>
  </si>
  <si>
    <t>timestamptz</t>
  </si>
  <si>
    <t>時間帯付き日付と時刻</t>
  </si>
  <si>
    <t>承認</t>
    <rPh sb="0" eb="2">
      <t>ショウニン</t>
    </rPh>
    <phoneticPr fontId="4"/>
  </si>
  <si>
    <t>顧客名</t>
    <rPh sb="0" eb="2">
      <t>コキャク</t>
    </rPh>
    <rPh sb="2" eb="3">
      <t>メイ</t>
    </rPh>
    <phoneticPr fontId="4"/>
  </si>
  <si>
    <t>日付</t>
    <rPh sb="0" eb="2">
      <t>ヒヅケ</t>
    </rPh>
    <phoneticPr fontId="4"/>
  </si>
  <si>
    <t>変更内容</t>
    <rPh sb="0" eb="2">
      <t>ヘンコウ</t>
    </rPh>
    <rPh sb="2" eb="4">
      <t>ナイヨウ</t>
    </rPh>
    <phoneticPr fontId="4"/>
  </si>
  <si>
    <t>BlockSize</t>
  </si>
  <si>
    <t>自動増分 4 バイト整数   1から2147483647</t>
  </si>
  <si>
    <t>int</t>
  </si>
  <si>
    <t>varchar</t>
  </si>
  <si>
    <t>character varying(n)</t>
  </si>
  <si>
    <t>varchar(n)</t>
  </si>
  <si>
    <t>timestamp [ (p) ] [ without time zone ]</t>
  </si>
  <si>
    <t>char</t>
  </si>
  <si>
    <t>character(n)</t>
  </si>
  <si>
    <t>char(n)</t>
  </si>
  <si>
    <t>自動増分8バイト整数　1から9223372036854775807</t>
  </si>
  <si>
    <t>varbit</t>
  </si>
  <si>
    <t>bit varying(n)</t>
  </si>
  <si>
    <t>interval</t>
  </si>
  <si>
    <t>interval(p)</t>
  </si>
  <si>
    <t>time [ (p) ] with time zone</t>
  </si>
  <si>
    <t>timestamp [ (p) ] with time zone</t>
  </si>
  <si>
    <t>time</t>
  </si>
  <si>
    <t>time [ (p) ] [ without time zone ]</t>
  </si>
  <si>
    <t>numeric</t>
  </si>
  <si>
    <t>numeric [ (p, s) ]</t>
  </si>
  <si>
    <t xml:space="preserve">8バイト </t>
  </si>
  <si>
    <t>浮動小数点型で最大のデータ型。</t>
  </si>
  <si>
    <t xml:space="preserve">4バイト </t>
  </si>
  <si>
    <t xml:space="preserve">3バイト </t>
  </si>
  <si>
    <t>整数型。-8,388,608から、8,388,607まで。符号なしなら、0から4,294,967,295まで。</t>
  </si>
  <si>
    <t xml:space="preserve">2バイト </t>
  </si>
  <si>
    <t>整数型。-32,768から32,767まで。符号なしなら0から65,535まで。</t>
  </si>
  <si>
    <t xml:space="preserve">1バイト </t>
  </si>
  <si>
    <t>整数型。-128から127まで。符号なしなら、0から255まで。</t>
  </si>
  <si>
    <t>浮動小数点型。4バイト符号付整数</t>
  </si>
  <si>
    <t>整数型で最大のデータ型。IDなど、プライマリキーなどに使用する。可変長文字列</t>
  </si>
  <si>
    <t xml:space="preserve">255バイト </t>
  </si>
  <si>
    <t xml:space="preserve">65,535バイト </t>
  </si>
  <si>
    <t xml:space="preserve">16,777,215バイト </t>
  </si>
  <si>
    <t xml:space="preserve">4,294,967,295バイト </t>
  </si>
  <si>
    <t>YYYYMMDDHHMMSSという形式で格納される。UNIXでよく使われるタイムスタンプ型。</t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</si>
  <si>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</si>
  <si>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</si>
  <si>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</si>
  <si>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テーブル用パラメータ</t>
    <rPh sb="4" eb="5">
      <t>ヨウ</t>
    </rPh>
    <phoneticPr fontId="4"/>
  </si>
  <si>
    <t>版</t>
  </si>
  <si>
    <t>変更履歴</t>
    <rPh sb="0" eb="2">
      <t>ヘンコウ</t>
    </rPh>
    <rPh sb="2" eb="4">
      <t>リレキ</t>
    </rPh>
    <phoneticPr fontId="4"/>
  </si>
  <si>
    <t>初期値</t>
    <rPh sb="0" eb="3">
      <t>ショキチ</t>
    </rPh>
    <phoneticPr fontId="4"/>
  </si>
  <si>
    <t>リスト用</t>
    <rPh sb="3" eb="4">
      <t>ヨウ</t>
    </rPh>
    <phoneticPr fontId="4"/>
  </si>
  <si>
    <t>説明</t>
    <rPh sb="0" eb="2">
      <t>セツメイ</t>
    </rPh>
    <phoneticPr fontId="4"/>
  </si>
  <si>
    <t>ログインID</t>
    <phoneticPr fontId="4"/>
  </si>
  <si>
    <t>内部桁数</t>
    <phoneticPr fontId="4"/>
  </si>
  <si>
    <t>PK</t>
    <phoneticPr fontId="4"/>
  </si>
  <si>
    <t>I1</t>
    <phoneticPr fontId="4"/>
  </si>
  <si>
    <t>I2</t>
    <phoneticPr fontId="4"/>
  </si>
  <si>
    <t>NULL</t>
    <phoneticPr fontId="4"/>
  </si>
  <si>
    <t>備　　考</t>
    <phoneticPr fontId="4"/>
  </si>
  <si>
    <t>検査</t>
    <rPh sb="0" eb="2">
      <t>ケンサ</t>
    </rPh>
    <phoneticPr fontId="4"/>
  </si>
  <si>
    <t>作成</t>
    <rPh sb="0" eb="2">
      <t>サクセイ</t>
    </rPh>
    <phoneticPr fontId="4"/>
  </si>
  <si>
    <t>PostgreSQL</t>
    <phoneticPr fontId="4"/>
  </si>
  <si>
    <t>timestamp without time zone</t>
    <phoneticPr fontId="4"/>
  </si>
  <si>
    <t>MySQL</t>
    <phoneticPr fontId="4"/>
  </si>
  <si>
    <t>YYYY-MM-DDという形式で格納される。</t>
    <phoneticPr fontId="4"/>
  </si>
  <si>
    <t>Oracle</t>
    <phoneticPr fontId="4"/>
  </si>
  <si>
    <t>serial</t>
    <phoneticPr fontId="4"/>
  </si>
  <si>
    <t>自動増分 4 バイト整数   1から2147483647</t>
    <phoneticPr fontId="4"/>
  </si>
  <si>
    <t>可変長文字列（～254バイト）</t>
    <phoneticPr fontId="4"/>
  </si>
  <si>
    <t>varchar2</t>
    <phoneticPr fontId="4"/>
  </si>
  <si>
    <t>character varying2(n)</t>
    <phoneticPr fontId="4"/>
  </si>
  <si>
    <t>可変長文字列（～4000バイト）</t>
    <phoneticPr fontId="4"/>
  </si>
  <si>
    <t>number</t>
    <phoneticPr fontId="4"/>
  </si>
  <si>
    <t>パスワード</t>
    <phoneticPr fontId="4"/>
  </si>
  <si>
    <t>マスターテーブル</t>
    <phoneticPr fontId="4"/>
  </si>
  <si>
    <t>ビュー</t>
    <phoneticPr fontId="4"/>
  </si>
  <si>
    <t>datetime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</si>
  <si>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</si>
  <si>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作成者</t>
    <rPh sb="0" eb="2">
      <t>サクセイ</t>
    </rPh>
    <rPh sb="2" eb="3">
      <t>シャ</t>
    </rPh>
    <phoneticPr fontId="4"/>
  </si>
  <si>
    <t>date</t>
    <phoneticPr fontId="4"/>
  </si>
  <si>
    <t>tinyint</t>
  </si>
  <si>
    <t>0 ～ 255　の範囲の数値</t>
  </si>
  <si>
    <t>おおよそ　-3万 ～ 3万の範囲の数値</t>
  </si>
  <si>
    <t>おおよそ　-20億 ～ 20億の範囲の数値</t>
  </si>
  <si>
    <t>おおよそ　-900京 ～ 900京の範囲の数値</t>
  </si>
  <si>
    <t>decimal(p, s)</t>
  </si>
  <si>
    <t>p：全体桁数　s：小数点以下桁数</t>
  </si>
  <si>
    <t>numeric(p, s)</t>
  </si>
  <si>
    <t>固定長の有効桁数と小数点以下桁数を持つため誤差は発生しない（10進数）</t>
  </si>
  <si>
    <t>float(n)</t>
  </si>
  <si>
    <t>n：仮数のビット数　浮動小数点数</t>
  </si>
  <si>
    <t>浮動小数点数</t>
  </si>
  <si>
    <t>固定長文字列(8000バイトまで)</t>
  </si>
  <si>
    <t>可変長文字列(8000バイトまで)</t>
  </si>
  <si>
    <t>nchar(n)</t>
  </si>
  <si>
    <t>Unicode固定長文字列(8000バイトまで)</t>
  </si>
  <si>
    <t>nvarchar(n)</t>
  </si>
  <si>
    <t>Unicode可変長文字列(8000バイトまで)</t>
  </si>
  <si>
    <t>ntext</t>
  </si>
  <si>
    <t>smalldatetime</t>
  </si>
  <si>
    <t>精度：1分</t>
  </si>
  <si>
    <t>精度：3.33ミリ秒</t>
  </si>
  <si>
    <t>精度：1日</t>
  </si>
  <si>
    <t>1日の時刻のみを格納し、精度は100ナノ秒</t>
  </si>
  <si>
    <t>datetime2</t>
  </si>
  <si>
    <t>精度：100ナノ秒</t>
  </si>
  <si>
    <t>datetimeoffset</t>
  </si>
  <si>
    <t>精度：100ナノ秒　タイムゾーン付き</t>
  </si>
  <si>
    <t>smallmoney</t>
  </si>
  <si>
    <t>金額や通貨を表す(範囲狭)</t>
  </si>
  <si>
    <t>金額や通貨を表す(範囲広)</t>
  </si>
  <si>
    <t>binary(n)</t>
  </si>
  <si>
    <t>固定長バイナリデータ(8000バイトまで)</t>
  </si>
  <si>
    <t>varbinary(n)</t>
  </si>
  <si>
    <t>可変長バイナリデータ(8000バイトまで)</t>
  </si>
  <si>
    <t>varvinary(max)</t>
  </si>
  <si>
    <t>可変長バイナリデータ(2GBまで)</t>
  </si>
  <si>
    <t>1, 0, NULL のどれか</t>
  </si>
  <si>
    <t>table</t>
  </si>
  <si>
    <t>SELECT文実行結果のテーブルを格納可能</t>
  </si>
  <si>
    <t>XML</t>
  </si>
  <si>
    <t>XMLデータを格納可能</t>
  </si>
  <si>
    <t>uniqueidentifier</t>
  </si>
  <si>
    <t>16バイトのGUID(グローバルユニークID)</t>
  </si>
  <si>
    <t>テーブルのデータが更新される度に加算されるカウンタ(行バージョンを格納)</t>
  </si>
  <si>
    <t>sql_variant</t>
  </si>
  <si>
    <t>複数のデータ型を格納可能</t>
  </si>
  <si>
    <t>decimal</t>
    <phoneticPr fontId="4"/>
  </si>
  <si>
    <t>numeric</t>
    <phoneticPr fontId="4"/>
  </si>
  <si>
    <t>float</t>
    <phoneticPr fontId="4"/>
  </si>
  <si>
    <t>char</t>
    <phoneticPr fontId="4"/>
  </si>
  <si>
    <t>varchar</t>
    <phoneticPr fontId="4"/>
  </si>
  <si>
    <t>nchar</t>
    <phoneticPr fontId="4"/>
  </si>
  <si>
    <t>nvarchar</t>
    <phoneticPr fontId="4"/>
  </si>
  <si>
    <t>binary</t>
    <phoneticPr fontId="4"/>
  </si>
  <si>
    <t>varbinary</t>
    <phoneticPr fontId="4"/>
  </si>
  <si>
    <t>varvinary</t>
    <phoneticPr fontId="4"/>
  </si>
  <si>
    <t>トランザクションテーブル</t>
  </si>
  <si>
    <t>更新者</t>
    <phoneticPr fontId="2"/>
  </si>
  <si>
    <t>ワークテーブル</t>
    <phoneticPr fontId="4"/>
  </si>
  <si>
    <t>テーブルリスト</t>
    <phoneticPr fontId="4"/>
  </si>
  <si>
    <t>YYYY-MM-DD HH：MM：SSという形式で格納される。</t>
  </si>
  <si>
    <t>HH：MM：SSという形式で格納される。</t>
  </si>
  <si>
    <t>新規作成</t>
    <phoneticPr fontId="13"/>
  </si>
  <si>
    <t>自動採番</t>
    <rPh sb="0" eb="2">
      <t>ジドウ</t>
    </rPh>
    <rPh sb="2" eb="4">
      <t>サイバン</t>
    </rPh>
    <phoneticPr fontId="4"/>
  </si>
  <si>
    <t>IDENTITY</t>
    <phoneticPr fontId="4"/>
  </si>
  <si>
    <t>論理テーブル名</t>
    <phoneticPr fontId="4"/>
  </si>
  <si>
    <t>double</t>
  </si>
  <si>
    <t>float</t>
  </si>
  <si>
    <t>mediumint</t>
  </si>
  <si>
    <t>tinytext</t>
  </si>
  <si>
    <t>mediumtext</t>
  </si>
  <si>
    <t>longtext</t>
  </si>
  <si>
    <t>ODBC ドライバー</t>
    <phoneticPr fontId="4"/>
  </si>
  <si>
    <t>SQLServer</t>
  </si>
  <si>
    <t>PostgreSQL Unicode</t>
    <phoneticPr fontId="4"/>
  </si>
  <si>
    <t>論理テーブル名</t>
    <rPh sb="0" eb="2">
      <t>ロンリ</t>
    </rPh>
    <rPh sb="6" eb="7">
      <t>メイ</t>
    </rPh>
    <phoneticPr fontId="4"/>
  </si>
  <si>
    <t>DBサーバー</t>
    <phoneticPr fontId="4"/>
  </si>
  <si>
    <t>ポート</t>
    <phoneticPr fontId="4"/>
  </si>
  <si>
    <t>NONCLUSTERED</t>
    <phoneticPr fontId="4"/>
  </si>
  <si>
    <t>UNIQUE NONCLUSTERED</t>
  </si>
  <si>
    <t>UNIQUE</t>
    <phoneticPr fontId="4"/>
  </si>
  <si>
    <t>DDL保存場所</t>
    <rPh sb="3" eb="5">
      <t>ホゾン</t>
    </rPh>
    <rPh sb="5" eb="7">
      <t>バショ</t>
    </rPh>
    <phoneticPr fontId="4"/>
  </si>
  <si>
    <t>文字コード</t>
    <rPh sb="0" eb="2">
      <t>モジ</t>
    </rPh>
    <phoneticPr fontId="4"/>
  </si>
  <si>
    <t>改行コード</t>
    <rPh sb="0" eb="2">
      <t>カイギョウ</t>
    </rPh>
    <phoneticPr fontId="4"/>
  </si>
  <si>
    <t>PCTFREE</t>
    <phoneticPr fontId="4"/>
  </si>
  <si>
    <t>INITRANS</t>
    <phoneticPr fontId="5"/>
  </si>
  <si>
    <t>物理テーブル名</t>
    <phoneticPr fontId="4"/>
  </si>
  <si>
    <t>インスタンス</t>
    <phoneticPr fontId="4"/>
  </si>
  <si>
    <t>スキーマ</t>
    <phoneticPr fontId="4"/>
  </si>
  <si>
    <t>データベース名</t>
    <phoneticPr fontId="4"/>
  </si>
  <si>
    <t>＊＊＊＊＊株式会社</t>
    <rPh sb="5" eb="9">
      <t>カブシキガイシャ</t>
    </rPh>
    <phoneticPr fontId="4"/>
  </si>
  <si>
    <t>小泉　文平</t>
    <rPh sb="0" eb="2">
      <t>コイズミ</t>
    </rPh>
    <rPh sb="3" eb="5">
      <t>ブンペイ</t>
    </rPh>
    <phoneticPr fontId="4"/>
  </si>
  <si>
    <t>UTF-8</t>
  </si>
  <si>
    <t>LF</t>
  </si>
  <si>
    <t>MySQL ODBC 8.0 Unicode Driver</t>
    <phoneticPr fontId="4"/>
  </si>
  <si>
    <t>MSAccess</t>
    <phoneticPr fontId="4"/>
  </si>
  <si>
    <t>クエリビュー</t>
    <phoneticPr fontId="4"/>
  </si>
  <si>
    <t>小泉　文平</t>
    <phoneticPr fontId="4"/>
  </si>
  <si>
    <t>NTP-296\SQLEXPRESS</t>
  </si>
  <si>
    <t>perSummary</t>
  </si>
  <si>
    <t>ID</t>
    <phoneticPr fontId="4"/>
  </si>
  <si>
    <t>■VBA用の設定</t>
    <rPh sb="4" eb="5">
      <t>ヨウ</t>
    </rPh>
    <rPh sb="6" eb="8">
      <t>セッテイ</t>
    </rPh>
    <phoneticPr fontId="4"/>
  </si>
  <si>
    <t>■レジストリ初期設定</t>
    <rPh sb="6" eb="10">
      <t>ショキセッテイ</t>
    </rPh>
    <phoneticPr fontId="4"/>
  </si>
  <si>
    <t>debugMode</t>
    <phoneticPr fontId="4"/>
  </si>
  <si>
    <t>develop</t>
    <phoneticPr fontId="59"/>
  </si>
  <si>
    <t>subKey</t>
    <phoneticPr fontId="13"/>
  </si>
  <si>
    <t>Main</t>
  </si>
  <si>
    <t>CustomRibbon</t>
  </si>
  <si>
    <t>ribbonHighLightFlg</t>
    <phoneticPr fontId="59"/>
  </si>
  <si>
    <t>HighLightColor</t>
    <phoneticPr fontId="60"/>
  </si>
  <si>
    <t>10222585</t>
    <phoneticPr fontId="13"/>
  </si>
  <si>
    <t>zoomLevel</t>
  </si>
  <si>
    <t>100</t>
    <phoneticPr fontId="13"/>
  </si>
  <si>
    <t>■Book用の設定</t>
    <rPh sb="5" eb="6">
      <t>ヨウ</t>
    </rPh>
    <rPh sb="7" eb="9">
      <t>セッテイ</t>
    </rPh>
    <phoneticPr fontId="4"/>
  </si>
  <si>
    <t>ODBCDriver</t>
    <phoneticPr fontId="4"/>
  </si>
  <si>
    <t>DBServer</t>
    <phoneticPr fontId="4"/>
  </si>
  <si>
    <t>DBName</t>
  </si>
  <si>
    <t>DBName</t>
    <phoneticPr fontId="4"/>
  </si>
  <si>
    <t>Message</t>
    <phoneticPr fontId="4"/>
  </si>
  <si>
    <t>ヘッダーの項目が異なります</t>
  </si>
  <si>
    <t>ExcelError：インデックスが有効範囲にありません。</t>
    <phoneticPr fontId="59"/>
  </si>
  <si>
    <t>ExcelError：型が一致しません。</t>
    <phoneticPr fontId="31"/>
  </si>
  <si>
    <t>ExcelError：オブジェクト変数または With ブロック変数が設定されていません。</t>
    <phoneticPr fontId="59"/>
  </si>
  <si>
    <t>ExcelError：アプリケーション定義またはオブジェクト定義のエラーです。</t>
    <rPh sb="19" eb="21">
      <t>テイギ</t>
    </rPh>
    <rPh sb="30" eb="32">
      <t>テイギ</t>
    </rPh>
    <phoneticPr fontId="31"/>
  </si>
  <si>
    <t>名称</t>
    <phoneticPr fontId="4"/>
  </si>
  <si>
    <t>説明</t>
    <phoneticPr fontId="4"/>
  </si>
  <si>
    <t>userID</t>
    <phoneticPr fontId="4"/>
  </si>
  <si>
    <t>passwd</t>
    <phoneticPr fontId="4"/>
  </si>
  <si>
    <t>ProjectName</t>
    <phoneticPr fontId="4"/>
  </si>
  <si>
    <t>systemName</t>
    <phoneticPr fontId="4"/>
  </si>
  <si>
    <t>SQLServer</t>
    <phoneticPr fontId="4"/>
  </si>
  <si>
    <t>CreateBy</t>
    <phoneticPr fontId="4"/>
  </si>
  <si>
    <t>CreateAt</t>
    <phoneticPr fontId="4"/>
  </si>
  <si>
    <t>スキーマ</t>
  </si>
  <si>
    <t>dbo</t>
  </si>
  <si>
    <t>論理名称</t>
    <rPh sb="0" eb="2">
      <t>ロンリ</t>
    </rPh>
    <rPh sb="2" eb="3">
      <t>メイ</t>
    </rPh>
    <rPh sb="3" eb="4">
      <t>ショウ</t>
    </rPh>
    <phoneticPr fontId="4"/>
  </si>
  <si>
    <t>物理名称</t>
    <rPh sb="0" eb="2">
      <t>ブツリ</t>
    </rPh>
    <rPh sb="2" eb="4">
      <t>メイショウ</t>
    </rPh>
    <phoneticPr fontId="4"/>
  </si>
  <si>
    <t>ExcelError：ファイルが存在しません</t>
    <phoneticPr fontId="59"/>
  </si>
  <si>
    <t>&lt;&lt;メッセージ[情報]&gt;&gt; 0～399</t>
    <rPh sb="8" eb="10">
      <t>ジョウホウ</t>
    </rPh>
    <phoneticPr fontId="13"/>
  </si>
  <si>
    <t>&lt;&lt;メッセージ[注意]&gt;&gt; 600～799</t>
    <rPh sb="8" eb="10">
      <t>チュウイ</t>
    </rPh>
    <phoneticPr fontId="13"/>
  </si>
  <si>
    <t>Frm_NewSheetTop</t>
  </si>
  <si>
    <t>Frm_NewSheetLeft</t>
  </si>
  <si>
    <t>I5</t>
  </si>
  <si>
    <t>I6</t>
  </si>
  <si>
    <t>I7</t>
  </si>
  <si>
    <t>I8</t>
  </si>
  <si>
    <t>I9</t>
  </si>
  <si>
    <t>I4</t>
  </si>
  <si>
    <t>I10</t>
  </si>
  <si>
    <t>#</t>
    <phoneticPr fontId="4"/>
  </si>
  <si>
    <t>I3</t>
  </si>
  <si>
    <t>○△□プロジェクト</t>
    <phoneticPr fontId="4"/>
  </si>
  <si>
    <t>○✕システム</t>
  </si>
  <si>
    <t>○○　✕✕</t>
    <phoneticPr fontId="4"/>
  </si>
  <si>
    <t>MySQL</t>
  </si>
  <si>
    <t>PostgreSQL</t>
  </si>
  <si>
    <t>MSAccess</t>
  </si>
  <si>
    <t>DBList</t>
    <phoneticPr fontId="4"/>
  </si>
  <si>
    <t>ODBCDriverList</t>
    <phoneticPr fontId="4"/>
  </si>
  <si>
    <t>IndexTypeList</t>
    <phoneticPr fontId="4"/>
  </si>
  <si>
    <t>TableTypeList</t>
    <phoneticPr fontId="4"/>
  </si>
  <si>
    <t>RowStart</t>
    <phoneticPr fontId="13"/>
  </si>
  <si>
    <t>IndexStart</t>
    <phoneticPr fontId="13"/>
  </si>
  <si>
    <t>TriggerStart</t>
    <phoneticPr fontId="13"/>
  </si>
  <si>
    <t>Column</t>
    <phoneticPr fontId="4"/>
  </si>
  <si>
    <t>End</t>
    <phoneticPr fontId="4"/>
  </si>
  <si>
    <t>数値</t>
  </si>
  <si>
    <t>定数名</t>
  </si>
  <si>
    <t>adSmallInt</t>
    <phoneticPr fontId="4"/>
  </si>
  <si>
    <t>adSingle</t>
    <phoneticPr fontId="4"/>
  </si>
  <si>
    <t>adDouble</t>
    <phoneticPr fontId="4"/>
  </si>
  <si>
    <t>adBSTR</t>
    <phoneticPr fontId="4"/>
  </si>
  <si>
    <t>adIDispatch</t>
    <phoneticPr fontId="4"/>
  </si>
  <si>
    <t>adError</t>
    <phoneticPr fontId="4"/>
  </si>
  <si>
    <t>adVariant</t>
    <phoneticPr fontId="4"/>
  </si>
  <si>
    <t>adIUnknown</t>
    <phoneticPr fontId="4"/>
  </si>
  <si>
    <t>adDecimal</t>
    <phoneticPr fontId="4"/>
  </si>
  <si>
    <t>adTinyInt</t>
    <phoneticPr fontId="4"/>
  </si>
  <si>
    <t>adUnsignedTinyInt</t>
    <phoneticPr fontId="4"/>
  </si>
  <si>
    <t>adUnsignedSmallInt</t>
    <phoneticPr fontId="4"/>
  </si>
  <si>
    <t>adUnsignedInt</t>
    <phoneticPr fontId="4"/>
  </si>
  <si>
    <t>adBigInt</t>
    <phoneticPr fontId="4"/>
  </si>
  <si>
    <t>adUnsignedBigInt</t>
    <phoneticPr fontId="4"/>
  </si>
  <si>
    <t>adFileTime</t>
    <phoneticPr fontId="4"/>
  </si>
  <si>
    <t>adGUID</t>
    <phoneticPr fontId="4"/>
  </si>
  <si>
    <t>adBinary</t>
    <phoneticPr fontId="4"/>
  </si>
  <si>
    <t>adChar</t>
    <phoneticPr fontId="4"/>
  </si>
  <si>
    <t>adWChar</t>
    <phoneticPr fontId="4"/>
  </si>
  <si>
    <t>adNumeric</t>
    <phoneticPr fontId="4"/>
  </si>
  <si>
    <t>adUserDefined</t>
    <phoneticPr fontId="4"/>
  </si>
  <si>
    <t>adDBDate</t>
    <phoneticPr fontId="4"/>
  </si>
  <si>
    <t>adDBTime</t>
    <phoneticPr fontId="4"/>
  </si>
  <si>
    <t>adDBTimeStamp</t>
    <phoneticPr fontId="4"/>
  </si>
  <si>
    <t>adChapter</t>
    <phoneticPr fontId="4"/>
  </si>
  <si>
    <t>adPropVariant</t>
    <phoneticPr fontId="4"/>
  </si>
  <si>
    <t>adVarNumeric</t>
    <phoneticPr fontId="4"/>
  </si>
  <si>
    <t>adVarChar</t>
    <phoneticPr fontId="4"/>
  </si>
  <si>
    <t>adLongVarChar</t>
    <phoneticPr fontId="4"/>
  </si>
  <si>
    <t>adVarBinary</t>
    <phoneticPr fontId="4"/>
  </si>
  <si>
    <t>Schema</t>
    <phoneticPr fontId="4"/>
  </si>
  <si>
    <t>Instance</t>
    <phoneticPr fontId="4"/>
  </si>
  <si>
    <t>リンクテーブル</t>
  </si>
  <si>
    <t>■MS ACCESS用の設定</t>
    <rPh sb="10" eb="11">
      <t>ヨウ</t>
    </rPh>
    <rPh sb="12" eb="14">
      <t>セッテイ</t>
    </rPh>
    <phoneticPr fontId="4"/>
  </si>
  <si>
    <t>Port</t>
  </si>
  <si>
    <t>MySQL ODBC 8.0 Unicode Driver</t>
  </si>
  <si>
    <t>localhost</t>
    <phoneticPr fontId="4"/>
  </si>
  <si>
    <t>root</t>
    <phoneticPr fontId="4"/>
  </si>
  <si>
    <t>mmH6Fep</t>
    <phoneticPr fontId="4"/>
  </si>
  <si>
    <t>DBMS</t>
    <phoneticPr fontId="4"/>
  </si>
  <si>
    <t>3306</t>
  </si>
  <si>
    <t>プロジェクト名</t>
  </si>
  <si>
    <t>システム名</t>
  </si>
  <si>
    <t>物理テーブル名</t>
  </si>
  <si>
    <t>タイプ</t>
  </si>
  <si>
    <t>インデックス名</t>
  </si>
  <si>
    <t>ユニーク</t>
  </si>
  <si>
    <t>備考</t>
  </si>
  <si>
    <t>トリガー名</t>
  </si>
  <si>
    <t>タイミング</t>
  </si>
  <si>
    <t>処理</t>
  </si>
  <si>
    <t>NONUNIQUE</t>
    <phoneticPr fontId="4"/>
  </si>
  <si>
    <t>カラム名</t>
    <rPh sb="3" eb="4">
      <t>メイ</t>
    </rPh>
    <phoneticPr fontId="13"/>
  </si>
  <si>
    <t>C:\WorkSpace\VBA\Template\Database.accdb</t>
  </si>
  <si>
    <t>Database.accdb</t>
    <phoneticPr fontId="13"/>
  </si>
  <si>
    <t>INT</t>
    <phoneticPr fontId="4"/>
  </si>
  <si>
    <t>DATE</t>
    <phoneticPr fontId="4"/>
  </si>
  <si>
    <t>テキスト型</t>
  </si>
  <si>
    <t>メモ型</t>
  </si>
  <si>
    <t>MEMO</t>
  </si>
  <si>
    <t>数値型（Byte型）</t>
  </si>
  <si>
    <t>BYTE</t>
  </si>
  <si>
    <t>数値型（整数型）</t>
  </si>
  <si>
    <t>数値型（長整数型）</t>
  </si>
  <si>
    <t>LONG</t>
  </si>
  <si>
    <t>数値型（単精度浮動小数点型）</t>
  </si>
  <si>
    <t>SINGLE</t>
  </si>
  <si>
    <t>数値型（倍精度浮動小数点型）</t>
  </si>
  <si>
    <t>DOUBLE</t>
  </si>
  <si>
    <t>数値型（レプリケーションID型）</t>
  </si>
  <si>
    <t>GUID</t>
  </si>
  <si>
    <t>日付/時刻型</t>
  </si>
  <si>
    <t>DATETIME</t>
  </si>
  <si>
    <t>通貨型</t>
  </si>
  <si>
    <t>CURRENCY</t>
  </si>
  <si>
    <t>オートナンバー型</t>
  </si>
  <si>
    <t>COUNTER</t>
  </si>
  <si>
    <t>Yes/No型</t>
  </si>
  <si>
    <t>YESNO</t>
  </si>
  <si>
    <t>Oleオブジェクト型</t>
  </si>
  <si>
    <t>LONGBINARY</t>
  </si>
  <si>
    <t>バイナリ型</t>
  </si>
  <si>
    <t>TEXT</t>
    <phoneticPr fontId="4"/>
  </si>
  <si>
    <t>BINARY</t>
    <phoneticPr fontId="4"/>
  </si>
  <si>
    <t>TEXT</t>
    <phoneticPr fontId="4"/>
  </si>
  <si>
    <t>MEMO</t>
    <phoneticPr fontId="4"/>
  </si>
  <si>
    <t>CURRENCY</t>
    <phoneticPr fontId="4"/>
  </si>
  <si>
    <t>LONGBINARY</t>
    <phoneticPr fontId="4"/>
  </si>
  <si>
    <t>Cell_physicalName</t>
    <phoneticPr fontId="13"/>
  </si>
  <si>
    <t>Cell_logicalName</t>
    <phoneticPr fontId="13"/>
  </si>
  <si>
    <t>D</t>
    <phoneticPr fontId="13"/>
  </si>
  <si>
    <t>E</t>
    <phoneticPr fontId="13"/>
  </si>
  <si>
    <t>Cell_dateType</t>
    <phoneticPr fontId="13"/>
  </si>
  <si>
    <t>F</t>
    <phoneticPr fontId="13"/>
  </si>
  <si>
    <t>Cell_digits</t>
    <phoneticPr fontId="13"/>
  </si>
  <si>
    <t>G</t>
    <phoneticPr fontId="13"/>
  </si>
  <si>
    <t>Cell_PK</t>
    <phoneticPr fontId="13"/>
  </si>
  <si>
    <t>Cell_Idx01</t>
    <phoneticPr fontId="13"/>
  </si>
  <si>
    <t>I</t>
    <phoneticPr fontId="13"/>
  </si>
  <si>
    <t>J</t>
    <phoneticPr fontId="13"/>
  </si>
  <si>
    <t>Cell_Null</t>
    <phoneticPr fontId="13"/>
  </si>
  <si>
    <t>Cell_Default</t>
    <phoneticPr fontId="13"/>
  </si>
  <si>
    <t>Cell_Note</t>
    <phoneticPr fontId="13"/>
  </si>
  <si>
    <t>T</t>
    <phoneticPr fontId="13"/>
  </si>
  <si>
    <t>U</t>
    <phoneticPr fontId="13"/>
  </si>
  <si>
    <t>V</t>
    <phoneticPr fontId="13"/>
  </si>
  <si>
    <t>Cell_logicalTableName</t>
    <phoneticPr fontId="13"/>
  </si>
  <si>
    <t>Cell_physicalTableName</t>
    <phoneticPr fontId="13"/>
  </si>
  <si>
    <t>E5</t>
    <phoneticPr fontId="13"/>
  </si>
  <si>
    <t>G5</t>
    <phoneticPr fontId="13"/>
  </si>
  <si>
    <t>Cell_TableType</t>
    <phoneticPr fontId="13"/>
  </si>
  <si>
    <t>C2</t>
    <phoneticPr fontId="13"/>
  </si>
  <si>
    <t>E6</t>
    <phoneticPr fontId="13"/>
  </si>
  <si>
    <t>Cell_tableNote</t>
    <phoneticPr fontId="13"/>
  </si>
  <si>
    <t>小泉　文平</t>
  </si>
  <si>
    <t>ファイルを全て選択してください</t>
  </si>
  <si>
    <t>ファイルを選択してください</t>
  </si>
  <si>
    <t>を入力してください</t>
  </si>
  <si>
    <t>フォルダを選択してください</t>
  </si>
  <si>
    <t>キャンセルされました</t>
  </si>
  <si>
    <t>処理が完了しました</t>
  </si>
  <si>
    <t>インポート処理が完了しました</t>
  </si>
  <si>
    <t>エクスポート処理が完了しました</t>
  </si>
  <si>
    <t>登録処理が完了しました</t>
  </si>
  <si>
    <t>集計処理が完了しました</t>
  </si>
  <si>
    <t>取得処理が完了しました</t>
  </si>
  <si>
    <t>&lt;&lt;メッセージ[警告]&gt;&gt; 400～599</t>
  </si>
  <si>
    <t>エラーが発生しました</t>
  </si>
  <si>
    <t>インストールバージョンが一致しません</t>
  </si>
  <si>
    <t>インストールファイルが存在しません</t>
  </si>
  <si>
    <t>フォルダーが存在しません</t>
  </si>
  <si>
    <t>ファイルが存在しません</t>
  </si>
  <si>
    <t>シートが存在しません</t>
  </si>
  <si>
    <t>データが存在しません</t>
  </si>
  <si>
    <t>同名ファイルが開かれています</t>
  </si>
  <si>
    <t>実行できませんでした</t>
  </si>
  <si>
    <t>データベースへの接続に失敗しました</t>
  </si>
  <si>
    <t>データベースへの切断に失敗しました</t>
  </si>
  <si>
    <t>データベースの更新に失敗しました</t>
  </si>
  <si>
    <t>インサート中にエラーが発生しました</t>
  </si>
  <si>
    <t>INT</t>
    <phoneticPr fontId="4"/>
  </si>
  <si>
    <t>YESNO</t>
    <phoneticPr fontId="4"/>
  </si>
  <si>
    <t>test</t>
    <phoneticPr fontId="4"/>
  </si>
  <si>
    <t>newTable</t>
  </si>
  <si>
    <t>文字数</t>
    <rPh sb="0" eb="3">
      <t>モジスウ</t>
    </rPh>
    <phoneticPr fontId="13"/>
  </si>
  <si>
    <t>Cell_colMaxLen</t>
    <phoneticPr fontId="13"/>
  </si>
  <si>
    <t>H</t>
    <phoneticPr fontId="13"/>
  </si>
  <si>
    <t>Cell_UpdateBy</t>
    <phoneticPr fontId="13"/>
  </si>
  <si>
    <t>W2</t>
    <phoneticPr fontId="13"/>
  </si>
  <si>
    <t>Cell_UpdateAt</t>
    <phoneticPr fontId="13"/>
  </si>
  <si>
    <t>Cell_CreateBy</t>
    <phoneticPr fontId="13"/>
  </si>
  <si>
    <t>Cell_CreateAt</t>
    <phoneticPr fontId="13"/>
  </si>
  <si>
    <t>W3</t>
    <phoneticPr fontId="13"/>
  </si>
  <si>
    <t>S</t>
    <phoneticPr fontId="13"/>
  </si>
  <si>
    <t>AA</t>
    <phoneticPr fontId="13"/>
  </si>
  <si>
    <t>Cell_internalDigit</t>
    <phoneticPr fontId="13"/>
  </si>
  <si>
    <t>AB</t>
    <phoneticPr fontId="13"/>
  </si>
  <si>
    <t>U2</t>
    <phoneticPr fontId="13"/>
  </si>
  <si>
    <t>U3</t>
    <phoneticPr fontId="13"/>
  </si>
  <si>
    <t>defaultRowHeight</t>
    <phoneticPr fontId="13"/>
  </si>
  <si>
    <t>18</t>
    <phoneticPr fontId="13"/>
  </si>
  <si>
    <t>outputDir</t>
    <phoneticPr fontId="13"/>
  </si>
  <si>
    <t>C:\WorkSpace\VBA\Template\SQL</t>
  </si>
  <si>
    <t>CustomerName</t>
    <phoneticPr fontId="13"/>
  </si>
  <si>
    <t>○○株式会社</t>
    <rPh sb="2" eb="6">
      <t>カブ</t>
    </rPh>
    <phoneticPr fontId="4"/>
  </si>
  <si>
    <t>#</t>
  </si>
  <si>
    <t>論理テーブル名</t>
  </si>
  <si>
    <t>作成日</t>
  </si>
  <si>
    <t>si_joblist1</t>
  </si>
  <si>
    <t>SI_案件一覧1</t>
  </si>
  <si>
    <t>si_joblist2</t>
  </si>
  <si>
    <t>SI_案件一覧2</t>
  </si>
  <si>
    <t>si_joblist3</t>
  </si>
  <si>
    <t>SI_案件一覧3</t>
  </si>
  <si>
    <t>si_joblist4</t>
  </si>
  <si>
    <t>SI_案件一覧4</t>
  </si>
  <si>
    <t>si_joblist5</t>
  </si>
  <si>
    <t>SI_案件一覧5</t>
  </si>
  <si>
    <t>si_joblist6</t>
  </si>
  <si>
    <t>SI_案件一覧6</t>
  </si>
  <si>
    <t>si_joblist7</t>
  </si>
  <si>
    <t>SI_案件一覧7</t>
  </si>
  <si>
    <t>useLogicalName</t>
  </si>
  <si>
    <t>usePhysicalName</t>
  </si>
  <si>
    <t>useImage</t>
  </si>
  <si>
    <t>True</t>
    <phoneticPr fontId="13"/>
  </si>
  <si>
    <t>False</t>
    <phoneticPr fontId="13"/>
  </si>
  <si>
    <t>defaultVal</t>
    <phoneticPr fontId="4"/>
  </si>
  <si>
    <t>CURRENT_TIMESTAMP</t>
  </si>
  <si>
    <t>AUTO_INCREMENT</t>
  </si>
  <si>
    <t>CURRENT_TIMESTAMP  ON UPDATE CURRENT_TIMESTAMP</t>
  </si>
  <si>
    <t>テーブル説明1</t>
  </si>
  <si>
    <t>マスターテーブル</t>
  </si>
  <si>
    <t>テーブル種別</t>
    <rPh sb="4" eb="6">
      <t>シュベツ</t>
    </rPh>
    <phoneticPr fontId="4"/>
  </si>
  <si>
    <t>テスト</t>
  </si>
  <si>
    <t>test</t>
  </si>
  <si>
    <t>テスト用テーブル</t>
  </si>
  <si>
    <t>テーブル説明2</t>
  </si>
  <si>
    <t>テーブル説明3</t>
  </si>
  <si>
    <t>テーブル説明4</t>
  </si>
  <si>
    <t>テーブル説明5</t>
  </si>
  <si>
    <t>テーブル説明6</t>
  </si>
  <si>
    <t>テーブル説明7</t>
  </si>
  <si>
    <t>Cell_Idx10</t>
    <phoneticPr fontId="13"/>
  </si>
  <si>
    <t>R</t>
    <phoneticPr fontId="4"/>
  </si>
  <si>
    <t>Cell_Idx02</t>
  </si>
  <si>
    <t>Cell_Idx03</t>
  </si>
  <si>
    <t>Cell_Idx04</t>
  </si>
  <si>
    <t>Cell_Idx05</t>
  </si>
  <si>
    <t>Cell_Idx06</t>
  </si>
  <si>
    <t>Cell_Idx07</t>
  </si>
  <si>
    <t>Cell_Idx08</t>
  </si>
  <si>
    <t>Cell_Idx09</t>
  </si>
  <si>
    <t>K</t>
    <phoneticPr fontId="13"/>
  </si>
  <si>
    <t>L</t>
    <phoneticPr fontId="13"/>
  </si>
  <si>
    <t>M</t>
    <phoneticPr fontId="13"/>
  </si>
  <si>
    <t>N</t>
    <phoneticPr fontId="13"/>
  </si>
  <si>
    <t>O</t>
    <phoneticPr fontId="13"/>
  </si>
  <si>
    <t>P</t>
    <phoneticPr fontId="13"/>
  </si>
  <si>
    <t>Q</t>
    <phoneticPr fontId="13"/>
  </si>
  <si>
    <t>indexStart</t>
    <phoneticPr fontId="4"/>
  </si>
  <si>
    <t>columnEnd</t>
    <phoneticPr fontId="4"/>
  </si>
  <si>
    <t>■setLine</t>
    <phoneticPr fontId="4"/>
  </si>
  <si>
    <t>spacer1</t>
    <phoneticPr fontId="4"/>
  </si>
  <si>
    <t>spacer2</t>
    <phoneticPr fontId="4"/>
  </si>
  <si>
    <t>spacer3</t>
    <phoneticPr fontId="4"/>
  </si>
  <si>
    <t>triggerStart</t>
    <phoneticPr fontId="4"/>
  </si>
  <si>
    <t>PK</t>
    <phoneticPr fontId="4"/>
  </si>
  <si>
    <t>IndexColumn</t>
    <phoneticPr fontId="13"/>
  </si>
  <si>
    <t>test</t>
    <phoneticPr fontId="4"/>
  </si>
  <si>
    <t>TriggerColumn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</si>
</sst>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¥&quot;#,##0;[Red]&quot;¥&quot;\-#,##0"/>
    <numFmt numFmtId="8" formatCode="&quot;¥&quot;#,##0.00;[Red]&quot;¥&quot;\-#,##0.00"/>
    <numFmt numFmtId="176" formatCode="#,##0&quot; KByte&quot;"/>
    <numFmt numFmtId="177" formatCode="&quot;NOT NULL&quot;"/>
    <numFmt numFmtId="178" formatCode="#"/>
    <numFmt numFmtId="179" formatCode="yyyy/mm/dd"/>
    <numFmt numFmtId="180" formatCode="0_ "/>
    <numFmt numFmtId="181" formatCode="General&quot;版&quot;"/>
    <numFmt numFmtId="182" formatCode="&quot;第&quot;0.00&quot; 版&quot;"/>
    <numFmt numFmtId="183" formatCode="0.0&quot; 版&quot;"/>
    <numFmt numFmtId="184" formatCode="#,##0_ ;[Red]\-#,##0\ "/>
    <numFmt numFmtId="185" formatCode="0.0%_ "/>
    <numFmt numFmtId="186" formatCode="&quot;¥&quot;#,##0_ ;[Red]&quot;¥&quot;\-#,##0\ "/>
    <numFmt numFmtId="187" formatCode="#,##0.0_ ;[Red]\-#,##0.0\ "/>
    <numFmt numFmtId="188" formatCode="yyyy/mm/dd\ hh:mm:ss"/>
  </numFmts>
  <fonts count="67">
    <font>
      <sz val="9"/>
      <color rgb="FF000000"/>
      <name val="メイリオ"/>
      <family val="3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6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u/>
      <sz val="9"/>
      <color theme="10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Meiryo UI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sz val="9"/>
      <color indexed="81"/>
      <name val="ＭＳ Ｐゴシック"/>
      <family val="3"/>
      <charset val="128"/>
    </font>
    <font>
      <sz val="6"/>
      <name val="Meiryo UI"/>
      <family val="2"/>
      <charset val="128"/>
    </font>
    <font>
      <u/>
      <sz val="9"/>
      <color theme="10"/>
      <name val="Meiryo UI"/>
      <family val="2"/>
      <charset val="128"/>
    </font>
    <font>
      <sz val="10"/>
      <color rgb="FF000000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Meiryo UI"/>
      <family val="3"/>
      <charset val="128"/>
    </font>
    <font>
      <sz val="6"/>
      <name val="游ゴシック"/>
      <family val="3"/>
      <charset val="128"/>
    </font>
    <font>
      <u/>
      <sz val="10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14"/>
      <color rgb="FFFFFFFF"/>
      <name val="メイリオ"/>
      <family val="3"/>
      <charset val="128"/>
    </font>
  </fonts>
  <fills count="6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499984740745262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rgb="FF000000"/>
      </bottom>
      <diagonal/>
    </border>
  </borders>
  <cellStyleXfs count="113">
    <xf numFmtId="0" fontId="0" fillId="0" borderId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7" borderId="62" applyNumberFormat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29" borderId="63" applyNumberFormat="0" applyFont="0" applyAlignment="0" applyProtection="0">
      <alignment vertical="center"/>
    </xf>
    <xf numFmtId="0" fontId="18" fillId="0" borderId="64" applyNumberFormat="0" applyFill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65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6" applyNumberFormat="0" applyFill="0" applyAlignment="0" applyProtection="0">
      <alignment vertical="center"/>
    </xf>
    <xf numFmtId="0" fontId="23" fillId="0" borderId="67" applyNumberFormat="0" applyFill="0" applyAlignment="0" applyProtection="0">
      <alignment vertical="center"/>
    </xf>
    <xf numFmtId="0" fontId="24" fillId="0" borderId="68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9" applyNumberFormat="0" applyFill="0" applyAlignment="0" applyProtection="0">
      <alignment vertical="center"/>
    </xf>
    <xf numFmtId="0" fontId="26" fillId="31" borderId="70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32" borderId="65" applyNumberFormat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5" fillId="45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49" borderId="0" applyNumberFormat="0" applyBorder="0" applyAlignment="0" applyProtection="0">
      <alignment vertical="center"/>
    </xf>
    <xf numFmtId="0" fontId="35" fillId="50" borderId="0" applyNumberFormat="0" applyBorder="0" applyAlignment="0" applyProtection="0">
      <alignment vertical="center"/>
    </xf>
    <xf numFmtId="0" fontId="35" fillId="51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5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53" borderId="71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4" fillId="55" borderId="72" applyNumberFormat="0" applyFont="0" applyAlignment="0" applyProtection="0">
      <alignment vertical="center"/>
    </xf>
    <xf numFmtId="0" fontId="39" fillId="0" borderId="73" applyNumberFormat="0" applyFill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1" fillId="56" borderId="74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75" applyNumberFormat="0" applyFill="0" applyAlignment="0" applyProtection="0">
      <alignment vertical="center"/>
    </xf>
    <xf numFmtId="0" fontId="44" fillId="0" borderId="76" applyNumberFormat="0" applyFill="0" applyAlignment="0" applyProtection="0">
      <alignment vertical="center"/>
    </xf>
    <xf numFmtId="0" fontId="45" fillId="0" borderId="7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78" applyNumberFormat="0" applyFill="0" applyAlignment="0" applyProtection="0">
      <alignment vertical="center"/>
    </xf>
    <xf numFmtId="0" fontId="47" fillId="56" borderId="79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0" borderId="74" applyNumberFormat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184" fontId="54" fillId="0" borderId="0" applyFont="0" applyFill="0" applyBorder="0" applyAlignment="0" applyProtection="0">
      <alignment vertical="center"/>
    </xf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6" fontId="54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54" fillId="62" borderId="0" applyNumberFormat="0" applyFont="0" applyBorder="0" applyAlignment="0" applyProtection="0">
      <alignment vertical="center"/>
    </xf>
    <xf numFmtId="188" fontId="54" fillId="0" borderId="0" applyNumberFormat="0" applyFill="0" applyBorder="0" applyAlignment="0" applyProtection="0">
      <alignment vertical="center"/>
    </xf>
    <xf numFmtId="0" fontId="65" fillId="61" borderId="0" applyBorder="0" applyProtection="0">
      <alignment horizontal="center" vertical="center"/>
    </xf>
    <xf numFmtId="187" fontId="54" fillId="0" borderId="0" applyFont="0" applyFill="0" applyBorder="0" applyAlignment="0" applyProtection="0">
      <alignment vertical="center"/>
    </xf>
    <xf numFmtId="184" fontId="54" fillId="0" borderId="0" applyFont="0" applyFill="0" applyBorder="0" applyAlignment="0" applyProtection="0">
      <alignment vertical="center"/>
    </xf>
    <xf numFmtId="0" fontId="64" fillId="60" borderId="0" applyBorder="0" applyProtection="0">
      <alignment vertical="center"/>
    </xf>
    <xf numFmtId="0" fontId="63" fillId="59" borderId="0" applyBorder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3" fillId="61" borderId="0" applyBorder="0" applyProtection="0">
      <alignment horizontal="centerContinuous" vertical="center"/>
    </xf>
    <xf numFmtId="0" fontId="55" fillId="0" borderId="0">
      <alignment vertical="center"/>
    </xf>
  </cellStyleXfs>
  <cellXfs count="346">
    <xf numFmtId="0" fontId="0" fillId="0" borderId="0" xfId="0">
      <alignment vertical="center"/>
    </xf>
    <xf numFmtId="0" fontId="8" fillId="0" borderId="6" xfId="0" applyFont="1" applyFill="1" applyBorder="1" applyAlignment="1" applyProtection="1">
      <alignment horizontal="center" vertical="center"/>
    </xf>
    <xf numFmtId="0" fontId="8" fillId="0" borderId="7" xfId="0" applyFont="1" applyFill="1" applyBorder="1" applyAlignment="1" applyProtection="1">
      <alignment horizontal="center" vertical="center"/>
    </xf>
    <xf numFmtId="0" fontId="8" fillId="0" borderId="24" xfId="0" applyFont="1" applyFill="1" applyBorder="1" applyAlignment="1" applyProtection="1">
      <alignment horizontal="center" vertical="center"/>
    </xf>
    <xf numFmtId="177" fontId="8" fillId="0" borderId="9" xfId="0" applyNumberFormat="1" applyFont="1" applyFill="1" applyBorder="1" applyAlignment="1" applyProtection="1">
      <alignment horizontal="center" vertical="center"/>
      <protection locked="0"/>
    </xf>
    <xf numFmtId="180" fontId="8" fillId="0" borderId="2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Alignment="1">
      <alignment vertical="center"/>
    </xf>
    <xf numFmtId="49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178" fontId="8" fillId="0" borderId="0" xfId="0" applyNumberFormat="1" applyFont="1" applyFill="1" applyAlignment="1">
      <alignment vertical="center"/>
    </xf>
    <xf numFmtId="49" fontId="8" fillId="0" borderId="0" xfId="0" applyNumberFormat="1" applyFont="1" applyFill="1" applyBorder="1" applyAlignment="1" applyProtection="1">
      <alignment vertical="center"/>
      <protection locked="0"/>
    </xf>
    <xf numFmtId="18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/>
      <protection locked="0"/>
    </xf>
    <xf numFmtId="177" fontId="8" fillId="0" borderId="0" xfId="0" applyNumberFormat="1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vertical="center"/>
    </xf>
    <xf numFmtId="0" fontId="8" fillId="0" borderId="2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>
      <alignment vertical="center"/>
    </xf>
    <xf numFmtId="183" fontId="8" fillId="0" borderId="57" xfId="0" applyNumberFormat="1" applyFont="1" applyFill="1" applyBorder="1" applyAlignment="1" applyProtection="1">
      <alignment horizontal="center" vertical="center"/>
      <protection locked="0"/>
    </xf>
    <xf numFmtId="179" fontId="9" fillId="0" borderId="55" xfId="0" applyNumberFormat="1" applyFont="1" applyFill="1" applyBorder="1" applyAlignment="1" applyProtection="1">
      <alignment horizontal="center" vertical="center"/>
    </xf>
    <xf numFmtId="179" fontId="9" fillId="0" borderId="56" xfId="0" applyNumberFormat="1" applyFont="1" applyFill="1" applyBorder="1" applyAlignment="1" applyProtection="1">
      <alignment horizontal="center" vertical="center"/>
    </xf>
    <xf numFmtId="181" fontId="8" fillId="0" borderId="52" xfId="0" applyNumberFormat="1" applyFont="1" applyFill="1" applyBorder="1" applyAlignment="1" applyProtection="1">
      <alignment horizontal="center" vertical="center"/>
      <protection locked="0"/>
    </xf>
    <xf numFmtId="181" fontId="8" fillId="0" borderId="48" xfId="0" applyNumberFormat="1" applyFont="1" applyFill="1" applyBorder="1" applyAlignment="1" applyProtection="1">
      <alignment horizontal="center" vertical="center"/>
      <protection locked="0"/>
    </xf>
    <xf numFmtId="179" fontId="8" fillId="0" borderId="47" xfId="0" applyNumberFormat="1" applyFont="1" applyFill="1" applyBorder="1" applyAlignment="1">
      <alignment horizontal="center" vertical="center"/>
    </xf>
    <xf numFmtId="0" fontId="8" fillId="0" borderId="47" xfId="0" applyFont="1" applyFill="1" applyBorder="1" applyAlignment="1">
      <alignment horizontal="center"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left" vertical="center" indent="1"/>
    </xf>
    <xf numFmtId="0" fontId="8" fillId="0" borderId="1" xfId="0" applyFont="1" applyFill="1" applyBorder="1" applyAlignment="1">
      <alignment vertical="center"/>
    </xf>
    <xf numFmtId="177" fontId="8" fillId="0" borderId="1" xfId="0" applyNumberFormat="1" applyFont="1" applyFill="1" applyBorder="1" applyAlignment="1" applyProtection="1">
      <alignment horizontal="center" vertical="center"/>
      <protection locked="0"/>
    </xf>
    <xf numFmtId="180" fontId="8" fillId="0" borderId="15" xfId="0" applyNumberFormat="1" applyFont="1" applyFill="1" applyBorder="1" applyAlignment="1" applyProtection="1">
      <alignment horizontal="center" vertical="center"/>
      <protection locked="0"/>
    </xf>
    <xf numFmtId="0" fontId="8" fillId="0" borderId="7" xfId="0" applyNumberFormat="1" applyFont="1" applyFill="1" applyBorder="1" applyAlignment="1" applyProtection="1">
      <alignment horizontal="center" vertical="center"/>
    </xf>
    <xf numFmtId="0" fontId="8" fillId="0" borderId="51" xfId="0" applyFont="1" applyFill="1" applyBorder="1" applyAlignment="1">
      <alignment horizontal="center" vertical="center"/>
    </xf>
    <xf numFmtId="179" fontId="8" fillId="0" borderId="51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24" xfId="0" applyNumberFormat="1" applyFont="1" applyFill="1" applyBorder="1" applyAlignment="1" applyProtection="1">
      <alignment horizontal="center" vertical="center"/>
    </xf>
    <xf numFmtId="0" fontId="51" fillId="0" borderId="39" xfId="0" applyFont="1" applyFill="1" applyBorder="1" applyAlignment="1">
      <alignment vertical="center" wrapText="1"/>
    </xf>
    <xf numFmtId="0" fontId="51" fillId="0" borderId="40" xfId="0" applyFont="1" applyFill="1" applyBorder="1" applyAlignment="1">
      <alignment vertical="center" wrapText="1"/>
    </xf>
    <xf numFmtId="0" fontId="51" fillId="0" borderId="41" xfId="0" applyFont="1" applyFill="1" applyBorder="1" applyAlignment="1">
      <alignment vertical="center" wrapText="1"/>
    </xf>
    <xf numFmtId="0" fontId="51" fillId="0" borderId="42" xfId="0" applyFont="1" applyFill="1" applyBorder="1" applyAlignment="1">
      <alignment vertical="center" wrapText="1"/>
    </xf>
    <xf numFmtId="0" fontId="51" fillId="0" borderId="0" xfId="0" applyFont="1" applyFill="1" applyBorder="1" applyAlignment="1">
      <alignment vertical="center" wrapText="1"/>
    </xf>
    <xf numFmtId="0" fontId="51" fillId="0" borderId="43" xfId="0" applyFont="1" applyFill="1" applyBorder="1" applyAlignment="1">
      <alignment vertical="center" wrapText="1"/>
    </xf>
    <xf numFmtId="0" fontId="51" fillId="0" borderId="44" xfId="0" applyFont="1" applyFill="1" applyBorder="1" applyAlignment="1">
      <alignment vertical="center" wrapText="1"/>
    </xf>
    <xf numFmtId="0" fontId="51" fillId="0" borderId="30" xfId="0" applyFont="1" applyFill="1" applyBorder="1" applyAlignment="1">
      <alignment vertical="center" wrapText="1"/>
    </xf>
    <xf numFmtId="0" fontId="51" fillId="0" borderId="31" xfId="0" applyFont="1" applyFill="1" applyBorder="1" applyAlignment="1">
      <alignment vertical="center" wrapText="1"/>
    </xf>
    <xf numFmtId="0" fontId="51" fillId="0" borderId="15" xfId="0" applyFont="1" applyFill="1" applyBorder="1" applyAlignment="1">
      <alignment horizontal="centerContinuous" vertical="center" wrapText="1" shrinkToFit="1"/>
    </xf>
    <xf numFmtId="0" fontId="51" fillId="0" borderId="25" xfId="0" applyFont="1" applyFill="1" applyBorder="1" applyAlignment="1">
      <alignment horizontal="centerContinuous" vertical="center" wrapText="1" shrinkToFit="1"/>
    </xf>
    <xf numFmtId="0" fontId="51" fillId="0" borderId="19" xfId="0" applyFont="1" applyFill="1" applyBorder="1" applyAlignment="1">
      <alignment horizontal="centerContinuous" vertical="center" wrapText="1" shrinkToFit="1"/>
    </xf>
    <xf numFmtId="0" fontId="8" fillId="0" borderId="9" xfId="0" applyFont="1" applyFill="1" applyBorder="1" applyAlignment="1">
      <alignment vertical="center"/>
    </xf>
    <xf numFmtId="0" fontId="57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>
      <alignment vertical="center"/>
    </xf>
    <xf numFmtId="0" fontId="55" fillId="0" borderId="0" xfId="0" applyFont="1" applyFill="1" applyAlignment="1">
      <alignment horizontal="center" wrapText="1"/>
    </xf>
    <xf numFmtId="0" fontId="0" fillId="0" borderId="0" xfId="0" applyFont="1" applyFill="1" applyAlignment="1">
      <alignment vertical="center"/>
    </xf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vertical="center"/>
    </xf>
    <xf numFmtId="0" fontId="55" fillId="0" borderId="0" xfId="0" applyFont="1" applyFill="1" applyAlignment="1">
      <alignment wrapText="1"/>
    </xf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>
      <alignment vertical="center"/>
    </xf>
    <xf numFmtId="0" fontId="0" fillId="0" borderId="61" xfId="0" applyFont="1" applyFill="1" applyBorder="1" applyAlignment="1">
      <alignment vertical="center"/>
    </xf>
    <xf numFmtId="0" fontId="0" fillId="0" borderId="60" xfId="0" applyFont="1" applyFill="1" applyBorder="1" applyAlignment="1">
      <alignment vertical="center"/>
    </xf>
    <xf numFmtId="0" fontId="55" fillId="0" borderId="30" xfId="0" applyFont="1" applyFill="1" applyBorder="1" applyAlignment="1" applyProtection="1">
      <alignment vertical="center" shrinkToFit="1"/>
      <protection locked="0"/>
    </xf>
    <xf numFmtId="49" fontId="55" fillId="0" borderId="30" xfId="0" applyNumberFormat="1" applyFont="1" applyFill="1" applyBorder="1" applyAlignment="1" applyProtection="1">
      <alignment horizontal="center" vertical="center" shrinkToFit="1"/>
      <protection locked="0"/>
    </xf>
    <xf numFmtId="0" fontId="55" fillId="0" borderId="0" xfId="0" applyNumberFormat="1" applyFont="1" applyFill="1" applyAlignment="1" applyProtection="1">
      <alignment vertical="center" shrinkToFit="1"/>
      <protection locked="0"/>
    </xf>
    <xf numFmtId="49" fontId="55" fillId="0" borderId="0" xfId="0" applyNumberFormat="1" applyFont="1" applyFill="1" applyAlignment="1" applyProtection="1">
      <alignment vertical="center" shrinkToFit="1"/>
      <protection locked="0"/>
    </xf>
    <xf numFmtId="0" fontId="58" fillId="57" borderId="1" xfId="0" applyFont="1" applyFill="1" applyBorder="1" applyAlignment="1" applyProtection="1">
      <alignment horizontal="center" vertical="center" wrapText="1"/>
      <protection locked="0"/>
    </xf>
    <xf numFmtId="0" fontId="56" fillId="0" borderId="0" xfId="0" applyFont="1" applyFill="1" applyProtection="1">
      <alignment vertical="center"/>
      <protection locked="0"/>
    </xf>
    <xf numFmtId="0" fontId="55" fillId="0" borderId="0" xfId="0" applyFont="1" applyFill="1" applyProtection="1">
      <alignment vertical="center"/>
      <protection locked="0"/>
    </xf>
    <xf numFmtId="0" fontId="55" fillId="58" borderId="80" xfId="0" applyFont="1" applyFill="1" applyBorder="1" applyAlignment="1" applyProtection="1">
      <alignment horizontal="centerContinuous" vertical="center"/>
      <protection locked="0"/>
    </xf>
    <xf numFmtId="0" fontId="56" fillId="58" borderId="80" xfId="0" applyFont="1" applyFill="1" applyBorder="1" applyAlignment="1" applyProtection="1">
      <alignment horizontal="center" vertical="center"/>
      <protection locked="0"/>
    </xf>
    <xf numFmtId="0" fontId="55" fillId="0" borderId="1" xfId="0" applyFont="1" applyFill="1" applyBorder="1" applyAlignment="1">
      <alignment vertical="center" shrinkToFit="1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 wrapText="1"/>
    </xf>
    <xf numFmtId="0" fontId="55" fillId="2" borderId="1" xfId="0" applyFont="1" applyFill="1" applyBorder="1" applyAlignment="1">
      <alignment vertical="center" wrapText="1"/>
    </xf>
    <xf numFmtId="0" fontId="55" fillId="0" borderId="1" xfId="0" applyFont="1" applyFill="1" applyBorder="1" applyAlignment="1" applyProtection="1">
      <alignment vertical="center" shrinkToFit="1"/>
      <protection locked="0"/>
    </xf>
    <xf numFmtId="179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14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wrapText="1"/>
      <protection locked="0"/>
    </xf>
    <xf numFmtId="0" fontId="55" fillId="0" borderId="1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horizontal="left" vertical="center"/>
    </xf>
    <xf numFmtId="0" fontId="7" fillId="0" borderId="0" xfId="0" applyFont="1" applyFill="1" applyAlignment="1">
      <alignment horizontal="left" vertical="center"/>
    </xf>
    <xf numFmtId="0" fontId="56" fillId="0" borderId="0" xfId="0" applyFont="1" applyFill="1" applyAlignment="1" applyProtection="1">
      <alignment vertical="center"/>
      <protection locked="0"/>
    </xf>
    <xf numFmtId="0" fontId="56" fillId="0" borderId="0" xfId="0" applyFont="1" applyFill="1" applyAlignment="1">
      <alignment vertical="center"/>
    </xf>
    <xf numFmtId="0" fontId="55" fillId="0" borderId="80" xfId="0" applyFont="1" applyBorder="1" applyAlignment="1" applyProtection="1">
      <alignment horizontal="center" vertical="center"/>
      <protection locked="0"/>
    </xf>
    <xf numFmtId="0" fontId="55" fillId="0" borderId="80" xfId="0" applyFont="1" applyBorder="1" applyProtection="1">
      <alignment vertical="center"/>
      <protection locked="0"/>
    </xf>
    <xf numFmtId="0" fontId="55" fillId="0" borderId="81" xfId="0" applyFont="1" applyBorder="1" applyAlignment="1" applyProtection="1">
      <alignment horizontal="center" vertical="center"/>
      <protection locked="0"/>
    </xf>
    <xf numFmtId="0" fontId="55" fillId="0" borderId="81" xfId="0" applyFont="1" applyBorder="1" applyProtection="1">
      <alignment vertical="center"/>
      <protection locked="0"/>
    </xf>
    <xf numFmtId="0" fontId="0" fillId="0" borderId="80" xfId="0" applyBorder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55" fillId="0" borderId="0" xfId="0" applyFont="1" applyProtection="1">
      <alignment vertical="center"/>
      <protection locked="0"/>
    </xf>
    <xf numFmtId="0" fontId="8" fillId="0" borderId="0" xfId="0" applyFont="1" applyFill="1" applyAlignment="1" applyProtection="1">
      <alignment vertical="center" shrinkToFit="1"/>
    </xf>
    <xf numFmtId="0" fontId="65" fillId="61" borderId="8" xfId="101" applyBorder="1" applyProtection="1">
      <alignment horizontal="center" vertical="center"/>
    </xf>
    <xf numFmtId="0" fontId="65" fillId="61" borderId="9" xfId="101" applyBorder="1" applyProtection="1">
      <alignment horizontal="center" vertical="center"/>
    </xf>
    <xf numFmtId="0" fontId="65" fillId="61" borderId="18" xfId="101" applyBorder="1" applyProtection="1">
      <alignment horizontal="center" vertical="center"/>
    </xf>
    <xf numFmtId="0" fontId="65" fillId="61" borderId="58" xfId="101" applyBorder="1">
      <alignment horizontal="center" vertical="center"/>
    </xf>
    <xf numFmtId="0" fontId="65" fillId="61" borderId="59" xfId="101" applyBorder="1">
      <alignment horizontal="center" vertical="center"/>
    </xf>
    <xf numFmtId="0" fontId="65" fillId="61" borderId="2" xfId="101" applyBorder="1" applyProtection="1">
      <alignment horizontal="center" vertical="center"/>
    </xf>
    <xf numFmtId="0" fontId="65" fillId="61" borderId="4" xfId="101" applyBorder="1" applyProtection="1">
      <alignment horizontal="center" vertical="center"/>
    </xf>
    <xf numFmtId="0" fontId="65" fillId="61" borderId="4" xfId="101" applyBorder="1">
      <alignment horizontal="center" vertical="center"/>
    </xf>
    <xf numFmtId="0" fontId="65" fillId="61" borderId="6" xfId="101" applyBorder="1" applyAlignment="1" applyProtection="1">
      <alignment horizontal="centerContinuous" vertical="center"/>
      <protection locked="0"/>
    </xf>
    <xf numFmtId="0" fontId="65" fillId="61" borderId="8" xfId="101" applyBorder="1" applyAlignment="1" applyProtection="1">
      <alignment horizontal="centerContinuous" vertical="center"/>
      <protection locked="0"/>
    </xf>
    <xf numFmtId="0" fontId="65" fillId="61" borderId="16" xfId="101" applyBorder="1" applyAlignment="1" applyProtection="1">
      <alignment horizontal="centerContinuous" vertical="center"/>
      <protection locked="0"/>
    </xf>
    <xf numFmtId="0" fontId="65" fillId="61" borderId="84" xfId="101" applyBorder="1" applyProtection="1">
      <alignment horizontal="center" vertical="center"/>
      <protection locked="0"/>
    </xf>
    <xf numFmtId="0" fontId="65" fillId="61" borderId="60" xfId="101" applyBorder="1" applyProtection="1">
      <alignment horizontal="center" vertical="center"/>
      <protection locked="0"/>
    </xf>
    <xf numFmtId="0" fontId="65" fillId="61" borderId="85" xfId="101" applyBorder="1" applyProtection="1">
      <alignment horizontal="center" vertical="center"/>
      <protection locked="0"/>
    </xf>
    <xf numFmtId="0" fontId="56" fillId="0" borderId="86" xfId="0" applyFont="1" applyFill="1" applyBorder="1" applyAlignment="1" applyProtection="1">
      <alignment horizontal="left" vertical="center"/>
      <protection locked="0"/>
    </xf>
    <xf numFmtId="0" fontId="56" fillId="0" borderId="83" xfId="0" applyFont="1" applyFill="1" applyBorder="1" applyAlignment="1" applyProtection="1">
      <alignment horizontal="left" vertical="center"/>
      <protection locked="0"/>
    </xf>
    <xf numFmtId="0" fontId="0" fillId="0" borderId="83" xfId="0" applyFont="1" applyFill="1" applyBorder="1" applyAlignment="1" applyProtection="1">
      <alignment vertical="center"/>
      <protection locked="0"/>
    </xf>
    <xf numFmtId="0" fontId="0" fillId="0" borderId="87" xfId="0" applyFont="1" applyFill="1" applyBorder="1" applyAlignment="1">
      <alignment vertical="center"/>
    </xf>
    <xf numFmtId="0" fontId="0" fillId="0" borderId="83" xfId="0" applyFont="1" applyFill="1" applyBorder="1" applyAlignment="1">
      <alignment vertical="center"/>
    </xf>
    <xf numFmtId="0" fontId="0" fillId="0" borderId="83" xfId="0" applyBorder="1">
      <alignment vertical="center"/>
    </xf>
    <xf numFmtId="0" fontId="0" fillId="0" borderId="87" xfId="0" applyBorder="1">
      <alignment vertical="center"/>
    </xf>
    <xf numFmtId="0" fontId="65" fillId="61" borderId="88" xfId="101" applyBorder="1" applyProtection="1">
      <alignment horizontal="center" vertical="center"/>
      <protection locked="0"/>
    </xf>
    <xf numFmtId="0" fontId="55" fillId="0" borderId="89" xfId="0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9" xfId="0" applyFont="1" applyFill="1" applyBorder="1" applyAlignment="1" applyProtection="1">
      <alignment vertical="center" wrapText="1" shrinkToFit="1"/>
      <protection locked="0"/>
    </xf>
    <xf numFmtId="0" fontId="55" fillId="0" borderId="90" xfId="0" applyFont="1" applyFill="1" applyBorder="1" applyAlignment="1" applyProtection="1">
      <alignment vertical="center" shrinkToFit="1"/>
      <protection locked="0"/>
    </xf>
    <xf numFmtId="49" fontId="55" fillId="0" borderId="90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 shrinkToFit="1"/>
      <protection locked="0"/>
    </xf>
    <xf numFmtId="49" fontId="5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65" fillId="61" borderId="86" xfId="101" applyBorder="1" applyProtection="1">
      <alignment horizontal="center" vertical="center"/>
      <protection locked="0"/>
    </xf>
    <xf numFmtId="0" fontId="55" fillId="0" borderId="83" xfId="0" applyFont="1" applyFill="1" applyBorder="1" applyAlignment="1" applyProtection="1">
      <alignment vertical="center" shrinkToFit="1"/>
      <protection locked="0"/>
    </xf>
    <xf numFmtId="49" fontId="55" fillId="0" borderId="83" xfId="0" applyNumberFormat="1" applyFont="1" applyFill="1" applyBorder="1" applyAlignment="1" applyProtection="1">
      <alignment vertical="center" shrinkToFit="1"/>
      <protection locked="0"/>
    </xf>
    <xf numFmtId="49" fontId="55" fillId="0" borderId="83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3" xfId="0" applyFont="1" applyFill="1" applyBorder="1" applyAlignment="1" applyProtection="1">
      <alignment vertical="center" wrapText="1" shrinkToFit="1"/>
      <protection locked="0"/>
    </xf>
    <xf numFmtId="0" fontId="55" fillId="0" borderId="83" xfId="0" applyFont="1" applyFill="1" applyBorder="1" applyAlignment="1">
      <alignment vertical="center" shrinkToFit="1"/>
    </xf>
    <xf numFmtId="0" fontId="55" fillId="0" borderId="87" xfId="0" applyFont="1" applyFill="1" applyBorder="1" applyAlignment="1" applyProtection="1">
      <alignment vertical="center" shrinkToFit="1"/>
      <protection locked="0"/>
    </xf>
    <xf numFmtId="49" fontId="55" fillId="0" borderId="87" xfId="0" applyNumberFormat="1" applyFont="1" applyFill="1" applyBorder="1" applyAlignment="1" applyProtection="1">
      <alignment vertical="center" shrinkToFit="1"/>
      <protection locked="0"/>
    </xf>
    <xf numFmtId="0" fontId="55" fillId="58" borderId="89" xfId="0" applyFont="1" applyFill="1" applyBorder="1" applyAlignment="1" applyProtection="1">
      <alignment vertical="center"/>
      <protection locked="0"/>
    </xf>
    <xf numFmtId="0" fontId="55" fillId="0" borderId="0" xfId="0" applyNumberFormat="1" applyFont="1" applyFill="1" applyAlignment="1" applyProtection="1">
      <alignment horizontal="center" vertical="center" shrinkToFit="1"/>
      <protection locked="0"/>
    </xf>
    <xf numFmtId="49" fontId="55" fillId="0" borderId="0" xfId="0" applyNumberFormat="1" applyFont="1" applyFill="1" applyAlignment="1" applyProtection="1">
      <alignment horizontal="center" vertical="center" shrinkToFit="1"/>
      <protection locked="0"/>
    </xf>
    <xf numFmtId="0" fontId="7" fillId="0" borderId="0" xfId="0" applyFont="1" applyFill="1" applyAlignment="1" applyProtection="1">
      <alignment vertical="center" shrinkToFit="1"/>
    </xf>
    <xf numFmtId="0" fontId="56" fillId="0" borderId="83" xfId="0" applyFont="1" applyFill="1" applyBorder="1" applyAlignment="1" applyProtection="1">
      <alignment vertical="center"/>
      <protection locked="0"/>
    </xf>
    <xf numFmtId="0" fontId="56" fillId="0" borderId="87" xfId="0" applyFont="1" applyFill="1" applyBorder="1" applyAlignment="1" applyProtection="1">
      <alignment vertical="center"/>
      <protection locked="0"/>
    </xf>
    <xf numFmtId="0" fontId="56" fillId="0" borderId="87" xfId="0" applyFont="1" applyFill="1" applyBorder="1" applyAlignment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179" fontId="55" fillId="0" borderId="83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/>
      <protection locked="0"/>
    </xf>
    <xf numFmtId="49" fontId="8" fillId="0" borderId="20" xfId="0" applyNumberFormat="1" applyFont="1" applyFill="1" applyBorder="1" applyAlignment="1" applyProtection="1">
      <alignment horizontal="left" vertical="center"/>
      <protection locked="0"/>
    </xf>
    <xf numFmtId="49" fontId="8" fillId="0" borderId="22" xfId="0" applyNumberFormat="1" applyFont="1" applyFill="1" applyBorder="1" applyAlignment="1" applyProtection="1">
      <alignment horizontal="left" vertical="center"/>
      <protection locked="0"/>
    </xf>
    <xf numFmtId="49" fontId="8" fillId="0" borderId="22" xfId="0" applyNumberFormat="1" applyFont="1" applyFill="1" applyBorder="1" applyAlignment="1" applyProtection="1">
      <alignment vertical="center"/>
      <protection locked="0"/>
    </xf>
    <xf numFmtId="49" fontId="8" fillId="0" borderId="15" xfId="0" applyNumberFormat="1" applyFont="1" applyFill="1" applyBorder="1" applyAlignment="1" applyProtection="1">
      <alignment horizontal="left" vertical="center"/>
      <protection locked="0"/>
    </xf>
    <xf numFmtId="0" fontId="8" fillId="0" borderId="19" xfId="0" applyFont="1" applyBorder="1" applyAlignment="1">
      <alignment vertical="center"/>
    </xf>
    <xf numFmtId="49" fontId="8" fillId="0" borderId="15" xfId="0" applyNumberFormat="1" applyFont="1" applyFill="1" applyBorder="1" applyAlignment="1" applyProtection="1">
      <alignment vertical="center"/>
      <protection locked="0"/>
    </xf>
    <xf numFmtId="0" fontId="8" fillId="0" borderId="23" xfId="0" applyFont="1" applyBorder="1" applyAlignment="1">
      <alignment vertical="center"/>
    </xf>
    <xf numFmtId="49" fontId="8" fillId="0" borderId="20" xfId="0" applyNumberFormat="1" applyFont="1" applyFill="1" applyBorder="1" applyAlignment="1" applyProtection="1">
      <alignment vertical="center"/>
      <protection locked="0"/>
    </xf>
    <xf numFmtId="0" fontId="8" fillId="0" borderId="21" xfId="0" applyFont="1" applyBorder="1" applyAlignment="1">
      <alignment vertical="center"/>
    </xf>
    <xf numFmtId="0" fontId="33" fillId="0" borderId="15" xfId="0" applyNumberFormat="1" applyFont="1" applyFill="1" applyBorder="1" applyAlignment="1" applyProtection="1">
      <alignment vertical="center"/>
      <protection locked="0"/>
    </xf>
    <xf numFmtId="0" fontId="61" fillId="0" borderId="25" xfId="0" applyNumberFormat="1" applyFont="1" applyFill="1" applyBorder="1" applyAlignment="1" applyProtection="1">
      <alignment vertical="center"/>
      <protection locked="0"/>
    </xf>
    <xf numFmtId="0" fontId="8" fillId="0" borderId="25" xfId="0" applyNumberFormat="1" applyFont="1" applyFill="1" applyBorder="1" applyAlignment="1" applyProtection="1">
      <alignment vertical="center"/>
      <protection locked="0"/>
    </xf>
    <xf numFmtId="0" fontId="33" fillId="0" borderId="20" xfId="0" applyNumberFormat="1" applyFont="1" applyFill="1" applyBorder="1" applyAlignment="1" applyProtection="1">
      <alignment vertical="center"/>
      <protection locked="0"/>
    </xf>
    <xf numFmtId="0" fontId="33" fillId="0" borderId="27" xfId="0" applyNumberFormat="1" applyFont="1" applyFill="1" applyBorder="1" applyAlignment="1" applyProtection="1">
      <alignment vertical="center"/>
      <protection locked="0"/>
    </xf>
    <xf numFmtId="0" fontId="33" fillId="0" borderId="1" xfId="0" applyNumberFormat="1" applyFont="1" applyFill="1" applyBorder="1" applyAlignment="1" applyProtection="1">
      <alignment horizontal="left" vertical="center"/>
      <protection locked="0"/>
    </xf>
    <xf numFmtId="0" fontId="8" fillId="0" borderId="61" xfId="0" applyFont="1" applyFill="1" applyBorder="1">
      <alignment vertical="center"/>
    </xf>
    <xf numFmtId="0" fontId="8" fillId="0" borderId="9" xfId="0" applyNumberFormat="1" applyFont="1" applyFill="1" applyBorder="1" applyAlignment="1" applyProtection="1">
      <alignment horizontal="left" vertical="center"/>
      <protection locked="0"/>
    </xf>
    <xf numFmtId="0" fontId="8" fillId="0" borderId="15" xfId="0" applyFont="1" applyFill="1" applyBorder="1" applyAlignment="1" applyProtection="1">
      <alignment vertical="center"/>
      <protection locked="0"/>
    </xf>
    <xf numFmtId="0" fontId="8" fillId="0" borderId="25" xfId="0" applyFont="1" applyFill="1" applyBorder="1" applyAlignment="1" applyProtection="1">
      <alignment vertical="center"/>
      <protection locked="0"/>
    </xf>
    <xf numFmtId="0" fontId="8" fillId="0" borderId="26" xfId="0" applyFont="1" applyFill="1" applyBorder="1" applyAlignment="1" applyProtection="1">
      <alignment vertical="center"/>
      <protection locked="0"/>
    </xf>
    <xf numFmtId="0" fontId="8" fillId="0" borderId="20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33" xfId="0" applyFont="1" applyFill="1" applyBorder="1" applyAlignment="1" applyProtection="1">
      <alignment vertical="center"/>
      <protection locked="0"/>
    </xf>
    <xf numFmtId="0" fontId="8" fillId="0" borderId="34" xfId="0" applyFont="1" applyFill="1" applyBorder="1" applyAlignment="1" applyProtection="1">
      <alignment vertical="center"/>
      <protection locked="0"/>
    </xf>
    <xf numFmtId="14" fontId="55" fillId="0" borderId="0" xfId="0" applyNumberFormat="1" applyFont="1" applyFill="1" applyProtection="1">
      <alignment vertical="center"/>
      <protection locked="0"/>
    </xf>
    <xf numFmtId="0" fontId="8" fillId="0" borderId="15" xfId="0" applyFont="1" applyFill="1" applyBorder="1" applyAlignment="1" applyProtection="1">
      <alignment vertical="center" wrapText="1"/>
      <protection locked="0"/>
    </xf>
    <xf numFmtId="0" fontId="8" fillId="0" borderId="20" xfId="0" applyFont="1" applyFill="1" applyBorder="1" applyAlignment="1">
      <alignment vertical="center"/>
    </xf>
    <xf numFmtId="0" fontId="8" fillId="0" borderId="21" xfId="0" applyFont="1" applyFill="1" applyBorder="1" applyAlignment="1">
      <alignment vertical="center"/>
    </xf>
    <xf numFmtId="0" fontId="8" fillId="0" borderId="22" xfId="0" applyFont="1" applyFill="1" applyBorder="1" applyAlignment="1">
      <alignment vertical="center"/>
    </xf>
    <xf numFmtId="0" fontId="8" fillId="0" borderId="23" xfId="0" applyFont="1" applyFill="1" applyBorder="1" applyAlignment="1">
      <alignment vertical="center"/>
    </xf>
    <xf numFmtId="0" fontId="65" fillId="61" borderId="3" xfId="101" applyBorder="1">
      <alignment horizontal="center" vertical="center"/>
    </xf>
    <xf numFmtId="0" fontId="65" fillId="61" borderId="32" xfId="101" applyBorder="1">
      <alignment horizontal="center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Border="1" applyAlignment="1">
      <alignment vertical="center"/>
    </xf>
    <xf numFmtId="0" fontId="8" fillId="0" borderId="25" xfId="0" applyFont="1" applyBorder="1" applyAlignment="1">
      <alignment vertical="center"/>
    </xf>
    <xf numFmtId="0" fontId="8" fillId="0" borderId="26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33" xfId="0" applyFont="1" applyFill="1" applyBorder="1" applyAlignment="1">
      <alignment vertical="center"/>
    </xf>
    <xf numFmtId="0" fontId="8" fillId="0" borderId="25" xfId="0" applyFont="1" applyFill="1" applyBorder="1" applyAlignment="1">
      <alignment vertical="center"/>
    </xf>
    <xf numFmtId="0" fontId="8" fillId="0" borderId="27" xfId="0" applyFont="1" applyFill="1" applyBorder="1" applyAlignment="1">
      <alignment vertical="center"/>
    </xf>
    <xf numFmtId="0" fontId="8" fillId="0" borderId="44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8" fillId="0" borderId="82" xfId="0" applyFont="1" applyBorder="1" applyAlignment="1">
      <alignment vertical="center"/>
    </xf>
    <xf numFmtId="0" fontId="65" fillId="61" borderId="21" xfId="101" applyBorder="1" applyProtection="1">
      <alignment horizontal="center" vertical="center"/>
    </xf>
    <xf numFmtId="176" fontId="8" fillId="0" borderId="28" xfId="0" applyNumberFormat="1" applyFont="1" applyFill="1" applyBorder="1" applyAlignment="1" applyProtection="1">
      <alignment horizontal="center" vertical="center"/>
    </xf>
    <xf numFmtId="0" fontId="65" fillId="61" borderId="23" xfId="101" applyBorder="1" applyProtection="1">
      <alignment horizontal="center" vertical="center"/>
    </xf>
    <xf numFmtId="0" fontId="65" fillId="61" borderId="3" xfId="101" applyBorder="1" applyProtection="1">
      <alignment horizontal="center" vertical="center"/>
    </xf>
    <xf numFmtId="179" fontId="8" fillId="0" borderId="16" xfId="0" applyNumberFormat="1" applyFont="1" applyFill="1" applyBorder="1" applyAlignment="1" applyProtection="1">
      <alignment horizontal="center" vertical="center"/>
    </xf>
    <xf numFmtId="179" fontId="8" fillId="0" borderId="17" xfId="0" applyNumberFormat="1" applyFont="1" applyFill="1" applyBorder="1" applyAlignment="1" applyProtection="1">
      <alignment horizontal="center" vertical="center"/>
    </xf>
    <xf numFmtId="0" fontId="0" fillId="0" borderId="83" xfId="0" applyFont="1" applyFill="1" applyBorder="1" applyAlignment="1" applyProtection="1">
      <alignment vertical="center" shrinkToFit="1"/>
      <protection locked="0"/>
    </xf>
    <xf numFmtId="14" fontId="8" fillId="0" borderId="0" xfId="0" applyNumberFormat="1" applyFont="1" applyFill="1" applyAlignment="1" applyProtection="1">
      <alignment horizontal="left" vertical="center"/>
    </xf>
    <xf numFmtId="0" fontId="65" fillId="61" borderId="91" xfId="101" applyBorder="1" applyProtection="1">
      <alignment horizontal="center" vertical="center"/>
    </xf>
    <xf numFmtId="0" fontId="65" fillId="61" borderId="92" xfId="101" applyBorder="1" applyProtection="1">
      <alignment horizontal="center" vertical="center"/>
    </xf>
    <xf numFmtId="0" fontId="8" fillId="0" borderId="93" xfId="0" applyNumberFormat="1" applyFont="1" applyFill="1" applyBorder="1" applyAlignment="1" applyProtection="1">
      <alignment horizontal="center" vertical="center"/>
      <protection locked="0"/>
    </xf>
    <xf numFmtId="0" fontId="8" fillId="0" borderId="94" xfId="0" applyNumberFormat="1" applyFont="1" applyFill="1" applyBorder="1" applyAlignment="1" applyProtection="1">
      <alignment horizontal="center" vertical="center"/>
      <protection locked="0"/>
    </xf>
    <xf numFmtId="0" fontId="8" fillId="0" borderId="95" xfId="0" applyNumberFormat="1" applyFont="1" applyFill="1" applyBorder="1" applyAlignment="1" applyProtection="1">
      <alignment horizontal="center" vertical="center"/>
      <protection locked="0"/>
    </xf>
    <xf numFmtId="0" fontId="8" fillId="0" borderId="96" xfId="0" applyNumberFormat="1" applyFont="1" applyFill="1" applyBorder="1" applyAlignment="1" applyProtection="1">
      <alignment horizontal="center" vertical="center"/>
      <protection locked="0"/>
    </xf>
    <xf numFmtId="0" fontId="65" fillId="61" borderId="91" xfId="101" applyBorder="1">
      <alignment horizontal="center" vertical="center"/>
    </xf>
    <xf numFmtId="0" fontId="65" fillId="61" borderId="97" xfId="101" applyBorder="1">
      <alignment horizontal="center" vertical="center"/>
    </xf>
    <xf numFmtId="0" fontId="8" fillId="0" borderId="93" xfId="0" applyFont="1" applyFill="1" applyBorder="1" applyAlignment="1">
      <alignment vertical="center"/>
    </xf>
    <xf numFmtId="0" fontId="8" fillId="0" borderId="94" xfId="0" applyFont="1" applyFill="1" applyBorder="1" applyAlignment="1">
      <alignment vertical="center"/>
    </xf>
    <xf numFmtId="0" fontId="8" fillId="0" borderId="95" xfId="0" applyFont="1" applyFill="1" applyBorder="1" applyAlignment="1">
      <alignment vertical="center"/>
    </xf>
    <xf numFmtId="0" fontId="8" fillId="0" borderId="96" xfId="0" applyFont="1" applyFill="1" applyBorder="1" applyAlignment="1">
      <alignment vertical="center"/>
    </xf>
    <xf numFmtId="0" fontId="8" fillId="0" borderId="98" xfId="0" applyFont="1" applyFill="1" applyBorder="1" applyAlignment="1">
      <alignment vertical="center"/>
    </xf>
    <xf numFmtId="0" fontId="8" fillId="0" borderId="99" xfId="0" applyFont="1" applyFill="1" applyBorder="1" applyAlignment="1">
      <alignment vertical="center"/>
    </xf>
    <xf numFmtId="0" fontId="65" fillId="61" borderId="97" xfId="101" applyBorder="1" applyProtection="1">
      <alignment horizontal="center" vertical="center"/>
    </xf>
    <xf numFmtId="0" fontId="8" fillId="0" borderId="93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8" fillId="0" borderId="95" xfId="0" applyFont="1" applyFill="1" applyBorder="1" applyAlignment="1">
      <alignment horizontal="center" vertical="center"/>
    </xf>
    <xf numFmtId="0" fontId="8" fillId="0" borderId="96" xfId="0" applyFont="1" applyFill="1" applyBorder="1" applyAlignment="1">
      <alignment horizontal="center" vertical="center"/>
    </xf>
    <xf numFmtId="0" fontId="8" fillId="0" borderId="22" xfId="0" applyFont="1" applyFill="1" applyBorder="1" applyAlignment="1" applyProtection="1">
      <alignment horizontal="centerContinuous" vertical="center"/>
    </xf>
    <xf numFmtId="0" fontId="8" fillId="0" borderId="33" xfId="0" applyFont="1" applyFill="1" applyBorder="1" applyAlignment="1" applyProtection="1">
      <alignment horizontal="centerContinuous" vertical="center"/>
    </xf>
    <xf numFmtId="0" fontId="8" fillId="0" borderId="23" xfId="0" applyFont="1" applyFill="1" applyBorder="1" applyAlignment="1" applyProtection="1">
      <alignment horizontal="centerContinuous" vertical="center"/>
    </xf>
    <xf numFmtId="0" fontId="8" fillId="0" borderId="20" xfId="0" applyFont="1" applyFill="1" applyBorder="1" applyAlignment="1" applyProtection="1">
      <alignment horizontal="centerContinuous" vertical="center"/>
    </xf>
    <xf numFmtId="0" fontId="8" fillId="0" borderId="27" xfId="0" applyFont="1" applyFill="1" applyBorder="1" applyAlignment="1" applyProtection="1">
      <alignment horizontal="centerContinuous" vertical="center"/>
    </xf>
    <xf numFmtId="0" fontId="8" fillId="0" borderId="21" xfId="0" applyFont="1" applyFill="1" applyBorder="1" applyAlignment="1" applyProtection="1">
      <alignment horizontal="centerContinuous" vertical="center"/>
    </xf>
    <xf numFmtId="0" fontId="65" fillId="61" borderId="3" xfId="101" applyBorder="1" applyAlignment="1">
      <alignment horizontal="centerContinuous" vertical="center"/>
    </xf>
    <xf numFmtId="0" fontId="65" fillId="61" borderId="37" xfId="101" applyBorder="1" applyAlignment="1">
      <alignment horizontal="centerContinuous" vertical="center"/>
    </xf>
    <xf numFmtId="0" fontId="65" fillId="61" borderId="38" xfId="101" applyBorder="1" applyAlignment="1">
      <alignment horizontal="centerContinuous" vertical="center"/>
    </xf>
    <xf numFmtId="0" fontId="65" fillId="61" borderId="32" xfId="101" applyBorder="1" applyAlignment="1">
      <alignment horizontal="centerContinuous" vertical="center"/>
    </xf>
    <xf numFmtId="0" fontId="65" fillId="61" borderId="3" xfId="101" applyBorder="1" applyAlignment="1" applyProtection="1">
      <alignment horizontal="centerContinuous" vertical="center"/>
    </xf>
    <xf numFmtId="0" fontId="65" fillId="61" borderId="37" xfId="101" applyBorder="1" applyAlignment="1" applyProtection="1">
      <alignment horizontal="centerContinuous" vertical="center"/>
    </xf>
    <xf numFmtId="0" fontId="65" fillId="61" borderId="38" xfId="101" applyBorder="1" applyAlignment="1" applyProtection="1">
      <alignment horizontal="centerContinuous" vertical="center"/>
    </xf>
    <xf numFmtId="14" fontId="8" fillId="0" borderId="0" xfId="0" applyNumberFormat="1" applyFont="1" applyFill="1" applyAlignment="1" applyProtection="1">
      <alignment vertical="center"/>
    </xf>
    <xf numFmtId="0" fontId="0" fillId="0" borderId="0" xfId="0" applyAlignment="1">
      <alignment horizontal="center" vertical="center"/>
    </xf>
    <xf numFmtId="0" fontId="8" fillId="0" borderId="8" xfId="0" applyFont="1" applyFill="1" applyBorder="1" applyAlignment="1" applyProtection="1">
      <alignment horizontal="center" vertical="center"/>
    </xf>
    <xf numFmtId="14" fontId="8" fillId="0" borderId="8" xfId="0" quotePrefix="1" applyNumberFormat="1" applyFont="1" applyFill="1" applyBorder="1" applyAlignment="1" applyProtection="1">
      <alignment horizontal="center" vertical="center"/>
    </xf>
    <xf numFmtId="0" fontId="8" fillId="0" borderId="9" xfId="0" applyFont="1" applyFill="1" applyBorder="1" applyAlignment="1" applyProtection="1">
      <alignment horizontal="center" vertical="center"/>
    </xf>
    <xf numFmtId="14" fontId="8" fillId="0" borderId="9" xfId="0" applyNumberFormat="1" applyFont="1" applyFill="1" applyBorder="1" applyAlignment="1" applyProtection="1">
      <alignment horizontal="center" vertical="center"/>
    </xf>
    <xf numFmtId="22" fontId="0" fillId="0" borderId="0" xfId="0" applyNumberFormat="1">
      <alignment vertical="center"/>
    </xf>
    <xf numFmtId="0" fontId="0" fillId="0" borderId="83" xfId="0" applyFont="1" applyFill="1" applyBorder="1" applyAlignment="1">
      <alignment vertical="center" shrinkToFit="1"/>
    </xf>
    <xf numFmtId="0" fontId="0" fillId="0" borderId="87" xfId="0" applyFont="1" applyFill="1" applyBorder="1" applyAlignment="1">
      <alignment vertical="center" shrinkToFit="1"/>
    </xf>
    <xf numFmtId="0" fontId="65" fillId="61" borderId="3" xfId="101" applyBorder="1" applyProtection="1">
      <alignment horizontal="center" vertical="center"/>
    </xf>
    <xf numFmtId="0" fontId="65" fillId="61" borderId="37" xfId="101" applyBorder="1" applyProtection="1">
      <alignment horizontal="center" vertical="center"/>
    </xf>
    <xf numFmtId="0" fontId="54" fillId="0" borderId="25" xfId="110" applyNumberFormat="1" applyFont="1" applyFill="1" applyBorder="1" applyAlignment="1" applyProtection="1">
      <alignment vertical="center"/>
      <protection locked="0"/>
    </xf>
    <xf numFmtId="0" fontId="54" fillId="0" borderId="15" xfId="110" applyNumberFormat="1" applyFont="1" applyFill="1" applyBorder="1" applyAlignment="1" applyProtection="1">
      <alignment vertical="center"/>
      <protection locked="0"/>
    </xf>
    <xf numFmtId="49" fontId="8" fillId="0" borderId="44" xfId="0" applyNumberFormat="1" applyFont="1" applyFill="1" applyBorder="1" applyAlignment="1" applyProtection="1">
      <alignment horizontal="left" vertical="center"/>
      <protection locked="0"/>
    </xf>
    <xf numFmtId="0" fontId="8" fillId="0" borderId="31" xfId="0" applyFont="1" applyBorder="1" applyAlignment="1">
      <alignment vertical="center"/>
    </xf>
    <xf numFmtId="0" fontId="8" fillId="0" borderId="44" xfId="0" applyFont="1" applyFill="1" applyBorder="1" applyAlignment="1">
      <alignment vertical="center"/>
    </xf>
    <xf numFmtId="0" fontId="8" fillId="0" borderId="30" xfId="0" applyFont="1" applyFill="1" applyBorder="1" applyAlignment="1">
      <alignment vertical="center"/>
    </xf>
    <xf numFmtId="49" fontId="8" fillId="0" borderId="8" xfId="0" applyNumberFormat="1" applyFont="1" applyFill="1" applyBorder="1" applyAlignment="1" applyProtection="1">
      <alignment horizontal="left" vertical="center" shrinkToFit="1"/>
      <protection locked="0"/>
    </xf>
    <xf numFmtId="49" fontId="8" fillId="0" borderId="1" xfId="0" applyNumberFormat="1" applyFont="1" applyFill="1" applyBorder="1" applyAlignment="1" applyProtection="1">
      <alignment horizontal="left" vertical="center" shrinkToFit="1"/>
      <protection locked="0"/>
    </xf>
    <xf numFmtId="49" fontId="8" fillId="0" borderId="9" xfId="0" applyNumberFormat="1" applyFont="1" applyFill="1" applyBorder="1" applyAlignment="1" applyProtection="1">
      <alignment horizontal="left" vertical="center" shrinkToFit="1"/>
      <protection locked="0"/>
    </xf>
    <xf numFmtId="1" fontId="8" fillId="0" borderId="15" xfId="0" applyNumberFormat="1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left" vertical="center" indent="1" shrinkToFit="1"/>
      <protection locked="0"/>
    </xf>
    <xf numFmtId="0" fontId="8" fillId="0" borderId="22" xfId="0" applyNumberFormat="1" applyFont="1" applyFill="1" applyBorder="1" applyAlignment="1" applyProtection="1">
      <alignment horizontal="left" vertical="center" indent="1" shrinkToFit="1"/>
    </xf>
    <xf numFmtId="0" fontId="8" fillId="0" borderId="20" xfId="0" applyNumberFormat="1" applyFont="1" applyFill="1" applyBorder="1" applyAlignment="1" applyProtection="1">
      <alignment horizontal="left" vertical="center" indent="1"/>
    </xf>
    <xf numFmtId="0" fontId="8" fillId="0" borderId="34" xfId="0" applyFont="1" applyFill="1" applyBorder="1" applyAlignment="1" applyProtection="1">
      <alignment horizontal="left" vertical="center" indent="1"/>
      <protection locked="0"/>
    </xf>
    <xf numFmtId="0" fontId="8" fillId="0" borderId="33" xfId="0" applyFont="1" applyFill="1" applyBorder="1" applyAlignment="1" applyProtection="1">
      <alignment horizontal="left" vertical="center" indent="1"/>
    </xf>
    <xf numFmtId="0" fontId="8" fillId="0" borderId="23" xfId="0" applyFont="1" applyFill="1" applyBorder="1" applyAlignment="1" applyProtection="1">
      <alignment horizontal="left" vertical="center" indent="1"/>
    </xf>
    <xf numFmtId="0" fontId="8" fillId="0" borderId="31" xfId="0" applyFont="1" applyFill="1" applyBorder="1" applyAlignment="1">
      <alignment vertical="center"/>
    </xf>
    <xf numFmtId="1" fontId="8" fillId="0" borderId="20" xfId="0" applyNumberFormat="1" applyFont="1" applyFill="1" applyBorder="1" applyAlignment="1" applyProtection="1">
      <alignment horizontal="center" vertical="center"/>
      <protection locked="0"/>
    </xf>
    <xf numFmtId="0" fontId="0" fillId="2" borderId="15" xfId="0" applyFont="1" applyFill="1" applyBorder="1" applyAlignment="1">
      <alignment vertical="center"/>
    </xf>
    <xf numFmtId="0" fontId="0" fillId="2" borderId="19" xfId="0" applyFont="1" applyFill="1" applyBorder="1" applyAlignment="1">
      <alignment vertical="center"/>
    </xf>
    <xf numFmtId="0" fontId="65" fillId="61" borderId="35" xfId="101" applyBorder="1" applyProtection="1">
      <alignment horizontal="center" vertical="center"/>
    </xf>
    <xf numFmtId="0" fontId="65" fillId="61" borderId="21" xfId="101" applyBorder="1" applyProtection="1">
      <alignment horizontal="center" vertical="center"/>
    </xf>
    <xf numFmtId="0" fontId="8" fillId="0" borderId="37" xfId="0" applyFont="1" applyFill="1" applyBorder="1" applyAlignment="1" applyProtection="1">
      <alignment vertical="center"/>
    </xf>
    <xf numFmtId="0" fontId="66" fillId="61" borderId="10" xfId="101" applyFont="1" applyBorder="1" applyProtection="1">
      <alignment horizontal="center" vertical="center"/>
      <protection locked="0"/>
    </xf>
    <xf numFmtId="0" fontId="66" fillId="61" borderId="5" xfId="101" applyFont="1" applyBorder="1" applyProtection="1">
      <alignment horizontal="center" vertical="center"/>
      <protection locked="0"/>
    </xf>
    <xf numFmtId="0" fontId="66" fillId="61" borderId="100" xfId="101" applyFont="1" applyBorder="1" applyProtection="1">
      <alignment horizontal="center" vertical="center"/>
      <protection locked="0"/>
    </xf>
    <xf numFmtId="0" fontId="66" fillId="61" borderId="12" xfId="101" applyFont="1" applyBorder="1" applyProtection="1">
      <alignment horizontal="center" vertical="center"/>
      <protection locked="0"/>
    </xf>
    <xf numFmtId="0" fontId="66" fillId="61" borderId="13" xfId="101" applyFont="1" applyBorder="1" applyProtection="1">
      <alignment horizontal="center" vertical="center"/>
      <protection locked="0"/>
    </xf>
    <xf numFmtId="0" fontId="66" fillId="61" borderId="101" xfId="101" applyFont="1" applyBorder="1" applyProtection="1">
      <alignment horizontal="center" vertical="center"/>
      <protection locked="0"/>
    </xf>
    <xf numFmtId="0" fontId="65" fillId="61" borderId="36" xfId="101" applyBorder="1" applyProtection="1">
      <alignment horizontal="center" vertical="center"/>
    </xf>
    <xf numFmtId="0" fontId="65" fillId="61" borderId="23" xfId="101" applyBorder="1" applyProtection="1">
      <alignment horizontal="center" vertical="center"/>
    </xf>
    <xf numFmtId="0" fontId="8" fillId="0" borderId="22" xfId="0" applyFont="1" applyFill="1" applyBorder="1" applyAlignment="1" applyProtection="1">
      <alignment horizontal="left" vertical="center" indent="1"/>
    </xf>
    <xf numFmtId="0" fontId="8" fillId="0" borderId="33" xfId="0" applyFont="1" applyFill="1" applyBorder="1" applyAlignment="1" applyProtection="1">
      <alignment horizontal="left" vertical="center" indent="1"/>
    </xf>
    <xf numFmtId="0" fontId="8" fillId="0" borderId="20" xfId="0" applyFont="1" applyFill="1" applyBorder="1" applyAlignment="1" applyProtection="1">
      <alignment horizontal="left" vertical="center" indent="1"/>
    </xf>
    <xf numFmtId="0" fontId="8" fillId="0" borderId="27" xfId="0" applyFont="1" applyFill="1" applyBorder="1" applyAlignment="1" applyProtection="1">
      <alignment horizontal="left" vertical="center" indent="1"/>
    </xf>
    <xf numFmtId="0" fontId="8" fillId="0" borderId="21" xfId="0" applyFont="1" applyFill="1" applyBorder="1" applyAlignment="1" applyProtection="1">
      <alignment horizontal="left" vertical="center" indent="1"/>
    </xf>
    <xf numFmtId="0" fontId="10" fillId="0" borderId="0" xfId="0" applyNumberFormat="1" applyFont="1" applyFill="1" applyAlignment="1" applyProtection="1">
      <alignment horizontal="left" vertical="center"/>
    </xf>
    <xf numFmtId="182" fontId="8" fillId="0" borderId="0" xfId="0" applyNumberFormat="1" applyFont="1" applyFill="1" applyAlignment="1">
      <alignment horizontal="center" vertical="center"/>
    </xf>
    <xf numFmtId="0" fontId="11" fillId="34" borderId="0" xfId="0" applyNumberFormat="1" applyFont="1" applyFill="1" applyAlignment="1" applyProtection="1">
      <alignment horizontal="left" vertical="center" indent="4"/>
    </xf>
    <xf numFmtId="31" fontId="8" fillId="0" borderId="0" xfId="0" applyNumberFormat="1" applyFont="1" applyFill="1" applyAlignment="1">
      <alignment horizontal="center" vertical="center"/>
    </xf>
    <xf numFmtId="179" fontId="8" fillId="0" borderId="8" xfId="0" applyNumberFormat="1" applyFont="1" applyFill="1" applyBorder="1" applyAlignment="1" applyProtection="1">
      <alignment horizontal="center" vertical="center"/>
    </xf>
    <xf numFmtId="179" fontId="8" fillId="0" borderId="16" xfId="0" applyNumberFormat="1" applyFont="1" applyFill="1" applyBorder="1" applyAlignment="1" applyProtection="1">
      <alignment horizontal="center" vertical="center"/>
    </xf>
    <xf numFmtId="0" fontId="8" fillId="0" borderId="20" xfId="0" applyFont="1" applyFill="1" applyBorder="1" applyAlignment="1" applyProtection="1">
      <alignment horizontal="center" vertical="center"/>
    </xf>
    <xf numFmtId="0" fontId="8" fillId="0" borderId="27" xfId="0" applyFont="1" applyFill="1" applyBorder="1" applyAlignment="1" applyProtection="1">
      <alignment horizontal="center" vertical="center"/>
    </xf>
    <xf numFmtId="0" fontId="8" fillId="0" borderId="21" xfId="0" applyFont="1" applyFill="1" applyBorder="1" applyAlignment="1" applyProtection="1">
      <alignment horizontal="center" vertical="center"/>
    </xf>
    <xf numFmtId="14" fontId="8" fillId="0" borderId="20" xfId="0" applyNumberFormat="1" applyFont="1" applyFill="1" applyBorder="1" applyAlignment="1" applyProtection="1">
      <alignment horizontal="center" vertical="center"/>
    </xf>
    <xf numFmtId="14" fontId="8" fillId="0" borderId="21" xfId="0" applyNumberFormat="1" applyFont="1" applyFill="1" applyBorder="1" applyAlignment="1" applyProtection="1">
      <alignment horizontal="center" vertical="center"/>
    </xf>
    <xf numFmtId="179" fontId="8" fillId="0" borderId="9" xfId="0" applyNumberFormat="1" applyFont="1" applyFill="1" applyBorder="1" applyAlignment="1" applyProtection="1">
      <alignment horizontal="center" vertical="center"/>
    </xf>
    <xf numFmtId="179" fontId="8" fillId="0" borderId="17" xfId="0" applyNumberFormat="1" applyFont="1" applyFill="1" applyBorder="1" applyAlignment="1" applyProtection="1">
      <alignment horizontal="center" vertical="center"/>
    </xf>
    <xf numFmtId="0" fontId="66" fillId="61" borderId="11" xfId="101" applyFont="1" applyBorder="1" applyProtection="1">
      <alignment horizontal="center" vertical="center"/>
      <protection locked="0"/>
    </xf>
    <xf numFmtId="0" fontId="66" fillId="61" borderId="14" xfId="101" applyFont="1" applyBorder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8" fillId="0" borderId="23" xfId="0" applyFont="1" applyFill="1" applyBorder="1" applyAlignment="1" applyProtection="1">
      <alignment horizontal="center" vertical="center"/>
    </xf>
    <xf numFmtId="14" fontId="8" fillId="0" borderId="22" xfId="0" quotePrefix="1" applyNumberFormat="1" applyFont="1" applyFill="1" applyBorder="1" applyAlignment="1" applyProtection="1">
      <alignment horizontal="center" vertical="center"/>
    </xf>
    <xf numFmtId="14" fontId="8" fillId="0" borderId="23" xfId="0" quotePrefix="1" applyNumberFormat="1" applyFont="1" applyFill="1" applyBorder="1" applyAlignment="1" applyProtection="1">
      <alignment horizontal="center" vertical="center"/>
    </xf>
    <xf numFmtId="14" fontId="8" fillId="0" borderId="55" xfId="0" applyNumberFormat="1" applyFont="1" applyFill="1" applyBorder="1" applyAlignment="1">
      <alignment vertical="center"/>
    </xf>
    <xf numFmtId="14" fontId="8" fillId="0" borderId="54" xfId="0" applyNumberFormat="1" applyFont="1" applyBorder="1" applyAlignment="1">
      <alignment vertical="center"/>
    </xf>
    <xf numFmtId="14" fontId="8" fillId="0" borderId="53" xfId="0" applyNumberFormat="1" applyFont="1" applyBorder="1" applyAlignment="1">
      <alignment vertical="center"/>
    </xf>
    <xf numFmtId="0" fontId="65" fillId="61" borderId="58" xfId="101" applyBorder="1">
      <alignment horizontal="center" vertical="center"/>
    </xf>
    <xf numFmtId="0" fontId="65" fillId="61" borderId="5" xfId="101" applyBorder="1">
      <alignment horizontal="center" vertical="center"/>
    </xf>
    <xf numFmtId="0" fontId="65" fillId="61" borderId="11" xfId="101" applyBorder="1">
      <alignment horizontal="center" vertical="center"/>
    </xf>
    <xf numFmtId="0" fontId="8" fillId="0" borderId="51" xfId="0" applyFont="1" applyFill="1" applyBorder="1" applyAlignment="1">
      <alignment vertical="center" wrapText="1"/>
    </xf>
    <xf numFmtId="0" fontId="8" fillId="0" borderId="50" xfId="0" applyFont="1" applyBorder="1" applyAlignment="1">
      <alignment vertical="center" wrapText="1"/>
    </xf>
    <xf numFmtId="0" fontId="8" fillId="0" borderId="49" xfId="0" applyFont="1" applyBorder="1" applyAlignment="1">
      <alignment vertical="center" wrapText="1"/>
    </xf>
    <xf numFmtId="0" fontId="8" fillId="0" borderId="47" xfId="0" applyFont="1" applyFill="1" applyBorder="1" applyAlignment="1">
      <alignment vertical="center" wrapText="1"/>
    </xf>
    <xf numFmtId="0" fontId="8" fillId="0" borderId="46" xfId="0" applyFont="1" applyBorder="1" applyAlignment="1">
      <alignment vertical="center" wrapText="1"/>
    </xf>
    <xf numFmtId="0" fontId="8" fillId="0" borderId="45" xfId="0" applyFont="1" applyBorder="1" applyAlignment="1">
      <alignment vertical="center" wrapText="1"/>
    </xf>
    <xf numFmtId="49" fontId="8" fillId="0" borderId="0" xfId="0" applyNumberFormat="1" applyFont="1" applyFill="1" applyBorder="1" applyAlignment="1" applyProtection="1">
      <alignment horizontal="left" vertical="center"/>
      <protection locked="0"/>
    </xf>
    <xf numFmtId="0" fontId="65" fillId="61" borderId="10" xfId="101" applyBorder="1" applyProtection="1">
      <alignment horizontal="center" vertical="center"/>
      <protection locked="0"/>
    </xf>
    <xf numFmtId="0" fontId="65" fillId="61" borderId="100" xfId="101" applyBorder="1" applyProtection="1">
      <alignment horizontal="center" vertical="center"/>
      <protection locked="0"/>
    </xf>
    <xf numFmtId="0" fontId="65" fillId="61" borderId="12" xfId="101" applyBorder="1" applyProtection="1">
      <alignment horizontal="center" vertical="center"/>
      <protection locked="0"/>
    </xf>
    <xf numFmtId="0" fontId="65" fillId="61" borderId="101" xfId="101" applyBorder="1" applyProtection="1">
      <alignment horizontal="center" vertical="center"/>
      <protection locked="0"/>
    </xf>
    <xf numFmtId="0" fontId="65" fillId="61" borderId="111" xfId="101" applyBorder="1" applyProtection="1">
      <alignment horizontal="center" vertical="center"/>
    </xf>
    <xf numFmtId="0" fontId="65" fillId="61" borderId="5" xfId="101" applyBorder="1" applyProtection="1">
      <alignment horizontal="center" vertical="center"/>
    </xf>
    <xf numFmtId="0" fontId="65" fillId="61" borderId="11" xfId="101" applyBorder="1" applyProtection="1">
      <alignment horizontal="center" vertical="center"/>
    </xf>
    <xf numFmtId="0" fontId="0" fillId="0" borderId="105" xfId="0" applyFill="1" applyBorder="1">
      <alignment vertical="center"/>
    </xf>
    <xf numFmtId="0" fontId="0" fillId="0" borderId="102" xfId="0" applyFill="1" applyBorder="1">
      <alignment vertical="center"/>
    </xf>
    <xf numFmtId="0" fontId="0" fillId="0" borderId="112" xfId="0" applyFill="1" applyBorder="1">
      <alignment vertical="center"/>
    </xf>
    <xf numFmtId="0" fontId="0" fillId="0" borderId="106" xfId="0" applyFill="1" applyBorder="1">
      <alignment vertical="center"/>
    </xf>
    <xf numFmtId="0" fontId="0" fillId="0" borderId="103" xfId="0" applyFill="1" applyBorder="1">
      <alignment vertical="center"/>
    </xf>
    <xf numFmtId="0" fontId="0" fillId="0" borderId="113" xfId="0" applyFill="1" applyBorder="1">
      <alignment vertical="center"/>
    </xf>
    <xf numFmtId="0" fontId="12" fillId="0" borderId="108" xfId="110" applyNumberFormat="1" applyFill="1" applyBorder="1" applyAlignment="1" applyProtection="1">
      <alignment vertical="center" shrinkToFit="1"/>
      <protection locked="0"/>
    </xf>
    <xf numFmtId="0" fontId="12" fillId="0" borderId="25" xfId="110" applyNumberFormat="1" applyFill="1" applyBorder="1" applyAlignment="1" applyProtection="1">
      <alignment vertical="center" shrinkToFit="1"/>
      <protection locked="0"/>
    </xf>
    <xf numFmtId="0" fontId="12" fillId="0" borderId="26" xfId="110" applyNumberFormat="1" applyFill="1" applyBorder="1" applyAlignment="1" applyProtection="1">
      <alignment vertical="center" shrinkToFit="1"/>
      <protection locked="0"/>
    </xf>
    <xf numFmtId="0" fontId="8" fillId="0" borderId="15" xfId="0" applyNumberFormat="1" applyFont="1" applyFill="1" applyBorder="1" applyAlignment="1" applyProtection="1">
      <alignment vertical="center" shrinkToFit="1"/>
      <protection locked="0"/>
    </xf>
    <xf numFmtId="0" fontId="8" fillId="0" borderId="25" xfId="0" applyNumberFormat="1" applyFont="1" applyFill="1" applyBorder="1" applyAlignment="1" applyProtection="1">
      <alignment vertical="center" shrinkToFit="1"/>
      <protection locked="0"/>
    </xf>
    <xf numFmtId="0" fontId="8" fillId="0" borderId="26" xfId="0" applyNumberFormat="1" applyFont="1" applyFill="1" applyBorder="1" applyAlignment="1" applyProtection="1">
      <alignment vertical="center" shrinkToFit="1"/>
      <protection locked="0"/>
    </xf>
    <xf numFmtId="0" fontId="8" fillId="0" borderId="108" xfId="0" applyNumberFormat="1" applyFont="1" applyFill="1" applyBorder="1" applyAlignment="1" applyProtection="1">
      <alignment vertical="center" shrinkToFit="1"/>
      <protection locked="0"/>
    </xf>
    <xf numFmtId="0" fontId="8" fillId="0" borderId="109" xfId="0" applyNumberFormat="1" applyFont="1" applyFill="1" applyBorder="1" applyAlignment="1" applyProtection="1">
      <alignment vertical="center" shrinkToFit="1"/>
      <protection locked="0"/>
    </xf>
    <xf numFmtId="0" fontId="8" fillId="0" borderId="110" xfId="0" applyNumberFormat="1" applyFont="1" applyFill="1" applyBorder="1" applyAlignment="1" applyProtection="1">
      <alignment vertical="center" shrinkToFit="1"/>
      <protection locked="0"/>
    </xf>
    <xf numFmtId="0" fontId="8" fillId="0" borderId="115" xfId="0" applyNumberFormat="1" applyFont="1" applyFill="1" applyBorder="1" applyAlignment="1" applyProtection="1">
      <alignment vertical="center" shrinkToFit="1"/>
      <protection locked="0"/>
    </xf>
    <xf numFmtId="0" fontId="8" fillId="0" borderId="44" xfId="0" applyNumberFormat="1" applyFont="1" applyFill="1" applyBorder="1" applyAlignment="1" applyProtection="1">
      <alignment vertical="center" shrinkToFit="1"/>
      <protection locked="0"/>
    </xf>
    <xf numFmtId="0" fontId="8" fillId="0" borderId="30" xfId="0" applyNumberFormat="1" applyFont="1" applyFill="1" applyBorder="1" applyAlignment="1" applyProtection="1">
      <alignment vertical="center" shrinkToFit="1"/>
      <protection locked="0"/>
    </xf>
    <xf numFmtId="0" fontId="8" fillId="0" borderId="82" xfId="0" applyNumberFormat="1" applyFont="1" applyFill="1" applyBorder="1" applyAlignment="1" applyProtection="1">
      <alignment vertical="center" shrinkToFit="1"/>
      <protection locked="0"/>
    </xf>
    <xf numFmtId="0" fontId="0" fillId="0" borderId="107" xfId="0" applyFill="1" applyBorder="1">
      <alignment vertical="center"/>
    </xf>
    <xf numFmtId="0" fontId="0" fillId="0" borderId="104" xfId="0" applyFill="1" applyBorder="1">
      <alignment vertical="center"/>
    </xf>
    <xf numFmtId="0" fontId="0" fillId="0" borderId="114" xfId="0" applyFill="1" applyBorder="1">
      <alignment vertical="center"/>
    </xf>
    <xf numFmtId="0" fontId="8" fillId="0" borderId="20" xfId="0" applyNumberFormat="1" applyFont="1" applyFill="1" applyBorder="1" applyAlignment="1" applyProtection="1">
      <alignment vertical="center" shrinkToFit="1"/>
      <protection locked="0"/>
    </xf>
    <xf numFmtId="0" fontId="8" fillId="0" borderId="27" xfId="0" applyNumberFormat="1" applyFont="1" applyFill="1" applyBorder="1" applyAlignment="1" applyProtection="1">
      <alignment vertical="center" shrinkToFit="1"/>
      <protection locked="0"/>
    </xf>
    <xf numFmtId="0" fontId="8" fillId="0" borderId="28" xfId="0" applyNumberFormat="1" applyFont="1" applyFill="1" applyBorder="1" applyAlignment="1" applyProtection="1">
      <alignment vertical="center" shrinkToFit="1"/>
      <protection locked="0"/>
    </xf>
  </cellXfs>
  <cellStyles count="113">
    <cellStyle name="00.0" xfId="102"/>
    <cellStyle name="20% - アクセント 1" xfId="1" builtinId="30" hidden="1" customBuiltin="1"/>
    <cellStyle name="20% - アクセント 1" xfId="48" builtinId="30" hidden="1" customBuiltin="1"/>
    <cellStyle name="20% - アクセント 2" xfId="2" builtinId="34" hidden="1" customBuiltin="1"/>
    <cellStyle name="20% - アクセント 2" xfId="49" builtinId="34" hidden="1" customBuiltin="1"/>
    <cellStyle name="20% - アクセント 3" xfId="3" builtinId="38" hidden="1" customBuiltin="1"/>
    <cellStyle name="20% - アクセント 3" xfId="50" builtinId="38" hidden="1" customBuiltin="1"/>
    <cellStyle name="20% - アクセント 4" xfId="4" builtinId="42" hidden="1" customBuiltin="1"/>
    <cellStyle name="20% - アクセント 4" xfId="51" builtinId="42" hidden="1" customBuiltin="1"/>
    <cellStyle name="20% - アクセント 5" xfId="5" builtinId="46" hidden="1" customBuiltin="1"/>
    <cellStyle name="20% - アクセント 5" xfId="52" builtinId="46" hidden="1" customBuiltin="1"/>
    <cellStyle name="20% - アクセント 6" xfId="6" builtinId="50" hidden="1" customBuiltin="1"/>
    <cellStyle name="20% - アクセント 6" xfId="53" builtinId="50" hidden="1" customBuiltin="1"/>
    <cellStyle name="40% - アクセント 1" xfId="7" builtinId="31" hidden="1" customBuiltin="1"/>
    <cellStyle name="40% - アクセント 1" xfId="54" builtinId="31" hidden="1" customBuiltin="1"/>
    <cellStyle name="40% - アクセント 2" xfId="8" builtinId="35" hidden="1" customBuiltin="1"/>
    <cellStyle name="40% - アクセント 2" xfId="55" builtinId="35" hidden="1" customBuiltin="1"/>
    <cellStyle name="40% - アクセント 3" xfId="9" builtinId="39" hidden="1" customBuiltin="1"/>
    <cellStyle name="40% - アクセント 3" xfId="56" builtinId="39" hidden="1" customBuiltin="1"/>
    <cellStyle name="40% - アクセント 4" xfId="10" builtinId="43" hidden="1" customBuiltin="1"/>
    <cellStyle name="40% - アクセント 4" xfId="57" builtinId="43" hidden="1" customBuiltin="1"/>
    <cellStyle name="40% - アクセント 5" xfId="11" builtinId="47" hidden="1" customBuiltin="1"/>
    <cellStyle name="40% - アクセント 5" xfId="58" builtinId="47" hidden="1" customBuiltin="1"/>
    <cellStyle name="40% - アクセント 6" xfId="12" builtinId="51" hidden="1" customBuiltin="1"/>
    <cellStyle name="40% - アクセント 6" xfId="59" builtinId="51" hidden="1" customBuiltin="1"/>
    <cellStyle name="60% - アクセント 1" xfId="13" builtinId="32" hidden="1" customBuiltin="1"/>
    <cellStyle name="60% - アクセント 1" xfId="60" builtinId="32" hidden="1" customBuiltin="1"/>
    <cellStyle name="60% - アクセント 2" xfId="14" builtinId="36" hidden="1" customBuiltin="1"/>
    <cellStyle name="60% - アクセント 2" xfId="61" builtinId="36" hidden="1" customBuiltin="1"/>
    <cellStyle name="60% - アクセント 3" xfId="15" builtinId="40" hidden="1" customBuiltin="1"/>
    <cellStyle name="60% - アクセント 3" xfId="62" builtinId="40" hidden="1" customBuiltin="1"/>
    <cellStyle name="60% - アクセント 4" xfId="16" builtinId="44" hidden="1" customBuiltin="1"/>
    <cellStyle name="60% - アクセント 4" xfId="63" builtinId="44" hidden="1" customBuiltin="1"/>
    <cellStyle name="60% - アクセント 5" xfId="17" builtinId="48" hidden="1" customBuiltin="1"/>
    <cellStyle name="60% - アクセント 5" xfId="64" builtinId="48" hidden="1" customBuiltin="1"/>
    <cellStyle name="60% - アクセント 6" xfId="18" builtinId="52" hidden="1" customBuiltin="1"/>
    <cellStyle name="60% - アクセント 6" xfId="65" builtinId="52" hidden="1" customBuiltin="1"/>
    <cellStyle name="Error" xfId="105"/>
    <cellStyle name="H_標準" xfId="101"/>
    <cellStyle name="H_標準 2" xfId="111"/>
    <cellStyle name="アクセント 1" xfId="19" builtinId="29" hidden="1" customBuiltin="1"/>
    <cellStyle name="アクセント 1" xfId="66" builtinId="29" hidden="1" customBuiltin="1"/>
    <cellStyle name="アクセント 2" xfId="20" builtinId="33" hidden="1" customBuiltin="1"/>
    <cellStyle name="アクセント 2" xfId="67" builtinId="33" hidden="1" customBuiltin="1"/>
    <cellStyle name="アクセント 3" xfId="21" builtinId="37" hidden="1" customBuiltin="1"/>
    <cellStyle name="アクセント 3" xfId="68" builtinId="37" hidden="1" customBuiltin="1"/>
    <cellStyle name="アクセント 4" xfId="22" builtinId="41" hidden="1" customBuiltin="1"/>
    <cellStyle name="アクセント 4" xfId="69" builtinId="41" hidden="1" customBuiltin="1"/>
    <cellStyle name="アクセント 5" xfId="23" builtinId="45" hidden="1" customBuiltin="1"/>
    <cellStyle name="アクセント 5" xfId="70" builtinId="45" hidden="1" customBuiltin="1"/>
    <cellStyle name="アクセント 6" xfId="24" builtinId="49" hidden="1" customBuiltin="1"/>
    <cellStyle name="アクセント 6" xfId="71" builtinId="49" hidden="1" customBuiltin="1"/>
    <cellStyle name="タイトル" xfId="25" builtinId="15" hidden="1" customBuiltin="1"/>
    <cellStyle name="タイトル" xfId="72" builtinId="15" hidden="1" customBuiltin="1"/>
    <cellStyle name="チェック セル" xfId="26" builtinId="23" hidden="1" customBuiltin="1"/>
    <cellStyle name="チェック セル" xfId="73" builtinId="23" hidden="1" customBuiltin="1"/>
    <cellStyle name="どちらでもない" xfId="27" builtinId="28" hidden="1" customBuiltin="1"/>
    <cellStyle name="どちらでもない" xfId="74" builtinId="28" hidden="1" customBuiltin="1"/>
    <cellStyle name="パーセント" xfId="94" builtinId="5" hidden="1"/>
    <cellStyle name="パーセント" xfId="97"/>
    <cellStyle name="ハイパーリンク" xfId="28" builtinId="8" hidden="1"/>
    <cellStyle name="ハイパーリンク" xfId="45" builtinId="8" hidden="1"/>
    <cellStyle name="ハイパーリンク" xfId="46" builtinId="8" hidden="1"/>
    <cellStyle name="ハイパーリンク" xfId="47" builtinId="8" hidden="1"/>
    <cellStyle name="ハイパーリンク" xfId="90" builtinId="8" hidden="1"/>
    <cellStyle name="ハイパーリンク" xfId="96" builtinId="8" hidden="1"/>
    <cellStyle name="ハイパーリンク" xfId="106" builtinId="8" hidden="1"/>
    <cellStyle name="ハイパーリンク" xfId="108" builtinId="8" hidden="1"/>
    <cellStyle name="ハイパーリンク" xfId="110" builtinId="8"/>
    <cellStyle name="メモ" xfId="29" builtinId="10" hidden="1" customBuiltin="1"/>
    <cellStyle name="メモ" xfId="75" builtinId="10" hidden="1" customBuiltin="1"/>
    <cellStyle name="リンク セル" xfId="30" builtinId="24" hidden="1" customBuiltin="1"/>
    <cellStyle name="リンク セル" xfId="76" builtinId="24" hidden="1" customBuiltin="1"/>
    <cellStyle name="悪い" xfId="31" builtinId="27" hidden="1" customBuiltin="1"/>
    <cellStyle name="悪い" xfId="77" builtinId="27" hidden="1" customBuiltin="1"/>
    <cellStyle name="計算" xfId="32" builtinId="22" hidden="1" customBuiltin="1"/>
    <cellStyle name="計算" xfId="78" builtinId="22" hidden="1" customBuiltin="1"/>
    <cellStyle name="警告文" xfId="33" builtinId="11" hidden="1" customBuiltin="1"/>
    <cellStyle name="警告文" xfId="79" builtinId="11" hidden="1" customBuiltin="1"/>
    <cellStyle name="桁区切り" xfId="93" builtinId="6" hidden="1"/>
    <cellStyle name="桁区切り" xfId="89"/>
    <cellStyle name="桁区切り [0.00]" xfId="92" builtinId="3" hidden="1"/>
    <cellStyle name="見出し 1" xfId="34" builtinId="16" hidden="1" customBuiltin="1"/>
    <cellStyle name="見出し 1" xfId="80" builtinId="16" hidden="1" customBuiltin="1"/>
    <cellStyle name="見出し 2" xfId="35" builtinId="17" hidden="1" customBuiltin="1"/>
    <cellStyle name="見出し 2" xfId="81" builtinId="17" hidden="1" customBuiltin="1"/>
    <cellStyle name="見出し 3" xfId="36" builtinId="18" hidden="1" customBuiltin="1"/>
    <cellStyle name="見出し 3" xfId="82" builtinId="18" hidden="1" customBuiltin="1"/>
    <cellStyle name="見出し 4" xfId="37" builtinId="19" hidden="1" customBuiltin="1"/>
    <cellStyle name="見出し 4" xfId="83" builtinId="19" hidden="1" customBuiltin="1"/>
    <cellStyle name="集計" xfId="38" builtinId="25" hidden="1" customBuiltin="1"/>
    <cellStyle name="集計" xfId="84" builtinId="25" hidden="1" customBuiltin="1"/>
    <cellStyle name="出力" xfId="39" builtinId="21" hidden="1" customBuiltin="1"/>
    <cellStyle name="出力" xfId="85" builtinId="21" hidden="1" customBuiltin="1"/>
    <cellStyle name="数値" xfId="103"/>
    <cellStyle name="説明文" xfId="40" builtinId="53" hidden="1" customBuiltin="1"/>
    <cellStyle name="説明文" xfId="86" builtinId="53" hidden="1" customBuiltin="1"/>
    <cellStyle name="通貨" xfId="44" builtinId="7" hidden="1" customBuiltin="1"/>
    <cellStyle name="通貨" xfId="95"/>
    <cellStyle name="通貨 [0.00]" xfId="43" builtinId="4" hidden="1" customBuiltin="1"/>
    <cellStyle name="日時" xfId="100"/>
    <cellStyle name="入力" xfId="41" builtinId="20" hidden="1" customBuiltin="1"/>
    <cellStyle name="入力" xfId="87" builtinId="20" hidden="1" customBuiltin="1"/>
    <cellStyle name="標準" xfId="0" builtinId="0" customBuiltin="1"/>
    <cellStyle name="標準 2" xfId="112"/>
    <cellStyle name="表示済みのハイパーリンク" xfId="91" builtinId="9" hidden="1"/>
    <cellStyle name="表示済みのハイパーリンク" xfId="98" builtinId="9" hidden="1"/>
    <cellStyle name="表示済みのハイパーリンク" xfId="107" builtinId="9" hidden="1"/>
    <cellStyle name="表示済みのハイパーリンク" xfId="109" builtinId="9" hidden="1"/>
    <cellStyle name="不要" xfId="99"/>
    <cellStyle name="要確認" xfId="104"/>
    <cellStyle name="良い" xfId="42" builtinId="26" hidden="1" customBuiltin="1"/>
    <cellStyle name="良い" xfId="88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DDDDDD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54246</xdr:colOff>
      <xdr:row>2</xdr:row>
      <xdr:rowOff>0</xdr:rowOff>
    </xdr:from>
    <xdr:ext cx="2139873" cy="2661131"/>
    <xdr:grpSp>
      <xdr:nvGrpSpPr>
        <xdr:cNvPr id="2" name="ERImg"/>
        <xdr:cNvGrpSpPr/>
      </xdr:nvGrpSpPr>
      <xdr:grpSpPr>
        <a:xfrm>
          <a:off x="1883046" y="381000"/>
          <a:ext cx="2139873" cy="2661131"/>
          <a:chOff x="2849342" y="1832665"/>
          <a:chExt cx="2139873" cy="2661131"/>
        </a:xfrm>
      </xdr:grpSpPr>
      <xdr:sp macro="" textlink="">
        <xdr:nvSpPr>
          <xdr:cNvPr id="3" name="ColumnList"/>
          <xdr:cNvSpPr/>
        </xdr:nvSpPr>
        <xdr:spPr>
          <a:xfrm>
            <a:off x="2853794" y="2150847"/>
            <a:ext cx="2135421" cy="2342949"/>
          </a:xfrm>
          <a:custGeom>
            <a:avLst/>
            <a:gdLst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336 w 2132336"/>
              <a:gd name="connsiteY2" fmla="*/ 2342949 h 2342949"/>
              <a:gd name="connsiteX3" fmla="*/ 0 w 2132336"/>
              <a:gd name="connsiteY3" fmla="*/ 2342949 h 2342949"/>
              <a:gd name="connsiteX4" fmla="*/ 0 w 2132336"/>
              <a:gd name="connsiteY4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24752 w 2132336"/>
              <a:gd name="connsiteY2" fmla="*/ 125015 h 2342949"/>
              <a:gd name="connsiteX3" fmla="*/ 2132336 w 2132336"/>
              <a:gd name="connsiteY3" fmla="*/ 2342949 h 2342949"/>
              <a:gd name="connsiteX4" fmla="*/ 0 w 2132336"/>
              <a:gd name="connsiteY4" fmla="*/ 2342949 h 2342949"/>
              <a:gd name="connsiteX5" fmla="*/ 0 w 2132336"/>
              <a:gd name="connsiteY5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336 w 2132336"/>
              <a:gd name="connsiteY2" fmla="*/ 2342949 h 2342949"/>
              <a:gd name="connsiteX3" fmla="*/ 0 w 2132336"/>
              <a:gd name="connsiteY3" fmla="*/ 2342949 h 2342949"/>
              <a:gd name="connsiteX4" fmla="*/ 0 w 2132336"/>
              <a:gd name="connsiteY4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079 w 2132336"/>
              <a:gd name="connsiteY2" fmla="*/ 125015 h 2342949"/>
              <a:gd name="connsiteX3" fmla="*/ 2132336 w 2132336"/>
              <a:gd name="connsiteY3" fmla="*/ 2342949 h 2342949"/>
              <a:gd name="connsiteX4" fmla="*/ 0 w 2132336"/>
              <a:gd name="connsiteY4" fmla="*/ 2342949 h 2342949"/>
              <a:gd name="connsiteX5" fmla="*/ 0 w 2132336"/>
              <a:gd name="connsiteY5" fmla="*/ 0 h 2342949"/>
              <a:gd name="connsiteX0" fmla="*/ 0 w 2135421"/>
              <a:gd name="connsiteY0" fmla="*/ 0 h 2342949"/>
              <a:gd name="connsiteX1" fmla="*/ 2132336 w 2135421"/>
              <a:gd name="connsiteY1" fmla="*/ 0 h 2342949"/>
              <a:gd name="connsiteX2" fmla="*/ 2132079 w 2135421"/>
              <a:gd name="connsiteY2" fmla="*/ 125015 h 2342949"/>
              <a:gd name="connsiteX3" fmla="*/ 2132336 w 2135421"/>
              <a:gd name="connsiteY3" fmla="*/ 2342949 h 2342949"/>
              <a:gd name="connsiteX4" fmla="*/ 0 w 2135421"/>
              <a:gd name="connsiteY4" fmla="*/ 2342949 h 2342949"/>
              <a:gd name="connsiteX5" fmla="*/ 0 w 2135421"/>
              <a:gd name="connsiteY5" fmla="*/ 0 h 2342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135421" h="2342949">
                <a:moveTo>
                  <a:pt x="0" y="0"/>
                </a:moveTo>
                <a:lnTo>
                  <a:pt x="2132336" y="0"/>
                </a:lnTo>
                <a:cubicBezTo>
                  <a:pt x="2132250" y="41672"/>
                  <a:pt x="2124666" y="-13488"/>
                  <a:pt x="2132079" y="125015"/>
                </a:cubicBezTo>
                <a:cubicBezTo>
                  <a:pt x="2139492" y="263518"/>
                  <a:pt x="2132250" y="1603638"/>
                  <a:pt x="2132336" y="2342949"/>
                </a:cubicBezTo>
                <a:lnTo>
                  <a:pt x="0" y="2342949"/>
                </a:lnTo>
                <a:lnTo>
                  <a:pt x="0" y="0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spAutoFit/>
          </a:bodyPr>
          <a:lstStyle/>
          <a:p>
            <a:pPr algn="l"/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◆自動採番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ID
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　番号
　案件名
　課コード
　課名
　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OBPM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コード
　ＰＪ状況
　顧客コード
　顧客名称</a:t>
            </a:r>
          </a:p>
          <a:p>
            <a:pPr algn="l"/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　予定期間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(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自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  <xdr:sp macro="" textlink="">
        <xdr:nvSpPr>
          <xdr:cNvPr id="4" name="TableName"/>
          <xdr:cNvSpPr/>
        </xdr:nvSpPr>
        <xdr:spPr>
          <a:xfrm>
            <a:off x="2849342" y="1832665"/>
            <a:ext cx="2136478" cy="317395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SI_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案件一覧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3</a:t>
            </a:r>
            <a:endParaRPr kumimoji="1" lang="ja-JP" altLang="en-US" sz="9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</xdr:grpSp>
    <xdr:clientData/>
  </xdr:oneCellAnchor>
  <xdr:twoCellAnchor editAs="oneCell">
    <xdr:from>
      <xdr:col>1</xdr:col>
      <xdr:colOff>0</xdr:colOff>
      <xdr:row>6</xdr:row>
      <xdr:rowOff>90867</xdr:rowOff>
    </xdr:from>
    <xdr:to>
      <xdr:col>1</xdr:col>
      <xdr:colOff>219106</xdr:colOff>
      <xdr:row>7</xdr:row>
      <xdr:rowOff>119473</xdr:rowOff>
    </xdr:to>
    <xdr:pic>
      <xdr:nvPicPr>
        <xdr:cNvPr id="5" name="ERImg_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233867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37445</xdr:rowOff>
    </xdr:from>
    <xdr:to>
      <xdr:col>1</xdr:col>
      <xdr:colOff>219106</xdr:colOff>
      <xdr:row>11</xdr:row>
      <xdr:rowOff>66051</xdr:rowOff>
    </xdr:to>
    <xdr:pic>
      <xdr:nvPicPr>
        <xdr:cNvPr id="6" name="ERImg_0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942445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4313</xdr:rowOff>
    </xdr:from>
    <xdr:to>
      <xdr:col>1</xdr:col>
      <xdr:colOff>219106</xdr:colOff>
      <xdr:row>9</xdr:row>
      <xdr:rowOff>32919</xdr:rowOff>
    </xdr:to>
    <xdr:pic>
      <xdr:nvPicPr>
        <xdr:cNvPr id="7" name="ERImg_1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528313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54009</xdr:rowOff>
    </xdr:from>
    <xdr:to>
      <xdr:col>1</xdr:col>
      <xdr:colOff>219106</xdr:colOff>
      <xdr:row>5</xdr:row>
      <xdr:rowOff>82615</xdr:rowOff>
    </xdr:to>
    <xdr:pic>
      <xdr:nvPicPr>
        <xdr:cNvPr id="8" name="ERImg_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816009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29162</xdr:rowOff>
    </xdr:from>
    <xdr:to>
      <xdr:col>1</xdr:col>
      <xdr:colOff>219106</xdr:colOff>
      <xdr:row>3</xdr:row>
      <xdr:rowOff>57768</xdr:rowOff>
    </xdr:to>
    <xdr:pic>
      <xdr:nvPicPr>
        <xdr:cNvPr id="9" name="ERImg_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410162"/>
          <a:ext cx="219106" cy="2191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 w="19050"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printerSettings" Target="../printerSettings/printerSettings7.bin"/><Relationship Id="rId4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V70"/>
  <sheetViews>
    <sheetView showGridLines="0" zoomScaleNormal="100" workbookViewId="0">
      <pane ySplit="4" topLeftCell="A29" activePane="bottomLeft" state="frozen"/>
      <selection pane="bottomLeft"/>
    </sheetView>
  </sheetViews>
  <sheetFormatPr defaultRowHeight="15" customHeight="1"/>
  <cols>
    <col min="1" max="1" width="25.7109375" style="69" customWidth="1"/>
    <col min="2" max="2" width="25.7109375" style="70" customWidth="1"/>
    <col min="3" max="3" width="5.7109375" style="69" customWidth="1"/>
    <col min="4" max="4" width="25.7109375" style="69" customWidth="1"/>
    <col min="5" max="5" width="25.7109375" style="70" customWidth="1"/>
    <col min="6" max="6" width="5.7109375" style="69" customWidth="1"/>
    <col min="7" max="7" width="27.85546875" style="58" customWidth="1"/>
    <col min="8" max="8" width="13.42578125" style="58" customWidth="1"/>
    <col min="9" max="9" width="31.28515625" style="58" bestFit="1" customWidth="1"/>
    <col min="10" max="10" width="26.85546875" style="58" customWidth="1"/>
    <col min="11" max="11" width="57.28515625" style="58" bestFit="1" customWidth="1"/>
    <col min="12" max="12" width="7.42578125" customWidth="1"/>
    <col min="13" max="13" width="9.5703125" style="58" customWidth="1"/>
    <col min="14" max="15" width="26.85546875" style="58" customWidth="1"/>
    <col min="16" max="17" width="15.7109375" customWidth="1"/>
    <col min="18" max="18" width="16.42578125" style="58" customWidth="1"/>
    <col min="19" max="19" width="34.7109375" style="58" customWidth="1"/>
    <col min="20" max="20" width="5.7109375" style="56" customWidth="1"/>
    <col min="21" max="21" width="22.85546875" style="58" customWidth="1"/>
    <col min="22" max="22" width="40.28515625" style="58" customWidth="1"/>
    <col min="23" max="16384" width="9.140625" style="58"/>
  </cols>
  <sheetData>
    <row r="1" spans="1:22" s="55" customFormat="1" ht="15" customHeight="1">
      <c r="A1" s="138">
        <f>COLUMN()</f>
        <v>1</v>
      </c>
      <c r="B1" s="139">
        <f>COLUMN()</f>
        <v>2</v>
      </c>
      <c r="C1" s="138">
        <f>COLUMN()</f>
        <v>3</v>
      </c>
      <c r="D1" s="138">
        <f>COLUMN()</f>
        <v>4</v>
      </c>
      <c r="E1" s="139">
        <f>COLUMN()</f>
        <v>5</v>
      </c>
      <c r="F1" s="138">
        <f>COLUMN()</f>
        <v>6</v>
      </c>
      <c r="G1" s="55">
        <f>COLUMN()</f>
        <v>7</v>
      </c>
      <c r="H1" s="55">
        <f>COLUMN()</f>
        <v>8</v>
      </c>
      <c r="I1" s="55">
        <f>COLUMN()</f>
        <v>9</v>
      </c>
      <c r="J1" s="55">
        <f>COLUMN()</f>
        <v>10</v>
      </c>
      <c r="K1" s="55">
        <f>COLUMN()</f>
        <v>11</v>
      </c>
      <c r="L1" s="235">
        <f>COLUMN()</f>
        <v>12</v>
      </c>
      <c r="M1" s="55">
        <f>COLUMN()</f>
        <v>13</v>
      </c>
      <c r="N1" s="55">
        <f>COLUMN()</f>
        <v>14</v>
      </c>
      <c r="O1" s="55">
        <f>COLUMN()</f>
        <v>15</v>
      </c>
      <c r="P1" s="235">
        <f>COLUMN()</f>
        <v>16</v>
      </c>
      <c r="Q1" s="235">
        <f>COLUMN()</f>
        <v>17</v>
      </c>
      <c r="R1" s="55">
        <f>COLUMN()</f>
        <v>18</v>
      </c>
      <c r="S1" s="55">
        <f>COLUMN()</f>
        <v>19</v>
      </c>
      <c r="T1" s="55">
        <f>COLUMN()</f>
        <v>20</v>
      </c>
      <c r="U1" s="55">
        <f>COLUMN()</f>
        <v>21</v>
      </c>
      <c r="V1" s="55">
        <f>COLUMN()</f>
        <v>22</v>
      </c>
    </row>
    <row r="3" spans="1:22" ht="15" customHeight="1">
      <c r="A3" s="127" t="s">
        <v>248</v>
      </c>
      <c r="B3" s="128"/>
      <c r="D3" s="127" t="s">
        <v>538</v>
      </c>
      <c r="E3" s="68"/>
      <c r="G3" s="127" t="s">
        <v>260</v>
      </c>
      <c r="K3"/>
      <c r="M3" s="146" t="s">
        <v>349</v>
      </c>
      <c r="R3" s="54" t="s">
        <v>143</v>
      </c>
      <c r="S3" s="55"/>
      <c r="U3" s="54" t="s">
        <v>109</v>
      </c>
      <c r="V3" s="57" t="s">
        <v>430</v>
      </c>
    </row>
    <row r="4" spans="1:22" ht="15" customHeight="1">
      <c r="A4" s="129" t="s">
        <v>110</v>
      </c>
      <c r="B4" s="129" t="s">
        <v>111</v>
      </c>
      <c r="D4" s="120" t="s">
        <v>110</v>
      </c>
      <c r="E4" s="120" t="s">
        <v>111</v>
      </c>
      <c r="G4" s="129" t="s">
        <v>307</v>
      </c>
      <c r="H4" s="129" t="s">
        <v>304</v>
      </c>
      <c r="I4" s="129" t="s">
        <v>305</v>
      </c>
      <c r="J4" s="129" t="s">
        <v>306</v>
      </c>
      <c r="K4" s="129" t="s">
        <v>503</v>
      </c>
      <c r="M4" s="129" t="s">
        <v>313</v>
      </c>
      <c r="N4" s="129" t="s">
        <v>314</v>
      </c>
      <c r="O4"/>
      <c r="R4" s="59" t="s">
        <v>110</v>
      </c>
      <c r="S4" s="59" t="s">
        <v>111</v>
      </c>
      <c r="U4" s="59" t="s">
        <v>110</v>
      </c>
      <c r="V4" s="59" t="s">
        <v>111</v>
      </c>
    </row>
    <row r="5" spans="1:22" ht="15" customHeight="1">
      <c r="A5" s="130" t="s">
        <v>250</v>
      </c>
      <c r="B5" s="131" t="s">
        <v>251</v>
      </c>
      <c r="D5" s="121" t="s">
        <v>537</v>
      </c>
      <c r="E5" s="123"/>
      <c r="G5" s="115" t="s">
        <v>140</v>
      </c>
      <c r="H5" s="115" t="s">
        <v>303</v>
      </c>
      <c r="I5" s="117" t="s">
        <v>242</v>
      </c>
      <c r="J5" s="117" t="s">
        <v>225</v>
      </c>
      <c r="K5" s="241" t="s">
        <v>505</v>
      </c>
      <c r="M5" s="117">
        <v>2</v>
      </c>
      <c r="N5" s="117" t="s">
        <v>315</v>
      </c>
      <c r="O5"/>
      <c r="P5" s="77"/>
      <c r="Q5" s="77"/>
      <c r="R5" s="78" t="s">
        <v>219</v>
      </c>
      <c r="S5" s="63" t="s">
        <v>220</v>
      </c>
      <c r="T5" s="58"/>
      <c r="U5" s="79" t="s">
        <v>69</v>
      </c>
      <c r="V5" s="80" t="s">
        <v>237</v>
      </c>
    </row>
    <row r="6" spans="1:22" ht="15" customHeight="1">
      <c r="A6" s="130" t="s">
        <v>254</v>
      </c>
      <c r="B6" s="132" t="b">
        <v>1</v>
      </c>
      <c r="D6" s="121" t="s">
        <v>536</v>
      </c>
      <c r="E6" s="122"/>
      <c r="G6" s="115" t="s">
        <v>203</v>
      </c>
      <c r="H6" s="115" t="s">
        <v>301</v>
      </c>
      <c r="I6" s="117" t="s">
        <v>241</v>
      </c>
      <c r="J6" s="117" t="s">
        <v>367</v>
      </c>
      <c r="K6" s="241" t="s">
        <v>504</v>
      </c>
      <c r="M6" s="117">
        <v>3</v>
      </c>
      <c r="N6" s="117" t="s">
        <v>371</v>
      </c>
      <c r="O6" s="64"/>
      <c r="P6" s="77"/>
      <c r="Q6" s="77"/>
      <c r="R6" s="78" t="s">
        <v>223</v>
      </c>
      <c r="S6" s="63" t="s">
        <v>245</v>
      </c>
      <c r="T6" s="58"/>
      <c r="U6" s="79" t="s">
        <v>4</v>
      </c>
      <c r="V6" s="81">
        <v>43634</v>
      </c>
    </row>
    <row r="7" spans="1:22" ht="15" customHeight="1">
      <c r="A7" s="130" t="s">
        <v>255</v>
      </c>
      <c r="B7" s="132" t="b">
        <v>1</v>
      </c>
      <c r="D7" s="121" t="s">
        <v>542</v>
      </c>
      <c r="E7" s="123"/>
      <c r="G7" s="115" t="s">
        <v>205</v>
      </c>
      <c r="H7" s="115" t="s">
        <v>302</v>
      </c>
      <c r="I7" s="117" t="s">
        <v>221</v>
      </c>
      <c r="J7" s="117" t="s">
        <v>227</v>
      </c>
      <c r="K7" s="241" t="s">
        <v>506</v>
      </c>
      <c r="M7" s="117">
        <v>4</v>
      </c>
      <c r="N7" s="117" t="s">
        <v>316</v>
      </c>
      <c r="O7" s="64"/>
      <c r="P7" s="77"/>
      <c r="Q7" s="77"/>
      <c r="R7" s="78" t="s">
        <v>263</v>
      </c>
      <c r="S7" s="82" t="s">
        <v>246</v>
      </c>
      <c r="T7" s="58"/>
      <c r="U7" s="79" t="s">
        <v>144</v>
      </c>
      <c r="V7" s="83" t="s">
        <v>238</v>
      </c>
    </row>
    <row r="8" spans="1:22" ht="15" customHeight="1">
      <c r="A8" s="130" t="s">
        <v>256</v>
      </c>
      <c r="B8" s="131" t="s">
        <v>257</v>
      </c>
      <c r="D8" s="124"/>
      <c r="E8" s="122"/>
      <c r="G8" s="115" t="s">
        <v>243</v>
      </c>
      <c r="H8" s="115" t="s">
        <v>220</v>
      </c>
      <c r="I8" s="117"/>
      <c r="J8" s="117" t="s">
        <v>226</v>
      </c>
      <c r="K8" s="241"/>
      <c r="M8" s="117">
        <v>5</v>
      </c>
      <c r="N8" s="117" t="s">
        <v>317</v>
      </c>
      <c r="O8" s="64"/>
      <c r="P8" s="77"/>
      <c r="Q8" s="77"/>
      <c r="R8" s="78" t="s">
        <v>234</v>
      </c>
      <c r="S8" s="84"/>
      <c r="T8" s="58"/>
      <c r="U8" s="79" t="s">
        <v>7</v>
      </c>
      <c r="V8" s="76">
        <v>43634</v>
      </c>
    </row>
    <row r="9" spans="1:22" ht="15" customHeight="1">
      <c r="A9" s="130" t="s">
        <v>258</v>
      </c>
      <c r="B9" s="131" t="s">
        <v>259</v>
      </c>
      <c r="D9" s="124"/>
      <c r="E9" s="122"/>
      <c r="G9" s="115" t="s">
        <v>141</v>
      </c>
      <c r="H9" s="115"/>
      <c r="I9" s="117"/>
      <c r="J9" s="117"/>
      <c r="K9" s="241"/>
      <c r="M9" s="117">
        <v>6</v>
      </c>
      <c r="N9" s="117" t="s">
        <v>402</v>
      </c>
      <c r="O9" s="64"/>
      <c r="P9" s="77"/>
      <c r="Q9" s="77"/>
      <c r="R9" s="78" t="s">
        <v>235</v>
      </c>
      <c r="S9" s="84"/>
      <c r="T9" s="58"/>
      <c r="U9" s="79" t="s">
        <v>6</v>
      </c>
      <c r="V9" s="76" t="s">
        <v>244</v>
      </c>
    </row>
    <row r="10" spans="1:22" ht="15" customHeight="1">
      <c r="A10" s="130"/>
      <c r="B10" s="131"/>
      <c r="D10" s="124"/>
      <c r="E10" s="122"/>
      <c r="G10" s="117" t="s">
        <v>348</v>
      </c>
      <c r="H10" s="115"/>
      <c r="I10" s="117"/>
      <c r="J10" s="117"/>
      <c r="K10" s="241"/>
      <c r="M10" s="117">
        <v>7</v>
      </c>
      <c r="N10" s="117" t="s">
        <v>372</v>
      </c>
      <c r="O10" s="64"/>
      <c r="P10" s="77"/>
      <c r="Q10" s="77"/>
      <c r="R10" s="78"/>
      <c r="S10" s="84"/>
      <c r="T10" s="58"/>
      <c r="U10" s="79"/>
      <c r="V10" s="76"/>
    </row>
    <row r="11" spans="1:22" ht="15" customHeight="1">
      <c r="A11" s="130" t="s">
        <v>479</v>
      </c>
      <c r="B11" s="134" t="s">
        <v>480</v>
      </c>
      <c r="D11" s="124"/>
      <c r="E11" s="122"/>
      <c r="G11" s="117"/>
      <c r="H11" s="118"/>
      <c r="I11" s="117"/>
      <c r="J11" s="117"/>
      <c r="K11" s="241"/>
      <c r="M11" s="117">
        <v>8</v>
      </c>
      <c r="N11" s="117" t="s">
        <v>318</v>
      </c>
      <c r="O11" s="64"/>
      <c r="P11" s="77"/>
      <c r="Q11" s="77"/>
      <c r="R11" s="78" t="s">
        <v>224</v>
      </c>
      <c r="S11" s="84"/>
      <c r="T11" s="58"/>
      <c r="U11" s="79"/>
      <c r="V11" s="76"/>
    </row>
    <row r="12" spans="1:22" ht="15" customHeight="1">
      <c r="A12" s="133" t="s">
        <v>275</v>
      </c>
      <c r="B12" s="134" t="s">
        <v>298</v>
      </c>
      <c r="D12" s="124"/>
      <c r="E12" s="122"/>
      <c r="G12" s="116"/>
      <c r="H12" s="119"/>
      <c r="I12" s="116"/>
      <c r="J12" s="116"/>
      <c r="K12" s="242"/>
      <c r="M12" s="117">
        <v>9</v>
      </c>
      <c r="N12" s="117" t="s">
        <v>319</v>
      </c>
      <c r="O12" s="64"/>
      <c r="P12" s="77"/>
      <c r="Q12" s="77"/>
      <c r="R12" s="78" t="s">
        <v>118</v>
      </c>
      <c r="S12" s="84"/>
      <c r="T12" s="58"/>
      <c r="U12" s="79"/>
      <c r="V12" s="85" t="e">
        <f>プロジェクト名 &amp; IF(システム名="",""," ["&amp;システム名&amp;"]") &amp; "DB設計書"</f>
        <v>#NAME?</v>
      </c>
    </row>
    <row r="13" spans="1:22" ht="15" customHeight="1">
      <c r="A13" s="133" t="s">
        <v>276</v>
      </c>
      <c r="B13" s="131" t="s">
        <v>299</v>
      </c>
      <c r="D13" s="124"/>
      <c r="E13" s="122"/>
      <c r="H13"/>
      <c r="M13" s="117">
        <v>10</v>
      </c>
      <c r="N13" s="117" t="s">
        <v>320</v>
      </c>
      <c r="P13" s="77"/>
      <c r="Q13" s="77"/>
      <c r="R13" s="78" t="s">
        <v>139</v>
      </c>
      <c r="S13" s="84"/>
      <c r="T13" s="58"/>
    </row>
    <row r="14" spans="1:22" ht="15" customHeight="1">
      <c r="A14" s="130" t="s">
        <v>278</v>
      </c>
      <c r="B14" s="131" t="s">
        <v>300</v>
      </c>
      <c r="D14" s="124"/>
      <c r="E14" s="122"/>
      <c r="H14"/>
      <c r="M14" s="117">
        <v>11</v>
      </c>
      <c r="N14" s="141" t="s">
        <v>394</v>
      </c>
      <c r="P14" s="77"/>
      <c r="Q14" s="77"/>
      <c r="R14" s="78" t="s">
        <v>228</v>
      </c>
      <c r="S14" s="84"/>
      <c r="T14" s="58"/>
      <c r="U14" s="61"/>
      <c r="V14" s="61"/>
    </row>
    <row r="15" spans="1:22" ht="15" customHeight="1">
      <c r="A15" s="130" t="s">
        <v>279</v>
      </c>
      <c r="B15" s="145">
        <v>44287</v>
      </c>
      <c r="D15" s="124"/>
      <c r="E15" s="122"/>
      <c r="H15"/>
      <c r="M15" s="117">
        <v>12</v>
      </c>
      <c r="N15" s="117" t="s">
        <v>321</v>
      </c>
      <c r="P15" s="77"/>
      <c r="Q15" s="77"/>
      <c r="R15" s="78" t="s">
        <v>229</v>
      </c>
      <c r="S15" s="63" t="s">
        <v>239</v>
      </c>
      <c r="T15" s="58"/>
      <c r="U15" s="61"/>
      <c r="V15" s="61"/>
    </row>
    <row r="16" spans="1:22" ht="15" customHeight="1">
      <c r="A16" s="130"/>
      <c r="B16" s="131"/>
      <c r="D16" s="124"/>
      <c r="E16" s="122"/>
      <c r="H16"/>
      <c r="M16" s="117">
        <v>13</v>
      </c>
      <c r="N16" s="117" t="s">
        <v>322</v>
      </c>
      <c r="P16" s="77"/>
      <c r="Q16" s="77"/>
      <c r="R16" s="78" t="s">
        <v>230</v>
      </c>
      <c r="S16" s="63" t="s">
        <v>240</v>
      </c>
      <c r="T16" s="58"/>
      <c r="U16" s="61"/>
      <c r="V16" s="61"/>
    </row>
    <row r="17" spans="1:22" ht="15" customHeight="1">
      <c r="A17" s="130" t="s">
        <v>355</v>
      </c>
      <c r="B17" s="115" t="s">
        <v>301</v>
      </c>
      <c r="D17" s="124"/>
      <c r="E17" s="122"/>
      <c r="M17" s="117">
        <v>14</v>
      </c>
      <c r="N17" s="117" t="s">
        <v>323</v>
      </c>
      <c r="P17" s="77"/>
      <c r="Q17" s="77"/>
      <c r="R17" s="78"/>
      <c r="S17" s="63"/>
      <c r="T17" s="58"/>
      <c r="U17" s="61"/>
      <c r="V17" s="61"/>
    </row>
    <row r="18" spans="1:22" ht="15" customHeight="1">
      <c r="A18" s="130" t="s">
        <v>261</v>
      </c>
      <c r="B18" s="200" t="s">
        <v>351</v>
      </c>
      <c r="D18" s="124"/>
      <c r="E18" s="122"/>
      <c r="M18" s="117">
        <v>16</v>
      </c>
      <c r="N18" s="117" t="s">
        <v>324</v>
      </c>
      <c r="P18" s="77"/>
      <c r="Q18" s="77"/>
      <c r="T18" s="58"/>
      <c r="U18" s="61"/>
      <c r="V18" s="61"/>
    </row>
    <row r="19" spans="1:22" ht="15" customHeight="1">
      <c r="A19" s="130" t="s">
        <v>262</v>
      </c>
      <c r="B19" s="131" t="s">
        <v>352</v>
      </c>
      <c r="D19" s="124"/>
      <c r="E19" s="122"/>
      <c r="H19" s="86"/>
      <c r="M19" s="117">
        <v>17</v>
      </c>
      <c r="N19" s="117" t="s">
        <v>325</v>
      </c>
      <c r="P19" s="77"/>
      <c r="Q19" s="77"/>
      <c r="R19" s="263" t="s">
        <v>112</v>
      </c>
      <c r="S19" s="264"/>
      <c r="T19" s="58"/>
      <c r="U19" s="61"/>
      <c r="V19" s="61"/>
    </row>
    <row r="20" spans="1:22" ht="15" customHeight="1">
      <c r="A20" s="130" t="s">
        <v>264</v>
      </c>
      <c r="B20" s="131" t="s">
        <v>458</v>
      </c>
      <c r="D20" s="124"/>
      <c r="E20" s="122"/>
      <c r="H20" s="86"/>
      <c r="M20" s="117">
        <v>18</v>
      </c>
      <c r="N20" s="117" t="s">
        <v>326</v>
      </c>
      <c r="P20" s="77"/>
      <c r="Q20" s="77"/>
      <c r="R20" s="62" t="s">
        <v>231</v>
      </c>
      <c r="S20" s="63">
        <v>10</v>
      </c>
      <c r="T20" s="58"/>
      <c r="U20" s="61"/>
      <c r="V20" s="61"/>
    </row>
    <row r="21" spans="1:22" ht="15" customHeight="1">
      <c r="A21" s="130" t="s">
        <v>350</v>
      </c>
      <c r="B21" s="131" t="s">
        <v>356</v>
      </c>
      <c r="D21" s="124"/>
      <c r="E21" s="122"/>
      <c r="H21" s="86"/>
      <c r="M21" s="117">
        <v>19</v>
      </c>
      <c r="N21" s="117" t="s">
        <v>327</v>
      </c>
      <c r="P21" s="77"/>
      <c r="Q21" s="77"/>
      <c r="R21" s="62" t="s">
        <v>72</v>
      </c>
      <c r="S21" s="63">
        <v>8192</v>
      </c>
      <c r="T21" s="58"/>
      <c r="U21" s="61"/>
      <c r="V21" s="61"/>
    </row>
    <row r="22" spans="1:22" ht="15" customHeight="1">
      <c r="A22" s="133" t="s">
        <v>347</v>
      </c>
      <c r="B22" s="131"/>
      <c r="D22" s="124"/>
      <c r="E22" s="122"/>
      <c r="H22" s="86"/>
      <c r="M22" s="117">
        <v>20</v>
      </c>
      <c r="N22" s="117" t="s">
        <v>328</v>
      </c>
      <c r="P22" s="77"/>
      <c r="Q22" s="77"/>
      <c r="R22" s="62"/>
      <c r="S22" s="63"/>
      <c r="T22" s="58"/>
      <c r="U22" s="61"/>
      <c r="V22" s="61"/>
    </row>
    <row r="23" spans="1:22" ht="15" customHeight="1">
      <c r="A23" s="133" t="s">
        <v>346</v>
      </c>
      <c r="B23" s="131"/>
      <c r="D23" s="124"/>
      <c r="E23" s="122"/>
      <c r="H23" s="86"/>
      <c r="M23" s="117">
        <v>21</v>
      </c>
      <c r="N23" s="117" t="s">
        <v>329</v>
      </c>
      <c r="P23" s="77"/>
      <c r="Q23" s="77"/>
      <c r="T23" s="58"/>
      <c r="U23" s="61"/>
      <c r="V23" s="61"/>
    </row>
    <row r="24" spans="1:22" ht="15" customHeight="1">
      <c r="A24" s="130" t="s">
        <v>273</v>
      </c>
      <c r="B24" s="131" t="s">
        <v>353</v>
      </c>
      <c r="D24" s="124"/>
      <c r="E24" s="122"/>
      <c r="H24" s="86"/>
      <c r="M24" s="117">
        <v>64</v>
      </c>
      <c r="N24" s="117" t="s">
        <v>330</v>
      </c>
      <c r="P24" s="77"/>
      <c r="Q24" s="77"/>
      <c r="R24" s="263"/>
      <c r="S24" s="264"/>
      <c r="T24" s="58"/>
      <c r="U24" s="61"/>
      <c r="V24" s="61"/>
    </row>
    <row r="25" spans="1:22" ht="15" customHeight="1">
      <c r="A25" s="130" t="s">
        <v>274</v>
      </c>
      <c r="B25" s="131" t="s">
        <v>354</v>
      </c>
      <c r="D25" s="121"/>
      <c r="E25" s="122"/>
      <c r="H25" s="86"/>
      <c r="M25" s="117">
        <v>72</v>
      </c>
      <c r="N25" s="117" t="s">
        <v>331</v>
      </c>
      <c r="P25" s="77"/>
      <c r="Q25" s="77"/>
      <c r="R25" s="62"/>
      <c r="S25" s="63"/>
      <c r="T25" s="58"/>
    </row>
    <row r="26" spans="1:22" ht="15" customHeight="1">
      <c r="A26" s="130"/>
      <c r="B26" s="131"/>
      <c r="D26" s="121"/>
      <c r="E26" s="122"/>
      <c r="H26" s="86"/>
      <c r="M26" s="117">
        <v>128</v>
      </c>
      <c r="N26" s="117" t="s">
        <v>332</v>
      </c>
      <c r="P26" s="77"/>
      <c r="Q26" s="77"/>
      <c r="R26" s="62" t="s">
        <v>72</v>
      </c>
      <c r="S26" s="63">
        <v>8192</v>
      </c>
      <c r="T26" s="58"/>
      <c r="U26" s="61"/>
      <c r="V26" s="61"/>
    </row>
    <row r="27" spans="1:22" ht="15" customHeight="1">
      <c r="A27" s="130" t="s">
        <v>475</v>
      </c>
      <c r="B27" s="131" t="s">
        <v>476</v>
      </c>
      <c r="D27" s="121"/>
      <c r="E27" s="122"/>
      <c r="H27" s="86"/>
      <c r="M27" s="117">
        <v>129</v>
      </c>
      <c r="N27" s="117" t="s">
        <v>333</v>
      </c>
      <c r="P27" s="77"/>
      <c r="Q27" s="77"/>
      <c r="R27" s="62" t="s">
        <v>232</v>
      </c>
      <c r="S27" s="63">
        <v>1</v>
      </c>
      <c r="T27" s="58"/>
      <c r="U27" s="61"/>
      <c r="V27" s="61"/>
    </row>
    <row r="28" spans="1:22" ht="15" customHeight="1">
      <c r="A28" s="130" t="s">
        <v>477</v>
      </c>
      <c r="B28" s="131" t="s">
        <v>478</v>
      </c>
      <c r="D28" s="121"/>
      <c r="E28" s="122"/>
      <c r="H28" s="64"/>
      <c r="M28" s="117">
        <v>130</v>
      </c>
      <c r="N28" s="117" t="s">
        <v>334</v>
      </c>
      <c r="P28" s="77"/>
      <c r="Q28" s="77"/>
      <c r="T28" s="58"/>
      <c r="U28" s="61"/>
      <c r="V28" s="61"/>
    </row>
    <row r="29" spans="1:22" ht="15" customHeight="1">
      <c r="A29" s="130"/>
      <c r="B29" s="131"/>
      <c r="D29" s="121"/>
      <c r="E29" s="122"/>
      <c r="H29" s="64"/>
      <c r="M29" s="117">
        <v>131</v>
      </c>
      <c r="N29" s="117" t="s">
        <v>335</v>
      </c>
      <c r="P29" s="77"/>
      <c r="Q29" s="77"/>
      <c r="T29" s="58"/>
    </row>
    <row r="30" spans="1:22" ht="15" customHeight="1">
      <c r="A30" s="130"/>
      <c r="B30" s="131"/>
      <c r="D30" s="121"/>
      <c r="E30" s="122"/>
      <c r="H30" s="64"/>
      <c r="M30" s="117">
        <v>132</v>
      </c>
      <c r="N30" s="117" t="s">
        <v>336</v>
      </c>
      <c r="P30" s="77"/>
      <c r="Q30" s="77"/>
      <c r="T30" s="58"/>
    </row>
    <row r="31" spans="1:22" ht="15" customHeight="1">
      <c r="A31" s="130" t="s">
        <v>426</v>
      </c>
      <c r="B31" s="131" t="s">
        <v>427</v>
      </c>
      <c r="D31" s="121"/>
      <c r="E31" s="122"/>
      <c r="H31" s="64"/>
      <c r="M31" s="117">
        <v>133</v>
      </c>
      <c r="N31" s="117" t="s">
        <v>337</v>
      </c>
      <c r="P31" s="77"/>
      <c r="Q31" s="77"/>
      <c r="T31" s="58"/>
    </row>
    <row r="32" spans="1:22" ht="15" customHeight="1">
      <c r="A32" s="130" t="s">
        <v>422</v>
      </c>
      <c r="B32" s="131" t="s">
        <v>424</v>
      </c>
      <c r="D32" s="121"/>
      <c r="E32" s="122"/>
      <c r="H32" s="64"/>
      <c r="M32" s="117">
        <v>134</v>
      </c>
      <c r="N32" s="117" t="s">
        <v>338</v>
      </c>
      <c r="P32" s="77"/>
      <c r="Q32" s="77"/>
      <c r="T32" s="58"/>
    </row>
    <row r="33" spans="1:20" ht="15" customHeight="1">
      <c r="A33" s="130" t="s">
        <v>423</v>
      </c>
      <c r="B33" s="131" t="s">
        <v>425</v>
      </c>
      <c r="D33" s="121"/>
      <c r="E33" s="122"/>
      <c r="H33" s="64"/>
      <c r="M33" s="117">
        <v>135</v>
      </c>
      <c r="N33" s="117" t="s">
        <v>339</v>
      </c>
      <c r="P33" s="77"/>
      <c r="Q33" s="77"/>
      <c r="T33" s="58"/>
    </row>
    <row r="34" spans="1:20" ht="15" customHeight="1">
      <c r="A34" s="130" t="s">
        <v>429</v>
      </c>
      <c r="B34" s="131" t="s">
        <v>428</v>
      </c>
      <c r="D34" s="121"/>
      <c r="E34" s="122"/>
      <c r="H34" s="64"/>
      <c r="M34" s="117">
        <v>136</v>
      </c>
      <c r="N34" s="117" t="s">
        <v>340</v>
      </c>
      <c r="P34" s="77"/>
      <c r="Q34" s="77"/>
      <c r="T34" s="58"/>
    </row>
    <row r="35" spans="1:20" ht="15" customHeight="1">
      <c r="A35" s="130" t="s">
        <v>466</v>
      </c>
      <c r="B35" s="131" t="s">
        <v>473</v>
      </c>
      <c r="D35" s="121"/>
      <c r="E35" s="122"/>
      <c r="H35" s="64"/>
      <c r="M35" s="117">
        <v>138</v>
      </c>
      <c r="N35" s="117" t="s">
        <v>341</v>
      </c>
      <c r="P35" s="77"/>
      <c r="Q35" s="77"/>
      <c r="T35" s="58"/>
    </row>
    <row r="36" spans="1:20" ht="15" customHeight="1">
      <c r="A36" s="130" t="s">
        <v>463</v>
      </c>
      <c r="B36" s="131" t="s">
        <v>474</v>
      </c>
      <c r="D36" s="121"/>
      <c r="E36" s="122"/>
      <c r="H36" s="64"/>
      <c r="M36" s="117">
        <v>139</v>
      </c>
      <c r="N36" s="117" t="s">
        <v>342</v>
      </c>
      <c r="P36" s="77"/>
      <c r="Q36" s="77"/>
      <c r="T36" s="58"/>
    </row>
    <row r="37" spans="1:20" ht="15" customHeight="1">
      <c r="A37" s="130" t="s">
        <v>467</v>
      </c>
      <c r="B37" s="131" t="s">
        <v>464</v>
      </c>
      <c r="D37" s="121"/>
      <c r="E37" s="122"/>
      <c r="H37" s="64"/>
      <c r="M37" s="117">
        <v>200</v>
      </c>
      <c r="N37" s="117" t="s">
        <v>343</v>
      </c>
      <c r="P37" s="77"/>
      <c r="Q37" s="77"/>
      <c r="T37" s="58"/>
    </row>
    <row r="38" spans="1:20" ht="15" customHeight="1">
      <c r="A38" s="130" t="s">
        <v>465</v>
      </c>
      <c r="B38" s="131" t="s">
        <v>468</v>
      </c>
      <c r="D38" s="121"/>
      <c r="E38" s="122"/>
      <c r="H38" s="64"/>
      <c r="M38" s="117">
        <v>201</v>
      </c>
      <c r="N38" s="117" t="s">
        <v>344</v>
      </c>
      <c r="P38" s="77"/>
      <c r="Q38" s="77"/>
      <c r="T38" s="58"/>
    </row>
    <row r="39" spans="1:20" ht="15" customHeight="1">
      <c r="A39" s="130"/>
      <c r="B39" s="131"/>
      <c r="D39" s="121"/>
      <c r="E39" s="122"/>
      <c r="H39" s="64"/>
      <c r="M39" s="117">
        <v>202</v>
      </c>
      <c r="N39" s="117" t="s">
        <v>398</v>
      </c>
      <c r="P39" s="77"/>
      <c r="Q39" s="77"/>
      <c r="T39" s="58"/>
    </row>
    <row r="40" spans="1:20" ht="15" customHeight="1">
      <c r="A40" s="130" t="s">
        <v>405</v>
      </c>
      <c r="B40" s="131" t="s">
        <v>406</v>
      </c>
      <c r="D40" s="121"/>
      <c r="E40" s="122"/>
      <c r="H40" s="64"/>
      <c r="M40" s="117">
        <v>203</v>
      </c>
      <c r="N40" s="117" t="s">
        <v>401</v>
      </c>
      <c r="P40" s="77"/>
      <c r="Q40" s="77"/>
      <c r="T40" s="58"/>
    </row>
    <row r="41" spans="1:20" ht="15" customHeight="1">
      <c r="A41" s="130" t="s">
        <v>404</v>
      </c>
      <c r="B41" s="131" t="s">
        <v>407</v>
      </c>
      <c r="D41" s="121"/>
      <c r="E41" s="122"/>
      <c r="H41" s="64"/>
      <c r="M41" s="117">
        <v>204</v>
      </c>
      <c r="N41" s="117" t="s">
        <v>345</v>
      </c>
      <c r="P41" s="77"/>
      <c r="Q41" s="77"/>
      <c r="T41" s="58"/>
    </row>
    <row r="42" spans="1:20" ht="15" customHeight="1">
      <c r="A42" s="130" t="s">
        <v>408</v>
      </c>
      <c r="B42" s="131" t="s">
        <v>409</v>
      </c>
      <c r="D42" s="121"/>
      <c r="E42" s="122"/>
      <c r="H42" s="64"/>
      <c r="M42" s="116">
        <v>205</v>
      </c>
      <c r="N42" s="116" t="s">
        <v>403</v>
      </c>
      <c r="P42" s="77"/>
      <c r="Q42" s="77"/>
      <c r="T42" s="58"/>
    </row>
    <row r="43" spans="1:20" ht="15" customHeight="1">
      <c r="A43" s="130" t="s">
        <v>410</v>
      </c>
      <c r="B43" s="131" t="s">
        <v>411</v>
      </c>
      <c r="D43" s="121"/>
      <c r="E43" s="122"/>
      <c r="H43" s="64"/>
      <c r="P43" s="77"/>
      <c r="Q43" s="77"/>
      <c r="T43" s="58"/>
    </row>
    <row r="44" spans="1:20" ht="15" customHeight="1">
      <c r="A44" s="130" t="s">
        <v>412</v>
      </c>
      <c r="B44" s="131" t="s">
        <v>462</v>
      </c>
      <c r="D44" s="121"/>
      <c r="E44" s="122"/>
      <c r="H44" s="64"/>
      <c r="P44" s="77"/>
      <c r="Q44" s="77"/>
      <c r="T44" s="58"/>
    </row>
    <row r="45" spans="1:20" ht="15" customHeight="1">
      <c r="A45" s="130" t="s">
        <v>413</v>
      </c>
      <c r="B45" s="131" t="s">
        <v>414</v>
      </c>
      <c r="D45" s="121"/>
      <c r="E45" s="122"/>
      <c r="H45" s="64"/>
      <c r="P45" s="77"/>
      <c r="Q45" s="77"/>
      <c r="T45" s="58"/>
    </row>
    <row r="46" spans="1:20" ht="15" customHeight="1">
      <c r="A46" s="130" t="s">
        <v>521</v>
      </c>
      <c r="B46" s="131" t="s">
        <v>415</v>
      </c>
      <c r="D46" s="121"/>
      <c r="E46" s="122"/>
      <c r="H46" s="64"/>
      <c r="P46" s="77"/>
      <c r="Q46" s="77"/>
      <c r="T46" s="58"/>
    </row>
    <row r="47" spans="1:20" ht="15" customHeight="1">
      <c r="A47" s="130" t="s">
        <v>522</v>
      </c>
      <c r="B47" s="131" t="s">
        <v>529</v>
      </c>
      <c r="D47" s="121"/>
      <c r="E47" s="122"/>
      <c r="H47" s="64"/>
      <c r="P47" s="77"/>
      <c r="Q47" s="77"/>
      <c r="T47" s="58"/>
    </row>
    <row r="48" spans="1:20" ht="15" customHeight="1">
      <c r="A48" s="130" t="s">
        <v>523</v>
      </c>
      <c r="B48" s="131" t="s">
        <v>530</v>
      </c>
      <c r="D48" s="121"/>
      <c r="E48" s="122"/>
      <c r="H48" s="64"/>
      <c r="P48" s="77"/>
      <c r="Q48" s="77"/>
      <c r="T48" s="58"/>
    </row>
    <row r="49" spans="1:22" ht="15" customHeight="1">
      <c r="A49" s="130" t="s">
        <v>524</v>
      </c>
      <c r="B49" s="131" t="s">
        <v>531</v>
      </c>
      <c r="D49" s="121"/>
      <c r="E49" s="122"/>
      <c r="H49" s="64"/>
      <c r="P49" s="77"/>
      <c r="Q49" s="77"/>
      <c r="T49" s="58"/>
    </row>
    <row r="50" spans="1:22" ht="15" customHeight="1">
      <c r="A50" s="130" t="s">
        <v>525</v>
      </c>
      <c r="B50" s="131" t="s">
        <v>532</v>
      </c>
      <c r="D50" s="121"/>
      <c r="E50" s="122"/>
      <c r="H50" s="64"/>
      <c r="P50" s="77"/>
      <c r="Q50" s="77"/>
      <c r="T50" s="58"/>
    </row>
    <row r="51" spans="1:22" ht="15" customHeight="1">
      <c r="A51" s="130" t="s">
        <v>526</v>
      </c>
      <c r="B51" s="131" t="s">
        <v>533</v>
      </c>
      <c r="D51" s="121"/>
      <c r="E51" s="122"/>
      <c r="H51" s="64"/>
      <c r="P51" s="77"/>
      <c r="Q51" s="77"/>
      <c r="T51" s="58"/>
    </row>
    <row r="52" spans="1:22" ht="15" customHeight="1">
      <c r="A52" s="130" t="s">
        <v>527</v>
      </c>
      <c r="B52" s="131" t="s">
        <v>534</v>
      </c>
      <c r="D52" s="121"/>
      <c r="E52" s="122"/>
      <c r="H52" s="64"/>
      <c r="P52" s="77"/>
      <c r="Q52" s="77"/>
      <c r="T52" s="58"/>
      <c r="U52" s="61"/>
      <c r="V52" s="61"/>
    </row>
    <row r="53" spans="1:22" ht="15" customHeight="1">
      <c r="A53" s="130" t="s">
        <v>528</v>
      </c>
      <c r="B53" s="131" t="s">
        <v>535</v>
      </c>
      <c r="D53" s="121"/>
      <c r="E53" s="122"/>
      <c r="H53" s="64"/>
      <c r="P53" s="77"/>
      <c r="Q53" s="77"/>
      <c r="T53" s="58"/>
      <c r="U53" s="61"/>
      <c r="V53" s="61"/>
    </row>
    <row r="54" spans="1:22" ht="15" customHeight="1">
      <c r="A54" s="130" t="s">
        <v>519</v>
      </c>
      <c r="B54" s="131" t="s">
        <v>520</v>
      </c>
      <c r="D54" s="121"/>
      <c r="E54" s="122"/>
      <c r="H54" s="64"/>
      <c r="P54" s="77"/>
      <c r="Q54" s="77"/>
      <c r="T54" s="58"/>
      <c r="U54" s="61"/>
      <c r="V54" s="61"/>
    </row>
    <row r="55" spans="1:22" ht="15" customHeight="1">
      <c r="A55" s="130" t="s">
        <v>416</v>
      </c>
      <c r="B55" s="131" t="s">
        <v>469</v>
      </c>
      <c r="D55" s="121"/>
      <c r="E55" s="122"/>
      <c r="H55" s="64"/>
      <c r="P55" s="77"/>
      <c r="Q55" s="77"/>
      <c r="T55" s="58"/>
    </row>
    <row r="56" spans="1:22" ht="15" customHeight="1">
      <c r="A56" s="130" t="s">
        <v>417</v>
      </c>
      <c r="B56" s="131" t="s">
        <v>419</v>
      </c>
      <c r="D56" s="121"/>
      <c r="E56" s="122"/>
      <c r="H56" s="64"/>
      <c r="P56" s="77"/>
      <c r="Q56" s="77"/>
      <c r="T56" s="58"/>
    </row>
    <row r="57" spans="1:22" ht="15" customHeight="1">
      <c r="A57" s="130" t="s">
        <v>418</v>
      </c>
      <c r="B57" s="131" t="s">
        <v>420</v>
      </c>
      <c r="D57" s="121"/>
      <c r="E57" s="122"/>
      <c r="H57" s="64"/>
      <c r="P57" s="77"/>
      <c r="Q57" s="77"/>
      <c r="T57" s="58"/>
    </row>
    <row r="58" spans="1:22" ht="15" customHeight="1">
      <c r="A58" s="130"/>
      <c r="B58" s="131"/>
      <c r="D58" s="121"/>
      <c r="E58" s="122"/>
      <c r="H58" s="64"/>
      <c r="P58" s="77"/>
      <c r="Q58" s="77"/>
      <c r="T58" s="58"/>
    </row>
    <row r="59" spans="1:22" ht="15" customHeight="1">
      <c r="A59" s="130" t="s">
        <v>461</v>
      </c>
      <c r="B59" s="131" t="s">
        <v>470</v>
      </c>
      <c r="D59" s="121"/>
      <c r="E59" s="122"/>
      <c r="H59" s="64"/>
      <c r="P59" s="77"/>
      <c r="Q59" s="77"/>
      <c r="T59" s="58"/>
    </row>
    <row r="60" spans="1:22" ht="15" customHeight="1">
      <c r="A60" s="130" t="s">
        <v>471</v>
      </c>
      <c r="B60" s="131" t="s">
        <v>472</v>
      </c>
      <c r="D60" s="121"/>
      <c r="E60" s="122"/>
      <c r="H60" s="64"/>
      <c r="P60" s="77"/>
      <c r="Q60" s="77"/>
      <c r="T60" s="58"/>
    </row>
    <row r="61" spans="1:22" ht="15" customHeight="1">
      <c r="A61" s="130"/>
      <c r="B61" s="131"/>
      <c r="D61" s="121"/>
      <c r="E61" s="122"/>
      <c r="H61" s="64"/>
      <c r="P61" s="77"/>
      <c r="Q61" s="77"/>
      <c r="T61" s="58"/>
    </row>
    <row r="62" spans="1:22" ht="15" customHeight="1">
      <c r="A62" s="130" t="s">
        <v>498</v>
      </c>
      <c r="B62" s="131" t="s">
        <v>502</v>
      </c>
      <c r="D62" s="125"/>
      <c r="E62" s="126"/>
      <c r="H62" s="64"/>
      <c r="P62" s="77"/>
      <c r="Q62" s="77"/>
      <c r="T62" s="58"/>
    </row>
    <row r="63" spans="1:22" ht="15" customHeight="1">
      <c r="A63" s="130" t="s">
        <v>499</v>
      </c>
      <c r="B63" s="131" t="s">
        <v>501</v>
      </c>
    </row>
    <row r="64" spans="1:22" ht="15" customHeight="1">
      <c r="A64" s="130" t="s">
        <v>500</v>
      </c>
      <c r="B64" s="131" t="s">
        <v>501</v>
      </c>
    </row>
    <row r="65" spans="1:2" ht="15" customHeight="1">
      <c r="A65" s="130"/>
      <c r="B65" s="131"/>
    </row>
    <row r="66" spans="1:2" ht="15" customHeight="1">
      <c r="A66" s="130"/>
      <c r="B66" s="131"/>
    </row>
    <row r="67" spans="1:2" ht="15" customHeight="1">
      <c r="A67" s="130"/>
      <c r="B67" s="131"/>
    </row>
    <row r="68" spans="1:2" ht="15" customHeight="1">
      <c r="A68" s="130"/>
      <c r="B68" s="131"/>
    </row>
    <row r="69" spans="1:2" ht="15" customHeight="1">
      <c r="A69" s="130"/>
      <c r="B69" s="131"/>
    </row>
    <row r="70" spans="1:2" ht="15" customHeight="1">
      <c r="A70" s="135"/>
      <c r="B70" s="136"/>
    </row>
  </sheetData>
  <sheetProtection selectLockedCells="1"/>
  <mergeCells count="2">
    <mergeCell ref="R19:S19"/>
    <mergeCell ref="R24:S24"/>
  </mergeCells>
  <phoneticPr fontId="4"/>
  <dataValidations disablePrompts="1" count="11">
    <dataValidation type="list" allowBlank="1" showErrorMessage="1" prompt="利用DB" sqref="B17">
      <formula1>DBList</formula1>
    </dataValidation>
    <dataValidation type="list" allowBlank="1" showErrorMessage="1" prompt="利用DB" sqref="B18">
      <formula1>ODBCDriverList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InputMessage="1" showErrorMessage="1" sqref="B6:B7 E30:E33 E5 E7">
      <formula1>"TRUE,FALSE"</formula1>
    </dataValidation>
    <dataValidation type="list" showInputMessage="1" showErrorMessage="1" sqref="S17">
      <formula1>"Laravel"</formula1>
    </dataValidation>
    <dataValidation type="list" showInputMessage="1" showErrorMessage="1" sqref="S16">
      <formula1>"CRLF,CR,LF"</formula1>
    </dataValidation>
    <dataValidation type="list" showInputMessage="1" showErrorMessage="1" sqref="S15">
      <formula1>"Shift-JIS,EUC-JP,UTF-8"</formula1>
    </dataValidation>
    <dataValidation showInputMessage="1" showErrorMessage="1" sqref="S14"/>
    <dataValidation imeMode="off" allowBlank="1" showInputMessage="1" showErrorMessage="1" sqref="S8"/>
    <dataValidation imeMode="disabled" allowBlank="1" showInputMessage="1" showErrorMessage="1" sqref="S6:S7 S9:S13"/>
    <dataValidation type="list" allowBlank="1" showErrorMessage="1" prompt="利用DB" sqref="S5">
      <formula1>ODBCDriver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a">
    <pageSetUpPr fitToPage="1"/>
  </sheetPr>
  <dimension ref="A1:X183"/>
  <sheetViews>
    <sheetView showGridLines="0" zoomScaleNormal="100" workbookViewId="0">
      <pane xSplit="3" ySplit="4" topLeftCell="D5" activePane="bottomRight" state="frozen"/>
      <selection activeCell="A37" sqref="A37"/>
      <selection pane="topRight" activeCell="A37" sqref="A37"/>
      <selection pane="bottomLeft" activeCell="A37" sqref="A37"/>
      <selection pane="bottomRight" activeCell="E6" sqref="E6"/>
    </sheetView>
  </sheetViews>
  <sheetFormatPr defaultRowHeight="15" customHeight="1"/>
  <cols>
    <col min="1" max="1" width="25.7109375" style="69" customWidth="1"/>
    <col min="2" max="2" width="25.7109375" style="70" customWidth="1"/>
    <col min="3" max="3" width="5.7109375" style="69" customWidth="1"/>
    <col min="4" max="4" width="25.7109375" style="69" customWidth="1"/>
    <col min="5" max="5" width="25.7109375" style="70" customWidth="1"/>
    <col min="6" max="6" width="5.7109375" style="69" customWidth="1"/>
    <col min="7" max="7" width="27.85546875" style="58" customWidth="1"/>
    <col min="8" max="8" width="13.42578125" style="58" customWidth="1"/>
    <col min="9" max="9" width="34.7109375" style="58" customWidth="1"/>
    <col min="10" max="10" width="26.85546875" style="58" customWidth="1"/>
    <col min="11" max="11" width="7.42578125" customWidth="1"/>
    <col min="12" max="12" width="9.5703125" style="58" customWidth="1"/>
    <col min="13" max="14" width="26.85546875" style="58" customWidth="1"/>
    <col min="15" max="16" width="15.7109375" customWidth="1"/>
    <col min="17" max="17" width="16.42578125" style="58" customWidth="1"/>
    <col min="18" max="18" width="34.7109375" style="58" customWidth="1"/>
    <col min="19" max="19" width="5.7109375" style="56" customWidth="1"/>
    <col min="20" max="20" width="22.85546875" style="58" customWidth="1"/>
    <col min="21" max="21" width="40.28515625" style="58" customWidth="1"/>
    <col min="22" max="22" width="5.7109375" style="56" customWidth="1"/>
    <col min="23" max="16384" width="9.140625" style="58"/>
  </cols>
  <sheetData>
    <row r="1" spans="1:24" ht="15" customHeight="1">
      <c r="A1" s="138">
        <v>1</v>
      </c>
      <c r="B1" s="139">
        <v>2</v>
      </c>
      <c r="C1" s="138">
        <v>3</v>
      </c>
      <c r="D1" s="138">
        <v>4</v>
      </c>
      <c r="E1" s="139">
        <v>5</v>
      </c>
      <c r="F1" s="138">
        <v>6</v>
      </c>
      <c r="G1" s="55">
        <v>7</v>
      </c>
      <c r="H1" s="55">
        <v>8</v>
      </c>
      <c r="I1" s="55">
        <v>9</v>
      </c>
      <c r="J1" s="55">
        <v>10</v>
      </c>
      <c r="K1">
        <v>11</v>
      </c>
      <c r="L1" s="55">
        <v>12</v>
      </c>
      <c r="M1" s="55">
        <v>13</v>
      </c>
      <c r="N1" s="55">
        <v>14</v>
      </c>
      <c r="O1">
        <v>15</v>
      </c>
      <c r="P1">
        <v>16</v>
      </c>
      <c r="Q1" s="58">
        <v>17</v>
      </c>
      <c r="R1" s="58">
        <v>18</v>
      </c>
    </row>
    <row r="3" spans="1:24" ht="15" customHeight="1">
      <c r="A3" s="127" t="s">
        <v>248</v>
      </c>
      <c r="B3" s="128"/>
      <c r="D3" s="67" t="s">
        <v>249</v>
      </c>
      <c r="E3" s="68"/>
      <c r="G3" s="127" t="s">
        <v>260</v>
      </c>
      <c r="L3" s="146" t="s">
        <v>349</v>
      </c>
      <c r="Q3" s="54" t="s">
        <v>143</v>
      </c>
      <c r="R3" s="55"/>
      <c r="T3" s="54" t="s">
        <v>109</v>
      </c>
      <c r="U3" s="57"/>
    </row>
    <row r="4" spans="1:24" ht="15" customHeight="1">
      <c r="A4" s="129" t="s">
        <v>110</v>
      </c>
      <c r="B4" s="129" t="s">
        <v>111</v>
      </c>
      <c r="D4" s="120" t="s">
        <v>110</v>
      </c>
      <c r="E4" s="120" t="s">
        <v>111</v>
      </c>
      <c r="G4" s="129" t="s">
        <v>307</v>
      </c>
      <c r="H4" s="129" t="s">
        <v>304</v>
      </c>
      <c r="I4" s="129" t="s">
        <v>305</v>
      </c>
      <c r="J4" s="129" t="s">
        <v>306</v>
      </c>
      <c r="L4" s="129" t="s">
        <v>313</v>
      </c>
      <c r="M4" s="129" t="s">
        <v>314</v>
      </c>
      <c r="N4"/>
      <c r="Q4" s="59" t="s">
        <v>110</v>
      </c>
      <c r="R4" s="59" t="s">
        <v>111</v>
      </c>
      <c r="T4" s="59" t="s">
        <v>110</v>
      </c>
      <c r="U4" s="59" t="s">
        <v>111</v>
      </c>
    </row>
    <row r="5" spans="1:24" ht="15" customHeight="1">
      <c r="A5" s="130" t="s">
        <v>250</v>
      </c>
      <c r="B5" s="131" t="s">
        <v>251</v>
      </c>
      <c r="D5" s="137" t="s">
        <v>252</v>
      </c>
      <c r="E5" s="137" t="s">
        <v>253</v>
      </c>
      <c r="G5" s="115" t="s">
        <v>140</v>
      </c>
      <c r="H5" s="115" t="s">
        <v>303</v>
      </c>
      <c r="I5" s="117" t="s">
        <v>242</v>
      </c>
      <c r="J5" s="117" t="s">
        <v>225</v>
      </c>
      <c r="L5" s="117">
        <v>2</v>
      </c>
      <c r="M5" s="117" t="s">
        <v>315</v>
      </c>
      <c r="N5"/>
      <c r="O5" s="77"/>
      <c r="P5" s="77"/>
      <c r="Q5" s="78" t="s">
        <v>219</v>
      </c>
      <c r="R5" s="63" t="s">
        <v>220</v>
      </c>
      <c r="S5" s="58"/>
      <c r="T5" s="79" t="s">
        <v>69</v>
      </c>
      <c r="U5" s="80" t="s">
        <v>237</v>
      </c>
      <c r="V5" s="58"/>
    </row>
    <row r="6" spans="1:24" ht="15" customHeight="1">
      <c r="A6" s="130" t="s">
        <v>254</v>
      </c>
      <c r="B6" s="132" t="b">
        <v>1</v>
      </c>
      <c r="D6" s="121" t="s">
        <v>250</v>
      </c>
      <c r="E6" s="122" t="s">
        <v>251</v>
      </c>
      <c r="G6" s="115" t="s">
        <v>203</v>
      </c>
      <c r="H6" s="115" t="s">
        <v>301</v>
      </c>
      <c r="I6" s="117" t="s">
        <v>241</v>
      </c>
      <c r="J6" s="117" t="s">
        <v>367</v>
      </c>
      <c r="L6" s="117">
        <v>3</v>
      </c>
      <c r="M6" s="117" t="s">
        <v>371</v>
      </c>
      <c r="N6" s="64"/>
      <c r="O6" s="77"/>
      <c r="P6" s="77"/>
      <c r="Q6" s="78" t="s">
        <v>223</v>
      </c>
      <c r="R6" s="63" t="s">
        <v>245</v>
      </c>
      <c r="S6" s="58"/>
      <c r="T6" s="79" t="s">
        <v>4</v>
      </c>
      <c r="U6" s="81">
        <v>43634</v>
      </c>
      <c r="V6" s="58"/>
    </row>
    <row r="7" spans="1:24" ht="15" customHeight="1">
      <c r="A7" s="130" t="s">
        <v>255</v>
      </c>
      <c r="B7" s="132" t="b">
        <v>1</v>
      </c>
      <c r="D7" s="121" t="s">
        <v>254</v>
      </c>
      <c r="E7" s="123" t="b">
        <v>1</v>
      </c>
      <c r="G7" s="115" t="s">
        <v>205</v>
      </c>
      <c r="H7" s="115" t="s">
        <v>302</v>
      </c>
      <c r="I7" s="117" t="s">
        <v>221</v>
      </c>
      <c r="J7" s="117" t="s">
        <v>227</v>
      </c>
      <c r="L7" s="117">
        <v>4</v>
      </c>
      <c r="M7" s="117" t="s">
        <v>316</v>
      </c>
      <c r="N7" s="64"/>
      <c r="O7" s="77"/>
      <c r="P7" s="77"/>
      <c r="Q7" s="78" t="s">
        <v>263</v>
      </c>
      <c r="R7" s="82" t="s">
        <v>246</v>
      </c>
      <c r="S7" s="58"/>
      <c r="T7" s="79" t="s">
        <v>144</v>
      </c>
      <c r="U7" s="83" t="s">
        <v>238</v>
      </c>
      <c r="V7" s="58"/>
      <c r="X7" s="58" t="s">
        <v>281</v>
      </c>
    </row>
    <row r="8" spans="1:24" ht="15" customHeight="1">
      <c r="A8" s="130" t="s">
        <v>256</v>
      </c>
      <c r="B8" s="131" t="s">
        <v>257</v>
      </c>
      <c r="D8" s="121" t="s">
        <v>255</v>
      </c>
      <c r="E8" s="123" t="b">
        <v>1</v>
      </c>
      <c r="G8" s="115" t="s">
        <v>243</v>
      </c>
      <c r="H8" s="115" t="s">
        <v>220</v>
      </c>
      <c r="I8" s="117"/>
      <c r="J8" s="117" t="s">
        <v>226</v>
      </c>
      <c r="L8" s="117">
        <v>5</v>
      </c>
      <c r="M8" s="117" t="s">
        <v>317</v>
      </c>
      <c r="N8" s="64"/>
      <c r="O8" s="77"/>
      <c r="P8" s="77"/>
      <c r="Q8" s="78" t="s">
        <v>234</v>
      </c>
      <c r="R8" s="84"/>
      <c r="S8" s="58"/>
      <c r="T8" s="79" t="s">
        <v>7</v>
      </c>
      <c r="U8" s="76">
        <v>43634</v>
      </c>
      <c r="V8" s="58"/>
    </row>
    <row r="9" spans="1:24" ht="15" customHeight="1">
      <c r="A9" s="130" t="s">
        <v>258</v>
      </c>
      <c r="B9" s="131" t="s">
        <v>259</v>
      </c>
      <c r="D9" s="121" t="s">
        <v>256</v>
      </c>
      <c r="E9" s="122" t="s">
        <v>257</v>
      </c>
      <c r="G9" s="115" t="s">
        <v>141</v>
      </c>
      <c r="H9" s="115"/>
      <c r="I9" s="117"/>
      <c r="J9" s="117"/>
      <c r="L9" s="117">
        <v>6</v>
      </c>
      <c r="M9" s="117" t="s">
        <v>402</v>
      </c>
      <c r="N9" s="64"/>
      <c r="O9" s="77"/>
      <c r="P9" s="77"/>
      <c r="Q9" s="78" t="s">
        <v>235</v>
      </c>
      <c r="R9" s="84"/>
      <c r="S9" s="58"/>
      <c r="T9" s="79" t="s">
        <v>6</v>
      </c>
      <c r="U9" s="76" t="s">
        <v>244</v>
      </c>
      <c r="V9" s="58"/>
    </row>
    <row r="10" spans="1:24" ht="15" customHeight="1">
      <c r="A10" s="130"/>
      <c r="B10" s="131"/>
      <c r="D10" s="121"/>
      <c r="E10" s="122"/>
      <c r="G10" s="117" t="s">
        <v>348</v>
      </c>
      <c r="H10" s="115"/>
      <c r="I10" s="117"/>
      <c r="J10" s="117"/>
      <c r="L10" s="117">
        <v>7</v>
      </c>
      <c r="M10" s="117" t="s">
        <v>372</v>
      </c>
      <c r="N10" s="64"/>
      <c r="O10" s="77"/>
      <c r="P10" s="77"/>
      <c r="Q10" s="78"/>
      <c r="R10" s="84"/>
      <c r="S10" s="58"/>
      <c r="T10" s="79"/>
      <c r="U10" s="76"/>
      <c r="V10" s="58"/>
    </row>
    <row r="11" spans="1:24" ht="15" customHeight="1">
      <c r="A11" s="130" t="s">
        <v>355</v>
      </c>
      <c r="B11" s="115" t="s">
        <v>303</v>
      </c>
      <c r="D11" s="121"/>
      <c r="E11" s="122"/>
      <c r="G11" s="117"/>
      <c r="H11" s="118"/>
      <c r="I11" s="117"/>
      <c r="J11" s="117"/>
      <c r="L11" s="117">
        <v>8</v>
      </c>
      <c r="M11" s="117" t="s">
        <v>318</v>
      </c>
      <c r="N11" s="64"/>
      <c r="O11" s="77"/>
      <c r="P11" s="77"/>
      <c r="Q11" s="78" t="s">
        <v>224</v>
      </c>
      <c r="R11" s="84"/>
      <c r="S11" s="58"/>
      <c r="T11" s="79"/>
      <c r="U11" s="76"/>
      <c r="V11" s="58"/>
    </row>
    <row r="12" spans="1:24" ht="15" customHeight="1">
      <c r="A12" s="130" t="s">
        <v>261</v>
      </c>
      <c r="B12" s="115" t="s">
        <v>303</v>
      </c>
      <c r="D12" s="121"/>
      <c r="E12" s="122"/>
      <c r="G12" s="116"/>
      <c r="H12" s="119"/>
      <c r="I12" s="116"/>
      <c r="J12" s="116"/>
      <c r="L12" s="117">
        <v>9</v>
      </c>
      <c r="M12" s="117" t="s">
        <v>319</v>
      </c>
      <c r="N12" s="64"/>
      <c r="O12" s="77"/>
      <c r="P12" s="77"/>
      <c r="Q12" s="78" t="s">
        <v>118</v>
      </c>
      <c r="R12" s="84"/>
      <c r="S12" s="58"/>
      <c r="T12" s="79"/>
      <c r="U12" s="85" t="e">
        <f>プロジェクト名 &amp; IF(システム名="",""," ["&amp;システム名&amp;"]") &amp; "DB設計書"</f>
        <v>#NAME?</v>
      </c>
      <c r="V12" s="58"/>
    </row>
    <row r="13" spans="1:24" ht="15" customHeight="1">
      <c r="A13" s="130" t="s">
        <v>262</v>
      </c>
      <c r="B13" s="131" t="s">
        <v>369</v>
      </c>
      <c r="D13" s="121"/>
      <c r="E13" s="122"/>
      <c r="H13"/>
      <c r="L13" s="117">
        <v>10</v>
      </c>
      <c r="M13" s="117" t="s">
        <v>320</v>
      </c>
      <c r="O13" s="77"/>
      <c r="P13" s="77"/>
      <c r="Q13" s="78" t="s">
        <v>139</v>
      </c>
      <c r="R13" s="84"/>
      <c r="S13" s="58"/>
      <c r="V13" s="58"/>
    </row>
    <row r="14" spans="1:24" ht="15" customHeight="1">
      <c r="A14" s="130" t="s">
        <v>264</v>
      </c>
      <c r="B14" s="131" t="s">
        <v>370</v>
      </c>
      <c r="D14" s="121"/>
      <c r="E14" s="122"/>
      <c r="H14"/>
      <c r="L14" s="117">
        <v>11</v>
      </c>
      <c r="M14" s="141" t="s">
        <v>394</v>
      </c>
      <c r="O14" s="77"/>
      <c r="P14" s="77"/>
      <c r="Q14" s="78" t="s">
        <v>228</v>
      </c>
      <c r="R14" s="84"/>
      <c r="S14" s="58"/>
      <c r="T14" s="61"/>
      <c r="U14" s="61"/>
      <c r="V14" s="58"/>
    </row>
    <row r="15" spans="1:24" ht="15" customHeight="1">
      <c r="A15" s="130" t="s">
        <v>350</v>
      </c>
      <c r="B15" s="131"/>
      <c r="D15" s="121"/>
      <c r="E15" s="122"/>
      <c r="H15"/>
      <c r="L15" s="117">
        <v>12</v>
      </c>
      <c r="M15" s="117" t="s">
        <v>321</v>
      </c>
      <c r="O15" s="77"/>
      <c r="P15" s="77"/>
      <c r="Q15" s="78" t="s">
        <v>229</v>
      </c>
      <c r="R15" s="63" t="s">
        <v>239</v>
      </c>
      <c r="S15" s="58"/>
      <c r="T15" s="61"/>
      <c r="U15" s="61"/>
      <c r="V15" s="58"/>
    </row>
    <row r="16" spans="1:24" ht="15" customHeight="1">
      <c r="A16" s="133" t="s">
        <v>347</v>
      </c>
      <c r="B16" s="131"/>
      <c r="D16" s="121"/>
      <c r="E16" s="122"/>
      <c r="H16"/>
      <c r="L16" s="117">
        <v>13</v>
      </c>
      <c r="M16" s="117" t="s">
        <v>322</v>
      </c>
      <c r="O16" s="77"/>
      <c r="P16" s="77"/>
      <c r="Q16" s="78" t="s">
        <v>230</v>
      </c>
      <c r="R16" s="63" t="s">
        <v>240</v>
      </c>
      <c r="S16" s="58"/>
      <c r="T16" s="61"/>
      <c r="U16" s="61"/>
      <c r="V16" s="58"/>
    </row>
    <row r="17" spans="1:22" ht="15" customHeight="1">
      <c r="A17" s="133" t="s">
        <v>346</v>
      </c>
      <c r="B17" s="131"/>
      <c r="D17" s="137"/>
      <c r="E17" s="137"/>
      <c r="L17" s="117">
        <v>14</v>
      </c>
      <c r="M17" s="117" t="s">
        <v>323</v>
      </c>
      <c r="O17" s="77"/>
      <c r="P17" s="77"/>
      <c r="Q17" s="78"/>
      <c r="R17" s="63"/>
      <c r="S17" s="58"/>
      <c r="T17" s="61"/>
      <c r="U17" s="61"/>
      <c r="V17" s="58"/>
    </row>
    <row r="18" spans="1:22" ht="15" customHeight="1">
      <c r="A18" s="130" t="s">
        <v>273</v>
      </c>
      <c r="B18" s="131"/>
      <c r="D18" s="124"/>
      <c r="E18" s="122"/>
      <c r="L18" s="117">
        <v>16</v>
      </c>
      <c r="M18" s="117" t="s">
        <v>324</v>
      </c>
      <c r="O18" s="77"/>
      <c r="P18" s="77"/>
      <c r="S18" s="58"/>
      <c r="T18" s="61"/>
      <c r="U18" s="61"/>
      <c r="V18" s="58"/>
    </row>
    <row r="19" spans="1:22" ht="15" customHeight="1">
      <c r="A19" s="130" t="s">
        <v>274</v>
      </c>
      <c r="B19" s="131"/>
      <c r="D19" s="124"/>
      <c r="E19" s="122"/>
      <c r="H19" s="86"/>
      <c r="L19" s="117">
        <v>17</v>
      </c>
      <c r="M19" s="117" t="s">
        <v>325</v>
      </c>
      <c r="O19" s="77"/>
      <c r="P19" s="77"/>
      <c r="Q19" s="263" t="s">
        <v>112</v>
      </c>
      <c r="R19" s="264"/>
      <c r="S19" s="58"/>
      <c r="T19" s="61"/>
      <c r="U19" s="61"/>
      <c r="V19" s="58"/>
    </row>
    <row r="20" spans="1:22" ht="15" customHeight="1">
      <c r="A20" s="130"/>
      <c r="B20" s="131"/>
      <c r="D20" s="124"/>
      <c r="E20" s="122"/>
      <c r="H20" s="86"/>
      <c r="L20" s="117">
        <v>18</v>
      </c>
      <c r="M20" s="117" t="s">
        <v>326</v>
      </c>
      <c r="O20" s="77"/>
      <c r="P20" s="77"/>
      <c r="Q20" s="62" t="s">
        <v>231</v>
      </c>
      <c r="R20" s="63">
        <v>10</v>
      </c>
      <c r="S20" s="58"/>
      <c r="T20" s="61"/>
      <c r="U20" s="61"/>
      <c r="V20" s="58"/>
    </row>
    <row r="21" spans="1:22" ht="15" customHeight="1">
      <c r="A21" s="133" t="s">
        <v>275</v>
      </c>
      <c r="B21" s="134" t="s">
        <v>298</v>
      </c>
      <c r="D21" s="124"/>
      <c r="E21" s="122"/>
      <c r="H21" s="86"/>
      <c r="L21" s="117">
        <v>19</v>
      </c>
      <c r="M21" s="117" t="s">
        <v>327</v>
      </c>
      <c r="O21" s="77"/>
      <c r="P21" s="77"/>
      <c r="Q21" s="62" t="s">
        <v>72</v>
      </c>
      <c r="R21" s="63">
        <v>8192</v>
      </c>
      <c r="S21" s="58"/>
      <c r="T21" s="61"/>
      <c r="U21" s="61"/>
      <c r="V21" s="58"/>
    </row>
    <row r="22" spans="1:22" ht="15" customHeight="1">
      <c r="A22" s="133" t="s">
        <v>276</v>
      </c>
      <c r="B22" s="131" t="s">
        <v>299</v>
      </c>
      <c r="D22" s="121"/>
      <c r="E22" s="122"/>
      <c r="H22" s="86"/>
      <c r="L22" s="117">
        <v>20</v>
      </c>
      <c r="M22" s="117" t="s">
        <v>328</v>
      </c>
      <c r="O22" s="77"/>
      <c r="P22" s="77"/>
      <c r="Q22" s="62"/>
      <c r="R22" s="63"/>
      <c r="S22" s="58"/>
      <c r="T22" s="61"/>
      <c r="U22" s="61"/>
      <c r="V22" s="58"/>
    </row>
    <row r="23" spans="1:22" ht="15" customHeight="1">
      <c r="A23" s="130" t="s">
        <v>278</v>
      </c>
      <c r="B23" s="131" t="s">
        <v>300</v>
      </c>
      <c r="D23" s="124"/>
      <c r="E23" s="122"/>
      <c r="H23" s="86"/>
      <c r="L23" s="117">
        <v>21</v>
      </c>
      <c r="M23" s="117" t="s">
        <v>329</v>
      </c>
      <c r="O23" s="77"/>
      <c r="P23" s="77"/>
      <c r="S23" s="58"/>
      <c r="T23" s="61"/>
      <c r="U23" s="61"/>
      <c r="V23" s="58"/>
    </row>
    <row r="24" spans="1:22" ht="15" customHeight="1">
      <c r="A24" s="130" t="s">
        <v>279</v>
      </c>
      <c r="B24" s="145">
        <v>44287</v>
      </c>
      <c r="D24" s="124"/>
      <c r="E24" s="122"/>
      <c r="H24" s="86"/>
      <c r="L24" s="117">
        <v>64</v>
      </c>
      <c r="M24" s="117" t="s">
        <v>330</v>
      </c>
      <c r="O24" s="77"/>
      <c r="P24" s="77"/>
      <c r="Q24" s="263"/>
      <c r="R24" s="264"/>
      <c r="S24" s="58"/>
      <c r="T24" s="61"/>
      <c r="U24" s="61"/>
      <c r="V24" s="58"/>
    </row>
    <row r="25" spans="1:22" ht="15" customHeight="1">
      <c r="A25" s="130"/>
      <c r="B25" s="131"/>
      <c r="D25" s="121"/>
      <c r="E25" s="122"/>
      <c r="H25" s="86"/>
      <c r="L25" s="117">
        <v>72</v>
      </c>
      <c r="M25" s="117" t="s">
        <v>331</v>
      </c>
      <c r="O25" s="77"/>
      <c r="P25" s="77"/>
      <c r="Q25" s="62"/>
      <c r="R25" s="63"/>
      <c r="S25" s="58"/>
      <c r="V25" s="58"/>
    </row>
    <row r="26" spans="1:22" ht="15" customHeight="1">
      <c r="A26" s="130"/>
      <c r="B26" s="131"/>
      <c r="D26" s="121"/>
      <c r="E26" s="122"/>
      <c r="H26" s="86"/>
      <c r="L26" s="117">
        <v>128</v>
      </c>
      <c r="M26" s="117" t="s">
        <v>332</v>
      </c>
      <c r="O26" s="77"/>
      <c r="P26" s="77"/>
      <c r="Q26" s="62" t="s">
        <v>72</v>
      </c>
      <c r="R26" s="63">
        <v>8192</v>
      </c>
      <c r="S26" s="58"/>
      <c r="T26" s="61"/>
      <c r="U26" s="61"/>
      <c r="V26" s="58"/>
    </row>
    <row r="27" spans="1:22" ht="15" customHeight="1">
      <c r="A27" s="130" t="s">
        <v>287</v>
      </c>
      <c r="B27" s="131">
        <v>289</v>
      </c>
      <c r="D27" s="121"/>
      <c r="E27" s="122"/>
      <c r="H27" s="86"/>
      <c r="L27" s="117">
        <v>129</v>
      </c>
      <c r="M27" s="117" t="s">
        <v>333</v>
      </c>
      <c r="O27" s="77"/>
      <c r="P27" s="77"/>
      <c r="Q27" s="62" t="s">
        <v>232</v>
      </c>
      <c r="R27" s="63">
        <v>1</v>
      </c>
      <c r="S27" s="58"/>
      <c r="T27" s="61"/>
      <c r="U27" s="61"/>
      <c r="V27" s="58"/>
    </row>
    <row r="28" spans="1:22" ht="15" customHeight="1">
      <c r="A28" s="130" t="s">
        <v>288</v>
      </c>
      <c r="B28" s="131">
        <v>1852</v>
      </c>
      <c r="D28" s="121"/>
      <c r="E28" s="122"/>
      <c r="H28" s="64"/>
      <c r="L28" s="117">
        <v>130</v>
      </c>
      <c r="M28" s="117" t="s">
        <v>334</v>
      </c>
      <c r="O28" s="77"/>
      <c r="P28" s="77"/>
      <c r="S28" s="58"/>
      <c r="T28" s="61"/>
      <c r="U28" s="61"/>
      <c r="V28" s="58"/>
    </row>
    <row r="29" spans="1:22" ht="15" customHeight="1">
      <c r="A29" s="130"/>
      <c r="B29" s="131"/>
      <c r="D29" s="121"/>
      <c r="E29" s="122"/>
      <c r="H29" s="64"/>
      <c r="L29" s="117">
        <v>131</v>
      </c>
      <c r="M29" s="117" t="s">
        <v>335</v>
      </c>
      <c r="O29" s="77"/>
      <c r="P29" s="77"/>
      <c r="S29" s="58"/>
      <c r="V29" s="58"/>
    </row>
    <row r="30" spans="1:22" ht="15" customHeight="1">
      <c r="A30" s="130" t="s">
        <v>426</v>
      </c>
      <c r="B30" s="131" t="s">
        <v>427</v>
      </c>
      <c r="D30" s="121"/>
      <c r="E30" s="122"/>
      <c r="H30" s="64"/>
      <c r="L30" s="117">
        <v>132</v>
      </c>
      <c r="M30" s="117" t="s">
        <v>336</v>
      </c>
      <c r="O30" s="77"/>
      <c r="P30" s="77"/>
      <c r="S30" s="58"/>
      <c r="V30" s="58"/>
    </row>
    <row r="31" spans="1:22" ht="15" customHeight="1">
      <c r="A31" s="130" t="s">
        <v>422</v>
      </c>
      <c r="B31" s="131" t="s">
        <v>424</v>
      </c>
      <c r="D31" s="121"/>
      <c r="E31" s="122"/>
      <c r="H31" s="64"/>
      <c r="L31" s="117">
        <v>133</v>
      </c>
      <c r="M31" s="117" t="s">
        <v>337</v>
      </c>
      <c r="O31" s="77"/>
      <c r="P31" s="77"/>
      <c r="S31" s="58"/>
      <c r="V31" s="58"/>
    </row>
    <row r="32" spans="1:22" ht="15" customHeight="1">
      <c r="A32" s="130" t="s">
        <v>423</v>
      </c>
      <c r="B32" s="131" t="s">
        <v>425</v>
      </c>
      <c r="D32" s="121"/>
      <c r="E32" s="122"/>
      <c r="H32" s="64"/>
      <c r="L32" s="117">
        <v>134</v>
      </c>
      <c r="M32" s="117" t="s">
        <v>338</v>
      </c>
      <c r="O32" s="77"/>
      <c r="P32" s="77"/>
      <c r="S32" s="58"/>
      <c r="V32" s="58"/>
    </row>
    <row r="33" spans="1:22" ht="15" customHeight="1">
      <c r="A33" s="130"/>
      <c r="B33" s="131"/>
      <c r="D33" s="121"/>
      <c r="E33" s="122"/>
      <c r="H33" s="64"/>
      <c r="L33" s="117">
        <v>135</v>
      </c>
      <c r="M33" s="117" t="s">
        <v>339</v>
      </c>
      <c r="O33" s="77"/>
      <c r="P33" s="77"/>
      <c r="S33" s="58"/>
      <c r="V33" s="58"/>
    </row>
    <row r="34" spans="1:22" ht="15" customHeight="1">
      <c r="A34" s="130" t="s">
        <v>405</v>
      </c>
      <c r="B34" s="131" t="s">
        <v>406</v>
      </c>
      <c r="D34" s="121"/>
      <c r="E34" s="122"/>
      <c r="H34" s="64"/>
      <c r="L34" s="117">
        <v>136</v>
      </c>
      <c r="M34" s="117" t="s">
        <v>340</v>
      </c>
      <c r="O34" s="77"/>
      <c r="P34" s="77"/>
      <c r="S34" s="58"/>
      <c r="V34" s="58"/>
    </row>
    <row r="35" spans="1:22" ht="15" customHeight="1">
      <c r="A35" s="130" t="s">
        <v>404</v>
      </c>
      <c r="B35" s="131" t="s">
        <v>407</v>
      </c>
      <c r="D35" s="121"/>
      <c r="E35" s="122"/>
      <c r="H35" s="64"/>
      <c r="L35" s="117">
        <v>138</v>
      </c>
      <c r="M35" s="117" t="s">
        <v>341</v>
      </c>
      <c r="O35" s="77"/>
      <c r="P35" s="77"/>
      <c r="S35" s="58"/>
      <c r="V35" s="58"/>
    </row>
    <row r="36" spans="1:22" ht="15" customHeight="1">
      <c r="A36" s="130" t="s">
        <v>408</v>
      </c>
      <c r="B36" s="131" t="s">
        <v>409</v>
      </c>
      <c r="D36" s="121"/>
      <c r="E36" s="122"/>
      <c r="H36" s="64"/>
      <c r="L36" s="117">
        <v>139</v>
      </c>
      <c r="M36" s="117" t="s">
        <v>342</v>
      </c>
      <c r="O36" s="77"/>
      <c r="P36" s="77"/>
      <c r="S36" s="58"/>
      <c r="V36" s="58"/>
    </row>
    <row r="37" spans="1:22" ht="15" customHeight="1">
      <c r="A37" s="130" t="s">
        <v>410</v>
      </c>
      <c r="B37" s="131" t="s">
        <v>411</v>
      </c>
      <c r="D37" s="121"/>
      <c r="E37" s="122"/>
      <c r="H37" s="64"/>
      <c r="L37" s="117">
        <v>200</v>
      </c>
      <c r="M37" s="117" t="s">
        <v>343</v>
      </c>
      <c r="O37" s="77"/>
      <c r="P37" s="77"/>
      <c r="S37" s="58"/>
      <c r="V37" s="58"/>
    </row>
    <row r="38" spans="1:22" ht="15" customHeight="1">
      <c r="A38" s="130" t="s">
        <v>412</v>
      </c>
      <c r="B38" s="131" t="s">
        <v>414</v>
      </c>
      <c r="D38" s="121"/>
      <c r="E38" s="122"/>
      <c r="H38" s="64"/>
      <c r="L38" s="117">
        <v>201</v>
      </c>
      <c r="M38" s="117" t="s">
        <v>344</v>
      </c>
      <c r="O38" s="77"/>
      <c r="P38" s="77"/>
      <c r="S38" s="58"/>
      <c r="V38" s="58"/>
    </row>
    <row r="39" spans="1:22" ht="15" customHeight="1">
      <c r="A39" s="130" t="s">
        <v>413</v>
      </c>
      <c r="B39" s="131" t="s">
        <v>415</v>
      </c>
      <c r="D39" s="121"/>
      <c r="E39" s="122"/>
      <c r="H39" s="64"/>
      <c r="L39" s="117">
        <v>202</v>
      </c>
      <c r="M39" s="117" t="s">
        <v>400</v>
      </c>
      <c r="O39" s="77"/>
      <c r="P39" s="77"/>
      <c r="S39" s="58"/>
      <c r="V39" s="58"/>
    </row>
    <row r="40" spans="1:22" ht="15" customHeight="1">
      <c r="A40" s="130" t="s">
        <v>416</v>
      </c>
      <c r="B40" s="131" t="s">
        <v>419</v>
      </c>
      <c r="D40" s="121"/>
      <c r="E40" s="122"/>
      <c r="H40" s="64"/>
      <c r="L40" s="117">
        <v>203</v>
      </c>
      <c r="M40" s="117" t="s">
        <v>401</v>
      </c>
      <c r="O40" s="77"/>
      <c r="P40" s="77"/>
      <c r="S40" s="58"/>
      <c r="V40" s="58"/>
    </row>
    <row r="41" spans="1:22" ht="15" customHeight="1">
      <c r="A41" s="130" t="s">
        <v>417</v>
      </c>
      <c r="B41" s="131" t="s">
        <v>420</v>
      </c>
      <c r="D41" s="121"/>
      <c r="E41" s="122"/>
      <c r="H41" s="64"/>
      <c r="L41" s="117">
        <v>204</v>
      </c>
      <c r="M41" s="117" t="s">
        <v>345</v>
      </c>
      <c r="O41" s="77"/>
      <c r="P41" s="77"/>
      <c r="S41" s="58"/>
      <c r="V41" s="58"/>
    </row>
    <row r="42" spans="1:22" ht="15" customHeight="1">
      <c r="A42" s="130" t="s">
        <v>418</v>
      </c>
      <c r="B42" s="131" t="s">
        <v>421</v>
      </c>
      <c r="D42" s="121"/>
      <c r="E42" s="122"/>
      <c r="H42" s="64"/>
      <c r="L42" s="116">
        <v>205</v>
      </c>
      <c r="M42" s="116" t="s">
        <v>403</v>
      </c>
      <c r="O42" s="77"/>
      <c r="P42" s="77"/>
      <c r="S42" s="58"/>
      <c r="V42" s="58"/>
    </row>
    <row r="43" spans="1:22" ht="15" customHeight="1">
      <c r="A43" s="130"/>
      <c r="B43" s="131"/>
      <c r="D43" s="121"/>
      <c r="E43" s="122"/>
      <c r="H43" s="64"/>
      <c r="O43" s="77"/>
      <c r="P43" s="77"/>
      <c r="S43" s="58"/>
      <c r="V43" s="58"/>
    </row>
    <row r="44" spans="1:22" ht="15" customHeight="1">
      <c r="A44" s="130"/>
      <c r="B44" s="131"/>
      <c r="D44" s="121"/>
      <c r="E44" s="122"/>
      <c r="H44" s="64"/>
      <c r="O44" s="77"/>
      <c r="P44" s="77"/>
      <c r="S44" s="58"/>
      <c r="V44" s="58"/>
    </row>
    <row r="45" spans="1:22" ht="15" customHeight="1">
      <c r="A45" s="130"/>
      <c r="B45" s="131"/>
      <c r="D45" s="121"/>
      <c r="E45" s="122"/>
      <c r="H45" s="64"/>
      <c r="O45" s="77"/>
      <c r="P45" s="77"/>
      <c r="S45" s="58"/>
      <c r="V45" s="58"/>
    </row>
    <row r="46" spans="1:22" ht="15" customHeight="1">
      <c r="A46" s="130"/>
      <c r="B46" s="131"/>
      <c r="D46" s="121"/>
      <c r="E46" s="122"/>
      <c r="H46" s="64"/>
      <c r="O46" s="77"/>
      <c r="P46" s="77"/>
      <c r="S46" s="58"/>
      <c r="V46" s="58"/>
    </row>
    <row r="47" spans="1:22" ht="15" customHeight="1">
      <c r="A47" s="130"/>
      <c r="B47" s="131"/>
      <c r="D47" s="121"/>
      <c r="E47" s="122"/>
      <c r="H47" s="64"/>
      <c r="O47" s="77"/>
      <c r="P47" s="77"/>
      <c r="S47" s="58"/>
      <c r="V47" s="58"/>
    </row>
    <row r="48" spans="1:22" ht="15" customHeight="1">
      <c r="A48" s="130"/>
      <c r="B48" s="131"/>
      <c r="D48" s="121"/>
      <c r="E48" s="122"/>
      <c r="H48" s="64"/>
      <c r="O48" s="77"/>
      <c r="P48" s="77"/>
      <c r="S48" s="58"/>
      <c r="V48" s="58"/>
    </row>
    <row r="49" spans="1:22" ht="15" customHeight="1">
      <c r="A49" s="130"/>
      <c r="B49" s="131"/>
      <c r="D49" s="121"/>
      <c r="E49" s="122"/>
      <c r="H49" s="64"/>
      <c r="O49" s="77"/>
      <c r="P49" s="77"/>
      <c r="S49" s="58"/>
      <c r="V49" s="58"/>
    </row>
    <row r="50" spans="1:22" ht="15" customHeight="1">
      <c r="A50" s="130"/>
      <c r="B50" s="131"/>
      <c r="D50" s="121"/>
      <c r="E50" s="122"/>
      <c r="H50" s="64"/>
      <c r="O50" s="77"/>
      <c r="P50" s="77"/>
      <c r="S50" s="58"/>
      <c r="V50" s="58"/>
    </row>
    <row r="51" spans="1:22" ht="15" customHeight="1">
      <c r="A51" s="130"/>
      <c r="B51" s="131"/>
      <c r="D51" s="121"/>
      <c r="E51" s="122"/>
      <c r="H51" s="64"/>
      <c r="O51" s="77"/>
      <c r="P51" s="77"/>
      <c r="S51" s="58"/>
      <c r="V51" s="58"/>
    </row>
    <row r="52" spans="1:22" ht="15" customHeight="1">
      <c r="A52" s="130"/>
      <c r="B52" s="131"/>
      <c r="D52" s="121"/>
      <c r="E52" s="122"/>
      <c r="H52" s="64"/>
      <c r="O52" s="77"/>
      <c r="P52" s="77"/>
      <c r="S52" s="58"/>
      <c r="T52" s="61"/>
      <c r="U52" s="61"/>
      <c r="V52" s="58"/>
    </row>
    <row r="53" spans="1:22" ht="15" customHeight="1">
      <c r="A53" s="130"/>
      <c r="B53" s="131"/>
      <c r="D53" s="121"/>
      <c r="E53" s="122"/>
      <c r="H53" s="64"/>
      <c r="O53" s="77"/>
      <c r="P53" s="77"/>
      <c r="S53" s="58"/>
      <c r="T53" s="61"/>
      <c r="U53" s="61"/>
      <c r="V53" s="58"/>
    </row>
    <row r="54" spans="1:22" ht="15" customHeight="1">
      <c r="A54" s="130"/>
      <c r="B54" s="131"/>
      <c r="D54" s="121"/>
      <c r="E54" s="122"/>
      <c r="H54" s="64"/>
      <c r="O54" s="77"/>
      <c r="P54" s="77"/>
      <c r="S54" s="58"/>
      <c r="T54" s="61"/>
      <c r="U54" s="61"/>
      <c r="V54" s="58"/>
    </row>
    <row r="55" spans="1:22" ht="15" customHeight="1">
      <c r="A55" s="130"/>
      <c r="B55" s="131"/>
      <c r="D55" s="121"/>
      <c r="E55" s="122"/>
      <c r="H55" s="64"/>
      <c r="O55" s="77"/>
      <c r="P55" s="77"/>
      <c r="S55" s="58"/>
      <c r="V55" s="58"/>
    </row>
    <row r="56" spans="1:22" ht="15" customHeight="1">
      <c r="A56" s="130"/>
      <c r="B56" s="131"/>
      <c r="D56" s="121"/>
      <c r="E56" s="122"/>
      <c r="H56" s="64"/>
      <c r="O56" s="77"/>
      <c r="P56" s="77"/>
      <c r="S56" s="58"/>
      <c r="V56" s="58"/>
    </row>
    <row r="57" spans="1:22" ht="15" customHeight="1">
      <c r="A57" s="130"/>
      <c r="B57" s="131"/>
      <c r="D57" s="121"/>
      <c r="E57" s="122"/>
      <c r="H57" s="64"/>
      <c r="O57" s="77"/>
      <c r="P57" s="77"/>
      <c r="S57" s="58"/>
      <c r="V57" s="58"/>
    </row>
    <row r="58" spans="1:22" ht="15" customHeight="1">
      <c r="A58" s="130"/>
      <c r="B58" s="131"/>
      <c r="D58" s="121"/>
      <c r="E58" s="122"/>
      <c r="H58" s="64"/>
      <c r="O58" s="77"/>
      <c r="P58" s="77"/>
      <c r="S58" s="58"/>
      <c r="V58" s="58"/>
    </row>
    <row r="59" spans="1:22" ht="15" customHeight="1">
      <c r="A59" s="130"/>
      <c r="B59" s="131"/>
      <c r="D59" s="121"/>
      <c r="E59" s="122"/>
      <c r="H59" s="64"/>
      <c r="O59" s="77"/>
      <c r="P59" s="77"/>
      <c r="S59" s="58"/>
      <c r="V59" s="58"/>
    </row>
    <row r="60" spans="1:22" ht="15" customHeight="1">
      <c r="A60" s="130"/>
      <c r="B60" s="131"/>
      <c r="D60" s="121"/>
      <c r="E60" s="122"/>
      <c r="H60" s="64"/>
      <c r="O60" s="77"/>
      <c r="P60" s="77"/>
      <c r="S60" s="58"/>
      <c r="V60" s="58"/>
    </row>
    <row r="61" spans="1:22" ht="15" customHeight="1">
      <c r="A61" s="130"/>
      <c r="B61" s="131"/>
      <c r="D61" s="121"/>
      <c r="E61" s="122"/>
      <c r="H61" s="64"/>
      <c r="O61" s="77"/>
      <c r="P61" s="77"/>
      <c r="S61" s="58"/>
      <c r="V61" s="58"/>
    </row>
    <row r="62" spans="1:22" ht="15" customHeight="1">
      <c r="A62" s="130"/>
      <c r="B62" s="131"/>
      <c r="D62" s="125"/>
      <c r="E62" s="126"/>
      <c r="H62" s="64"/>
      <c r="O62" s="77"/>
      <c r="P62" s="77"/>
      <c r="S62" s="58"/>
      <c r="V62" s="58"/>
    </row>
    <row r="63" spans="1:22" ht="15" customHeight="1">
      <c r="A63" s="130"/>
      <c r="B63" s="136"/>
      <c r="H63" s="64"/>
    </row>
    <row r="64" spans="1:22" ht="15" customHeight="1">
      <c r="A64" s="130"/>
      <c r="H64" s="64"/>
    </row>
    <row r="65" spans="1:8" ht="15" customHeight="1">
      <c r="A65" s="135"/>
      <c r="H65" s="64"/>
    </row>
    <row r="66" spans="1:8" ht="15" customHeight="1">
      <c r="H66" s="64"/>
    </row>
    <row r="67" spans="1:8" ht="15" customHeight="1">
      <c r="H67" s="64"/>
    </row>
    <row r="68" spans="1:8" ht="15" customHeight="1">
      <c r="H68" s="64"/>
    </row>
    <row r="69" spans="1:8" ht="15" customHeight="1">
      <c r="H69" s="64"/>
    </row>
    <row r="70" spans="1:8" ht="15" customHeight="1">
      <c r="H70" s="64"/>
    </row>
    <row r="71" spans="1:8" ht="15" customHeight="1">
      <c r="H71" s="64"/>
    </row>
    <row r="72" spans="1:8" ht="15" customHeight="1">
      <c r="H72" s="64"/>
    </row>
    <row r="73" spans="1:8" ht="15" customHeight="1">
      <c r="H73" s="64"/>
    </row>
    <row r="74" spans="1:8" ht="15" customHeight="1">
      <c r="H74" s="64"/>
    </row>
    <row r="75" spans="1:8" ht="15" customHeight="1">
      <c r="H75" s="64"/>
    </row>
    <row r="76" spans="1:8" ht="15" customHeight="1">
      <c r="H76" s="64"/>
    </row>
    <row r="77" spans="1:8" ht="15" customHeight="1">
      <c r="H77" s="64"/>
    </row>
    <row r="78" spans="1:8" ht="15" customHeight="1">
      <c r="H78" s="64"/>
    </row>
    <row r="79" spans="1:8" ht="15" customHeight="1">
      <c r="H79" s="64"/>
    </row>
    <row r="80" spans="1:8" ht="15" customHeight="1">
      <c r="H80" s="64"/>
    </row>
    <row r="81" spans="8:8" ht="15" customHeight="1">
      <c r="H81" s="64"/>
    </row>
    <row r="82" spans="8:8" ht="15" customHeight="1">
      <c r="H82" s="64"/>
    </row>
    <row r="83" spans="8:8" ht="15" customHeight="1">
      <c r="H83" s="64"/>
    </row>
    <row r="84" spans="8:8" ht="15" customHeight="1">
      <c r="H84" s="64"/>
    </row>
    <row r="85" spans="8:8" ht="15" customHeight="1">
      <c r="H85" s="64"/>
    </row>
    <row r="86" spans="8:8" ht="15" customHeight="1">
      <c r="H86" s="64"/>
    </row>
    <row r="87" spans="8:8" ht="15" customHeight="1">
      <c r="H87" s="64"/>
    </row>
    <row r="88" spans="8:8" ht="15" customHeight="1">
      <c r="H88" s="64"/>
    </row>
    <row r="89" spans="8:8" ht="15" customHeight="1">
      <c r="H89" s="64"/>
    </row>
    <row r="90" spans="8:8" ht="15" customHeight="1">
      <c r="H90" s="64"/>
    </row>
    <row r="91" spans="8:8" ht="15" customHeight="1">
      <c r="H91" s="64"/>
    </row>
    <row r="92" spans="8:8" ht="15" customHeight="1">
      <c r="H92" s="64"/>
    </row>
    <row r="93" spans="8:8" ht="15" customHeight="1">
      <c r="H93" s="64"/>
    </row>
    <row r="94" spans="8:8" ht="15" customHeight="1">
      <c r="H94" s="64"/>
    </row>
    <row r="95" spans="8:8" ht="15" customHeight="1">
      <c r="H95" s="64"/>
    </row>
    <row r="96" spans="8:8" ht="15" customHeight="1">
      <c r="H96" s="64"/>
    </row>
    <row r="97" spans="8:8" ht="15" customHeight="1">
      <c r="H97" s="64"/>
    </row>
    <row r="98" spans="8:8" ht="15" customHeight="1">
      <c r="H98" s="64"/>
    </row>
    <row r="99" spans="8:8" ht="15" customHeight="1">
      <c r="H99" s="64"/>
    </row>
    <row r="100" spans="8:8" ht="15" customHeight="1">
      <c r="H100" s="64"/>
    </row>
    <row r="101" spans="8:8" ht="15" customHeight="1">
      <c r="H101" s="64"/>
    </row>
    <row r="102" spans="8:8" ht="15" customHeight="1">
      <c r="H102" s="64"/>
    </row>
    <row r="103" spans="8:8" ht="15" customHeight="1">
      <c r="H103" s="65"/>
    </row>
    <row r="104" spans="8:8" ht="15" customHeight="1">
      <c r="H104" s="66"/>
    </row>
    <row r="105" spans="8:8" ht="15" customHeight="1">
      <c r="H105" s="66"/>
    </row>
    <row r="106" spans="8:8" ht="15" customHeight="1">
      <c r="H106" s="66"/>
    </row>
    <row r="107" spans="8:8" ht="15" customHeight="1">
      <c r="H107" s="66"/>
    </row>
    <row r="108" spans="8:8" ht="15" customHeight="1">
      <c r="H108" s="66"/>
    </row>
    <row r="109" spans="8:8" ht="15" customHeight="1">
      <c r="H109" s="66"/>
    </row>
    <row r="110" spans="8:8" ht="15" customHeight="1">
      <c r="H110" s="66"/>
    </row>
    <row r="111" spans="8:8" ht="15" customHeight="1">
      <c r="H111" s="66"/>
    </row>
    <row r="112" spans="8:8" ht="15" customHeight="1">
      <c r="H112" s="66"/>
    </row>
    <row r="113" spans="8:8" ht="15" customHeight="1">
      <c r="H113" s="66"/>
    </row>
    <row r="114" spans="8:8" ht="15" customHeight="1">
      <c r="H114" s="66"/>
    </row>
    <row r="115" spans="8:8" ht="15" customHeight="1">
      <c r="H115" s="66"/>
    </row>
    <row r="116" spans="8:8" ht="15" customHeight="1">
      <c r="H116" s="66"/>
    </row>
    <row r="117" spans="8:8" ht="15" customHeight="1">
      <c r="H117" s="66"/>
    </row>
    <row r="118" spans="8:8" ht="15" customHeight="1">
      <c r="H118" s="66"/>
    </row>
    <row r="119" spans="8:8" ht="15" customHeight="1">
      <c r="H119" s="66"/>
    </row>
    <row r="120" spans="8:8" ht="15" customHeight="1">
      <c r="H120" s="66"/>
    </row>
    <row r="121" spans="8:8" ht="15" customHeight="1">
      <c r="H121" s="66"/>
    </row>
    <row r="122" spans="8:8" ht="15" customHeight="1">
      <c r="H122" s="66"/>
    </row>
    <row r="123" spans="8:8" ht="15" customHeight="1">
      <c r="H123" s="66"/>
    </row>
    <row r="124" spans="8:8" ht="15" customHeight="1">
      <c r="H124" s="66"/>
    </row>
    <row r="125" spans="8:8" ht="15" customHeight="1">
      <c r="H125" s="66"/>
    </row>
    <row r="126" spans="8:8" ht="15" customHeight="1">
      <c r="H126" s="66"/>
    </row>
    <row r="127" spans="8:8" ht="15" customHeight="1">
      <c r="H127" s="66"/>
    </row>
    <row r="128" spans="8:8" ht="15" customHeight="1">
      <c r="H128" s="66"/>
    </row>
    <row r="129" spans="8:8" ht="15" customHeight="1">
      <c r="H129" s="66"/>
    </row>
    <row r="130" spans="8:8" ht="15" customHeight="1">
      <c r="H130" s="66"/>
    </row>
    <row r="131" spans="8:8" ht="15" customHeight="1">
      <c r="H131" s="66"/>
    </row>
    <row r="132" spans="8:8" ht="15" customHeight="1">
      <c r="H132" s="66"/>
    </row>
    <row r="133" spans="8:8" ht="15" customHeight="1">
      <c r="H133" s="66"/>
    </row>
    <row r="134" spans="8:8" ht="15" customHeight="1">
      <c r="H134" s="66"/>
    </row>
    <row r="135" spans="8:8" ht="15" customHeight="1">
      <c r="H135" s="66"/>
    </row>
    <row r="136" spans="8:8" ht="15" customHeight="1">
      <c r="H136" s="66"/>
    </row>
    <row r="137" spans="8:8" ht="15" customHeight="1">
      <c r="H137" s="66"/>
    </row>
    <row r="138" spans="8:8" ht="15" customHeight="1">
      <c r="H138" s="66"/>
    </row>
    <row r="139" spans="8:8" ht="15" customHeight="1">
      <c r="H139" s="66"/>
    </row>
    <row r="140" spans="8:8" ht="15" customHeight="1">
      <c r="H140" s="66"/>
    </row>
    <row r="141" spans="8:8" ht="15" customHeight="1">
      <c r="H141" s="66"/>
    </row>
    <row r="142" spans="8:8" ht="15" customHeight="1">
      <c r="H142" s="66"/>
    </row>
    <row r="143" spans="8:8" ht="15" customHeight="1">
      <c r="H143" s="66"/>
    </row>
    <row r="144" spans="8:8" ht="15" customHeight="1">
      <c r="H144" s="66"/>
    </row>
    <row r="145" spans="8:8" ht="15" customHeight="1">
      <c r="H145" s="66"/>
    </row>
    <row r="146" spans="8:8" ht="15" customHeight="1">
      <c r="H146" s="66"/>
    </row>
    <row r="147" spans="8:8" ht="15" customHeight="1">
      <c r="H147" s="66"/>
    </row>
    <row r="148" spans="8:8" ht="15" customHeight="1">
      <c r="H148" s="66"/>
    </row>
    <row r="149" spans="8:8" ht="15" customHeight="1">
      <c r="H149" s="66"/>
    </row>
    <row r="150" spans="8:8" ht="15" customHeight="1">
      <c r="H150" s="66"/>
    </row>
    <row r="151" spans="8:8" ht="15" customHeight="1">
      <c r="H151" s="66"/>
    </row>
    <row r="152" spans="8:8" ht="15" customHeight="1">
      <c r="H152" s="66"/>
    </row>
    <row r="153" spans="8:8" ht="15" customHeight="1">
      <c r="H153" s="66"/>
    </row>
    <row r="154" spans="8:8" ht="15" customHeight="1">
      <c r="H154" s="66"/>
    </row>
    <row r="155" spans="8:8" ht="15" customHeight="1">
      <c r="H155" s="66"/>
    </row>
    <row r="156" spans="8:8" ht="15" customHeight="1">
      <c r="H156" s="66"/>
    </row>
    <row r="157" spans="8:8" ht="15" customHeight="1">
      <c r="H157" s="66"/>
    </row>
    <row r="158" spans="8:8" ht="15" customHeight="1">
      <c r="H158" s="66"/>
    </row>
    <row r="159" spans="8:8" ht="15" customHeight="1">
      <c r="H159" s="66"/>
    </row>
    <row r="160" spans="8:8" ht="15" customHeight="1">
      <c r="H160" s="66"/>
    </row>
    <row r="161" spans="8:8" ht="15" customHeight="1">
      <c r="H161" s="66"/>
    </row>
    <row r="162" spans="8:8" ht="15" customHeight="1">
      <c r="H162" s="66"/>
    </row>
    <row r="163" spans="8:8" ht="15" customHeight="1">
      <c r="H163" s="66"/>
    </row>
    <row r="164" spans="8:8" ht="15" customHeight="1">
      <c r="H164" s="66"/>
    </row>
    <row r="165" spans="8:8" ht="15" customHeight="1">
      <c r="H165" s="66"/>
    </row>
    <row r="166" spans="8:8" ht="15" customHeight="1">
      <c r="H166" s="66"/>
    </row>
    <row r="167" spans="8:8" ht="15" customHeight="1">
      <c r="H167" s="66"/>
    </row>
    <row r="168" spans="8:8" ht="15" customHeight="1">
      <c r="H168" s="66"/>
    </row>
    <row r="169" spans="8:8" ht="15" customHeight="1">
      <c r="H169" s="66"/>
    </row>
    <row r="170" spans="8:8" ht="15" customHeight="1">
      <c r="H170" s="66"/>
    </row>
    <row r="171" spans="8:8" ht="15" customHeight="1">
      <c r="H171" s="66"/>
    </row>
    <row r="172" spans="8:8" ht="15" customHeight="1">
      <c r="H172" s="66"/>
    </row>
    <row r="173" spans="8:8" ht="15" customHeight="1">
      <c r="H173" s="66"/>
    </row>
    <row r="174" spans="8:8" ht="15" customHeight="1">
      <c r="H174" s="66"/>
    </row>
    <row r="175" spans="8:8" ht="15" customHeight="1">
      <c r="H175" s="66"/>
    </row>
    <row r="176" spans="8:8" ht="15" customHeight="1">
      <c r="H176" s="66"/>
    </row>
    <row r="177" spans="8:8" ht="15" customHeight="1">
      <c r="H177" s="66"/>
    </row>
    <row r="178" spans="8:8" ht="15" customHeight="1">
      <c r="H178" s="66"/>
    </row>
    <row r="179" spans="8:8" ht="15" customHeight="1">
      <c r="H179" s="66"/>
    </row>
    <row r="180" spans="8:8" ht="15" customHeight="1">
      <c r="H180" s="66"/>
    </row>
    <row r="181" spans="8:8" ht="15" customHeight="1">
      <c r="H181" s="66"/>
    </row>
    <row r="182" spans="8:8" ht="15" customHeight="1">
      <c r="H182" s="66"/>
    </row>
    <row r="183" spans="8:8" ht="15" customHeight="1">
      <c r="H183" s="60"/>
    </row>
  </sheetData>
  <sheetProtection selectLockedCells="1"/>
  <mergeCells count="2">
    <mergeCell ref="Q19:R19"/>
    <mergeCell ref="Q24:R24"/>
  </mergeCells>
  <phoneticPr fontId="13"/>
  <dataValidations count="11">
    <dataValidation type="list" allowBlank="1" showErrorMessage="1" prompt="利用DB" sqref="R5">
      <formula1>ODBCDriver</formula1>
    </dataValidation>
    <dataValidation imeMode="disabled" allowBlank="1" showInputMessage="1" showErrorMessage="1" sqref="R6:R7 R9:R13"/>
    <dataValidation imeMode="off" allowBlank="1" showInputMessage="1" showErrorMessage="1" sqref="R8"/>
    <dataValidation showInputMessage="1" showErrorMessage="1" sqref="R14"/>
    <dataValidation type="list" showInputMessage="1" showErrorMessage="1" sqref="R15">
      <formula1>"Shift-JIS,EUC-JP,UTF-8"</formula1>
    </dataValidation>
    <dataValidation type="list" showInputMessage="1" showErrorMessage="1" sqref="R16">
      <formula1>"CRLF,CR,LF"</formula1>
    </dataValidation>
    <dataValidation type="list" showInputMessage="1" showErrorMessage="1" sqref="R17">
      <formula1>"Laravel"</formula1>
    </dataValidation>
    <dataValidation type="list" allowBlank="1" showInputMessage="1" showErrorMessage="1" sqref="E7:E8 B6:B7 E30:E33">
      <formula1>"TRUE,FALSE"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ErrorMessage="1" prompt="利用DB" sqref="B12">
      <formula1>ODBCDriverList</formula1>
    </dataValidation>
    <dataValidation type="list" allowBlank="1" showErrorMessage="1" prompt="利用DB" sqref="B11">
      <formula1>DBList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_Notice"/>
  <dimension ref="A1:Y53"/>
  <sheetViews>
    <sheetView showGridLines="0" zoomScaleNormal="100" workbookViewId="0">
      <pane ySplit="1" topLeftCell="A2" activePane="bottomLeft" state="frozen"/>
      <selection activeCell="A9" sqref="A9"/>
      <selection pane="bottomLeft" activeCell="B31" sqref="B31"/>
    </sheetView>
  </sheetViews>
  <sheetFormatPr defaultRowHeight="15" customHeight="1"/>
  <cols>
    <col min="1" max="1" width="9.140625" style="96"/>
    <col min="2" max="2" width="80.7109375" style="97" customWidth="1"/>
    <col min="3" max="3" width="9.140625" style="72"/>
    <col min="4" max="16384" width="9.140625" style="73"/>
  </cols>
  <sheetData>
    <row r="1" spans="1:25" ht="15" customHeight="1">
      <c r="A1" s="71" t="s">
        <v>247</v>
      </c>
      <c r="B1" s="71" t="s">
        <v>265</v>
      </c>
    </row>
    <row r="2" spans="1:25" ht="15" customHeight="1">
      <c r="A2" s="74"/>
      <c r="B2" s="75" t="s">
        <v>285</v>
      </c>
      <c r="C2" s="73"/>
    </row>
    <row r="3" spans="1:25" ht="15" customHeight="1">
      <c r="A3" s="91">
        <v>1</v>
      </c>
      <c r="B3" s="92" t="s">
        <v>431</v>
      </c>
      <c r="V3" s="73" t="s">
        <v>430</v>
      </c>
      <c r="Y3" s="173">
        <v>44454</v>
      </c>
    </row>
    <row r="4" spans="1:25" ht="15" customHeight="1">
      <c r="A4" s="91">
        <v>2</v>
      </c>
      <c r="B4" s="92" t="s">
        <v>432</v>
      </c>
    </row>
    <row r="5" spans="1:25" ht="15" customHeight="1">
      <c r="A5" s="91">
        <v>3</v>
      </c>
      <c r="B5" s="92" t="s">
        <v>433</v>
      </c>
    </row>
    <row r="6" spans="1:25" ht="15" customHeight="1">
      <c r="A6" s="91">
        <v>4</v>
      </c>
      <c r="B6" s="92" t="s">
        <v>434</v>
      </c>
    </row>
    <row r="7" spans="1:25" ht="15" customHeight="1">
      <c r="A7" s="91">
        <v>5</v>
      </c>
      <c r="B7" s="92"/>
    </row>
    <row r="8" spans="1:25" ht="15" customHeight="1">
      <c r="A8" s="91"/>
      <c r="B8" s="92"/>
    </row>
    <row r="9" spans="1:25" ht="15" customHeight="1">
      <c r="A9" s="91"/>
      <c r="B9" s="92"/>
    </row>
    <row r="10" spans="1:25" ht="15" customHeight="1">
      <c r="A10" s="91"/>
      <c r="B10" s="92"/>
    </row>
    <row r="11" spans="1:25" ht="15" customHeight="1">
      <c r="A11" s="91"/>
      <c r="B11" s="92"/>
    </row>
    <row r="12" spans="1:25" ht="15" customHeight="1">
      <c r="A12" s="91"/>
      <c r="B12" s="92"/>
    </row>
    <row r="13" spans="1:25" ht="15" customHeight="1">
      <c r="A13" s="91">
        <v>100</v>
      </c>
      <c r="B13" s="92" t="s">
        <v>435</v>
      </c>
    </row>
    <row r="14" spans="1:25" ht="15" customHeight="1">
      <c r="A14" s="91"/>
      <c r="B14" s="92"/>
    </row>
    <row r="15" spans="1:25" ht="15" customHeight="1">
      <c r="A15" s="91">
        <v>200</v>
      </c>
      <c r="B15" s="92" t="s">
        <v>436</v>
      </c>
    </row>
    <row r="16" spans="1:25" ht="15" customHeight="1">
      <c r="A16" s="91">
        <v>201</v>
      </c>
      <c r="B16" s="92" t="s">
        <v>437</v>
      </c>
    </row>
    <row r="17" spans="1:2" ht="15" customHeight="1">
      <c r="A17" s="91">
        <v>202</v>
      </c>
      <c r="B17" s="92" t="s">
        <v>438</v>
      </c>
    </row>
    <row r="18" spans="1:2" ht="15" customHeight="1">
      <c r="A18" s="91">
        <v>203</v>
      </c>
      <c r="B18" s="92" t="s">
        <v>439</v>
      </c>
    </row>
    <row r="19" spans="1:2" ht="15" customHeight="1">
      <c r="A19" s="91">
        <v>204</v>
      </c>
      <c r="B19" s="92" t="s">
        <v>440</v>
      </c>
    </row>
    <row r="20" spans="1:2" ht="15" customHeight="1">
      <c r="A20" s="91">
        <v>205</v>
      </c>
      <c r="B20" s="92" t="s">
        <v>441</v>
      </c>
    </row>
    <row r="21" spans="1:2" ht="15" customHeight="1">
      <c r="A21" s="91"/>
      <c r="B21" s="92"/>
    </row>
    <row r="22" spans="1:2" ht="15" customHeight="1">
      <c r="A22" s="91"/>
      <c r="B22" s="95"/>
    </row>
    <row r="23" spans="1:2" ht="15" customHeight="1">
      <c r="A23" s="91"/>
      <c r="B23" s="92"/>
    </row>
    <row r="24" spans="1:2" ht="15" customHeight="1">
      <c r="A24" s="74"/>
      <c r="B24" s="75" t="s">
        <v>442</v>
      </c>
    </row>
    <row r="25" spans="1:2" ht="15" customHeight="1">
      <c r="A25" s="91">
        <v>400</v>
      </c>
      <c r="B25" s="95" t="s">
        <v>443</v>
      </c>
    </row>
    <row r="26" spans="1:2" ht="15" customHeight="1">
      <c r="A26" s="91">
        <v>401</v>
      </c>
      <c r="B26" s="92" t="s">
        <v>444</v>
      </c>
    </row>
    <row r="27" spans="1:2" ht="15" customHeight="1">
      <c r="A27" s="91">
        <v>402</v>
      </c>
      <c r="B27" s="92" t="s">
        <v>445</v>
      </c>
    </row>
    <row r="28" spans="1:2" ht="15" customHeight="1">
      <c r="A28" s="91">
        <v>403</v>
      </c>
      <c r="B28" s="95" t="s">
        <v>446</v>
      </c>
    </row>
    <row r="29" spans="1:2" ht="15" customHeight="1">
      <c r="A29" s="91">
        <v>404</v>
      </c>
      <c r="B29" s="92" t="s">
        <v>447</v>
      </c>
    </row>
    <row r="30" spans="1:2" ht="15" customHeight="1">
      <c r="A30" s="91">
        <v>405</v>
      </c>
      <c r="B30" s="92" t="s">
        <v>448</v>
      </c>
    </row>
    <row r="31" spans="1:2" ht="15" customHeight="1">
      <c r="A31" s="91">
        <v>406</v>
      </c>
      <c r="B31" s="92" t="s">
        <v>449</v>
      </c>
    </row>
    <row r="32" spans="1:2" ht="15" customHeight="1">
      <c r="A32" s="91">
        <v>407</v>
      </c>
      <c r="B32" s="95" t="s">
        <v>450</v>
      </c>
    </row>
    <row r="33" spans="1:2" ht="15" customHeight="1">
      <c r="A33" s="91">
        <v>408</v>
      </c>
      <c r="B33" s="92" t="s">
        <v>266</v>
      </c>
    </row>
    <row r="34" spans="1:2" ht="15" customHeight="1">
      <c r="A34" s="91">
        <v>409</v>
      </c>
      <c r="B34" s="95" t="s">
        <v>451</v>
      </c>
    </row>
    <row r="35" spans="1:2" ht="15" customHeight="1">
      <c r="A35" s="91"/>
      <c r="B35" s="92"/>
    </row>
    <row r="36" spans="1:2" ht="15" customHeight="1">
      <c r="A36" s="91">
        <v>500</v>
      </c>
      <c r="B36" s="95" t="s">
        <v>452</v>
      </c>
    </row>
    <row r="37" spans="1:2" ht="15" customHeight="1">
      <c r="A37" s="91">
        <v>501</v>
      </c>
      <c r="B37" s="95" t="s">
        <v>453</v>
      </c>
    </row>
    <row r="38" spans="1:2" ht="15" customHeight="1">
      <c r="A38" s="91">
        <v>502</v>
      </c>
      <c r="B38" s="92" t="s">
        <v>454</v>
      </c>
    </row>
    <row r="39" spans="1:2" ht="15" customHeight="1">
      <c r="A39" s="91">
        <v>502</v>
      </c>
      <c r="B39" s="92" t="s">
        <v>455</v>
      </c>
    </row>
    <row r="40" spans="1:2" ht="15" customHeight="1">
      <c r="A40" s="91"/>
      <c r="B40" s="92"/>
    </row>
    <row r="41" spans="1:2" ht="15" customHeight="1">
      <c r="A41" s="91"/>
      <c r="B41" s="95"/>
    </row>
    <row r="42" spans="1:2" ht="15" customHeight="1">
      <c r="A42" s="91"/>
      <c r="B42" s="95"/>
    </row>
    <row r="43" spans="1:2" ht="15" customHeight="1">
      <c r="A43" s="74"/>
      <c r="B43" s="75" t="s">
        <v>286</v>
      </c>
    </row>
    <row r="44" spans="1:2" ht="15" customHeight="1">
      <c r="A44" s="91"/>
      <c r="B44" s="92"/>
    </row>
    <row r="45" spans="1:2" ht="15" customHeight="1">
      <c r="A45" s="91"/>
      <c r="B45" s="92"/>
    </row>
    <row r="46" spans="1:2" ht="15" customHeight="1">
      <c r="A46" s="91"/>
      <c r="B46" s="92"/>
    </row>
    <row r="47" spans="1:2" ht="15" customHeight="1">
      <c r="A47" s="91"/>
      <c r="B47" s="92"/>
    </row>
    <row r="48" spans="1:2" ht="15" customHeight="1">
      <c r="A48" s="74"/>
      <c r="B48" s="75"/>
    </row>
    <row r="49" spans="1:2" ht="15" customHeight="1">
      <c r="A49" s="91">
        <v>9</v>
      </c>
      <c r="B49" s="92" t="s">
        <v>267</v>
      </c>
    </row>
    <row r="50" spans="1:2" ht="15" customHeight="1">
      <c r="A50" s="91">
        <v>13</v>
      </c>
      <c r="B50" s="92" t="s">
        <v>268</v>
      </c>
    </row>
    <row r="51" spans="1:2" ht="15" customHeight="1">
      <c r="A51" s="91">
        <v>53</v>
      </c>
      <c r="B51" s="92" t="s">
        <v>284</v>
      </c>
    </row>
    <row r="52" spans="1:2" ht="15" customHeight="1">
      <c r="A52" s="91">
        <v>91</v>
      </c>
      <c r="B52" s="92" t="s">
        <v>269</v>
      </c>
    </row>
    <row r="53" spans="1:2" ht="15" customHeight="1">
      <c r="A53" s="93">
        <v>1004</v>
      </c>
      <c r="B53" s="94" t="s">
        <v>270</v>
      </c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_DataType"/>
  <dimension ref="A1:Q73"/>
  <sheetViews>
    <sheetView showGridLines="0" topLeftCell="D1" zoomScaleNormal="100" workbookViewId="0">
      <pane ySplit="2" topLeftCell="A3" activePane="bottomLeft" state="frozen"/>
      <selection activeCell="A9" sqref="A9"/>
      <selection pane="bottomLeft" activeCell="F26" sqref="F26"/>
    </sheetView>
  </sheetViews>
  <sheetFormatPr defaultRowHeight="20.100000000000001" customHeight="1"/>
  <cols>
    <col min="1" max="1" width="23.42578125" style="89" customWidth="1"/>
    <col min="2" max="2" width="31.28515625" style="89" customWidth="1"/>
    <col min="3" max="3" width="64.42578125" style="89" customWidth="1"/>
    <col min="4" max="4" width="23.42578125" style="89" customWidth="1"/>
    <col min="5" max="5" width="31.28515625" style="89" customWidth="1"/>
    <col min="6" max="6" width="64.42578125" style="89" customWidth="1"/>
    <col min="7" max="7" width="23.42578125" style="89" customWidth="1"/>
    <col min="8" max="8" width="31.28515625" style="89" customWidth="1"/>
    <col min="9" max="9" width="64.42578125" style="89" customWidth="1"/>
    <col min="10" max="10" width="23.42578125" style="89" customWidth="1"/>
    <col min="11" max="11" width="31.28515625" style="89" customWidth="1"/>
    <col min="12" max="12" width="64.42578125" style="89" customWidth="1"/>
    <col min="13" max="13" width="23.42578125" style="89" customWidth="1"/>
    <col min="14" max="14" width="31.28515625" style="89" customWidth="1"/>
    <col min="15" max="15" width="64.42578125" style="89" customWidth="1"/>
    <col min="18" max="16384" width="9.140625" style="89"/>
  </cols>
  <sheetData>
    <row r="1" spans="1:15" ht="20.100000000000001" customHeight="1">
      <c r="A1" s="107" t="s">
        <v>127</v>
      </c>
      <c r="B1" s="108"/>
      <c r="C1" s="109"/>
      <c r="D1" s="107" t="s">
        <v>129</v>
      </c>
      <c r="E1" s="108"/>
      <c r="F1" s="109"/>
      <c r="G1" s="107" t="s">
        <v>131</v>
      </c>
      <c r="H1" s="108"/>
      <c r="I1" s="109"/>
      <c r="J1" s="107" t="s">
        <v>277</v>
      </c>
      <c r="K1" s="108"/>
      <c r="L1" s="109"/>
      <c r="M1" s="107" t="s">
        <v>242</v>
      </c>
      <c r="N1" s="108"/>
      <c r="O1" s="109"/>
    </row>
    <row r="2" spans="1:15" ht="20.100000000000001" customHeight="1">
      <c r="A2" s="110" t="s">
        <v>116</v>
      </c>
      <c r="B2" s="111" t="s">
        <v>271</v>
      </c>
      <c r="C2" s="112" t="s">
        <v>272</v>
      </c>
      <c r="D2" s="110" t="s">
        <v>116</v>
      </c>
      <c r="E2" s="111" t="s">
        <v>271</v>
      </c>
      <c r="F2" s="112" t="s">
        <v>272</v>
      </c>
      <c r="G2" s="110" t="s">
        <v>116</v>
      </c>
      <c r="H2" s="111" t="s">
        <v>271</v>
      </c>
      <c r="I2" s="112" t="s">
        <v>272</v>
      </c>
      <c r="J2" s="110" t="s">
        <v>116</v>
      </c>
      <c r="K2" s="111" t="s">
        <v>271</v>
      </c>
      <c r="L2" s="112" t="s">
        <v>272</v>
      </c>
      <c r="M2" s="110" t="s">
        <v>116</v>
      </c>
      <c r="N2" s="111" t="s">
        <v>271</v>
      </c>
      <c r="O2" s="112" t="s">
        <v>272</v>
      </c>
    </row>
    <row r="3" spans="1:15" ht="20.100000000000001" customHeight="1">
      <c r="A3" s="113" t="s">
        <v>59</v>
      </c>
      <c r="B3" s="113" t="s">
        <v>59</v>
      </c>
      <c r="C3" s="113" t="s">
        <v>73</v>
      </c>
      <c r="D3" s="114" t="s">
        <v>75</v>
      </c>
      <c r="E3" s="114" t="s">
        <v>104</v>
      </c>
      <c r="F3" s="114" t="s">
        <v>24</v>
      </c>
      <c r="G3" s="113" t="s">
        <v>132</v>
      </c>
      <c r="H3" s="113" t="s">
        <v>59</v>
      </c>
      <c r="I3" s="113" t="s">
        <v>133</v>
      </c>
      <c r="J3" s="113" t="s">
        <v>211</v>
      </c>
      <c r="K3" s="113" t="s">
        <v>211</v>
      </c>
      <c r="L3" s="113" t="s">
        <v>210</v>
      </c>
      <c r="M3" s="113" t="s">
        <v>398</v>
      </c>
      <c r="N3" s="113" t="s">
        <v>373</v>
      </c>
      <c r="O3" s="113"/>
    </row>
    <row r="4" spans="1:15" ht="20.100000000000001" customHeight="1">
      <c r="A4" s="114" t="s">
        <v>74</v>
      </c>
      <c r="B4" s="114" t="s">
        <v>37</v>
      </c>
      <c r="C4" s="114" t="s">
        <v>38</v>
      </c>
      <c r="D4" s="114" t="s">
        <v>74</v>
      </c>
      <c r="E4" s="114" t="s">
        <v>95</v>
      </c>
      <c r="F4" s="114" t="s">
        <v>0</v>
      </c>
      <c r="G4" s="114" t="s">
        <v>74</v>
      </c>
      <c r="H4" s="114" t="s">
        <v>37</v>
      </c>
      <c r="I4" s="114" t="s">
        <v>38</v>
      </c>
      <c r="J4" s="141" t="s">
        <v>9</v>
      </c>
      <c r="K4" s="141" t="s">
        <v>9</v>
      </c>
      <c r="L4" s="114" t="s">
        <v>150</v>
      </c>
      <c r="M4" s="141" t="s">
        <v>375</v>
      </c>
      <c r="N4" s="141" t="s">
        <v>374</v>
      </c>
      <c r="O4" s="141"/>
    </row>
    <row r="5" spans="1:15" ht="20.100000000000001" customHeight="1">
      <c r="A5" s="114" t="s">
        <v>75</v>
      </c>
      <c r="B5" s="114" t="s">
        <v>76</v>
      </c>
      <c r="C5" s="114" t="s">
        <v>24</v>
      </c>
      <c r="D5" s="114" t="s">
        <v>30</v>
      </c>
      <c r="E5" s="114" t="s">
        <v>96</v>
      </c>
      <c r="F5" s="114" t="s">
        <v>130</v>
      </c>
      <c r="G5" s="114" t="s">
        <v>75</v>
      </c>
      <c r="H5" s="114" t="s">
        <v>76</v>
      </c>
      <c r="I5" s="114" t="s">
        <v>134</v>
      </c>
      <c r="J5" s="114" t="s">
        <v>200</v>
      </c>
      <c r="K5" s="114" t="s">
        <v>177</v>
      </c>
      <c r="L5" s="114" t="s">
        <v>178</v>
      </c>
      <c r="M5" s="114" t="s">
        <v>377</v>
      </c>
      <c r="N5" s="114" t="s">
        <v>376</v>
      </c>
      <c r="O5" s="114"/>
    </row>
    <row r="6" spans="1:15" ht="20.100000000000001" customHeight="1">
      <c r="A6" s="114" t="s">
        <v>30</v>
      </c>
      <c r="B6" s="114" t="s">
        <v>30</v>
      </c>
      <c r="C6" s="114" t="s">
        <v>31</v>
      </c>
      <c r="D6" s="114" t="s">
        <v>142</v>
      </c>
      <c r="E6" s="114" t="s">
        <v>93</v>
      </c>
      <c r="F6" s="114" t="s">
        <v>207</v>
      </c>
      <c r="G6" s="114" t="s">
        <v>135</v>
      </c>
      <c r="H6" s="114" t="s">
        <v>136</v>
      </c>
      <c r="I6" s="114" t="s">
        <v>137</v>
      </c>
      <c r="J6" s="114" t="s">
        <v>14</v>
      </c>
      <c r="K6" s="114" t="s">
        <v>14</v>
      </c>
      <c r="L6" s="114" t="s">
        <v>183</v>
      </c>
      <c r="M6" s="114" t="s">
        <v>456</v>
      </c>
      <c r="N6" s="114" t="s">
        <v>378</v>
      </c>
      <c r="O6" s="114"/>
    </row>
    <row r="7" spans="1:15" ht="20.100000000000001" customHeight="1">
      <c r="A7" s="114" t="s">
        <v>128</v>
      </c>
      <c r="B7" s="114" t="s">
        <v>78</v>
      </c>
      <c r="C7" s="114" t="s">
        <v>65</v>
      </c>
      <c r="D7" s="114" t="s">
        <v>64</v>
      </c>
      <c r="E7" s="114" t="s">
        <v>95</v>
      </c>
      <c r="F7" s="114" t="s">
        <v>108</v>
      </c>
      <c r="G7" s="114" t="s">
        <v>145</v>
      </c>
      <c r="H7" s="114" t="s">
        <v>30</v>
      </c>
      <c r="I7" s="114" t="s">
        <v>31</v>
      </c>
      <c r="J7" s="114" t="s">
        <v>196</v>
      </c>
      <c r="K7" s="114" t="s">
        <v>81</v>
      </c>
      <c r="L7" s="114" t="s">
        <v>158</v>
      </c>
      <c r="M7" s="114" t="s">
        <v>380</v>
      </c>
      <c r="N7" s="114" t="s">
        <v>379</v>
      </c>
      <c r="O7" s="114"/>
    </row>
    <row r="8" spans="1:15" ht="20.100000000000001" customHeight="1">
      <c r="A8" s="114" t="s">
        <v>64</v>
      </c>
      <c r="B8" s="114" t="s">
        <v>78</v>
      </c>
      <c r="C8" s="114" t="s">
        <v>65</v>
      </c>
      <c r="D8" s="114" t="s">
        <v>89</v>
      </c>
      <c r="E8" s="114" t="s">
        <v>96</v>
      </c>
      <c r="F8" s="114" t="s">
        <v>208</v>
      </c>
      <c r="G8" s="114" t="s">
        <v>64</v>
      </c>
      <c r="H8" s="114" t="s">
        <v>78</v>
      </c>
      <c r="I8" s="114" t="s">
        <v>65</v>
      </c>
      <c r="J8" s="114" t="s">
        <v>30</v>
      </c>
      <c r="K8" s="114" t="s">
        <v>30</v>
      </c>
      <c r="L8" s="114" t="s">
        <v>168</v>
      </c>
      <c r="M8" s="114" t="s">
        <v>382</v>
      </c>
      <c r="N8" s="114" t="s">
        <v>381</v>
      </c>
      <c r="O8" s="114"/>
    </row>
    <row r="9" spans="1:15" ht="20.100000000000001" customHeight="1">
      <c r="A9" s="114" t="s">
        <v>79</v>
      </c>
      <c r="B9" s="114" t="s">
        <v>80</v>
      </c>
      <c r="C9" s="114" t="s">
        <v>25</v>
      </c>
      <c r="D9" s="114" t="s">
        <v>60</v>
      </c>
      <c r="E9" s="114" t="s">
        <v>105</v>
      </c>
      <c r="F9" s="114"/>
      <c r="G9" s="114" t="s">
        <v>79</v>
      </c>
      <c r="H9" s="114" t="s">
        <v>80</v>
      </c>
      <c r="I9" s="114" t="s">
        <v>25</v>
      </c>
      <c r="J9" s="114" t="s">
        <v>142</v>
      </c>
      <c r="K9" s="114" t="s">
        <v>142</v>
      </c>
      <c r="L9" s="114" t="s">
        <v>167</v>
      </c>
      <c r="M9" s="114" t="s">
        <v>384</v>
      </c>
      <c r="N9" s="114" t="s">
        <v>383</v>
      </c>
      <c r="O9" s="114"/>
    </row>
    <row r="10" spans="1:15" ht="20.100000000000001" customHeight="1">
      <c r="A10" s="114" t="s">
        <v>60</v>
      </c>
      <c r="B10" s="114" t="s">
        <v>60</v>
      </c>
      <c r="C10" s="114" t="s">
        <v>24</v>
      </c>
      <c r="D10" s="114" t="s">
        <v>213</v>
      </c>
      <c r="E10" s="114" t="s">
        <v>93</v>
      </c>
      <c r="F10" s="114" t="s">
        <v>94</v>
      </c>
      <c r="G10" s="114" t="s">
        <v>60</v>
      </c>
      <c r="H10" s="114" t="s">
        <v>60</v>
      </c>
      <c r="I10" s="114" t="s">
        <v>24</v>
      </c>
      <c r="J10" s="114" t="s">
        <v>170</v>
      </c>
      <c r="K10" s="114" t="s">
        <v>170</v>
      </c>
      <c r="L10" s="114" t="s">
        <v>171</v>
      </c>
      <c r="M10" s="114" t="s">
        <v>386</v>
      </c>
      <c r="N10" s="114" t="s">
        <v>385</v>
      </c>
      <c r="O10" s="114"/>
    </row>
    <row r="11" spans="1:15" ht="20.100000000000001" customHeight="1">
      <c r="A11" s="114" t="s">
        <v>32</v>
      </c>
      <c r="B11" s="114" t="s">
        <v>33</v>
      </c>
      <c r="C11" s="114" t="s">
        <v>34</v>
      </c>
      <c r="D11" s="114" t="s">
        <v>214</v>
      </c>
      <c r="E11" s="114" t="s">
        <v>95</v>
      </c>
      <c r="F11" s="114" t="s">
        <v>102</v>
      </c>
      <c r="G11" s="114" t="s">
        <v>138</v>
      </c>
      <c r="H11" s="114"/>
      <c r="I11" s="114"/>
      <c r="J11" s="114" t="s">
        <v>172</v>
      </c>
      <c r="K11" s="114" t="s">
        <v>172</v>
      </c>
      <c r="L11" s="114" t="s">
        <v>173</v>
      </c>
      <c r="M11" s="114" t="s">
        <v>388</v>
      </c>
      <c r="N11" s="114" t="s">
        <v>387</v>
      </c>
      <c r="O11" s="114"/>
    </row>
    <row r="12" spans="1:15" ht="20.100000000000001" customHeight="1">
      <c r="A12" s="114" t="s">
        <v>17</v>
      </c>
      <c r="B12" s="114" t="s">
        <v>18</v>
      </c>
      <c r="C12" s="114" t="s">
        <v>19</v>
      </c>
      <c r="D12" s="114" t="s">
        <v>9</v>
      </c>
      <c r="E12" s="114" t="s">
        <v>93</v>
      </c>
      <c r="F12" s="114" t="s">
        <v>103</v>
      </c>
      <c r="G12" s="114"/>
      <c r="H12" s="114"/>
      <c r="I12" s="114"/>
      <c r="J12" s="114" t="s">
        <v>193</v>
      </c>
      <c r="K12" s="114" t="s">
        <v>151</v>
      </c>
      <c r="L12" s="114" t="s">
        <v>152</v>
      </c>
      <c r="M12" s="114" t="s">
        <v>390</v>
      </c>
      <c r="N12" s="114" t="s">
        <v>389</v>
      </c>
      <c r="O12" s="114"/>
    </row>
    <row r="13" spans="1:15" ht="20.100000000000001" customHeight="1">
      <c r="A13" s="114" t="s">
        <v>57</v>
      </c>
      <c r="B13" s="114" t="s">
        <v>57</v>
      </c>
      <c r="C13" s="114" t="s">
        <v>58</v>
      </c>
      <c r="D13" s="114" t="s">
        <v>215</v>
      </c>
      <c r="E13" s="114" t="s">
        <v>96</v>
      </c>
      <c r="F13" s="114" t="s">
        <v>97</v>
      </c>
      <c r="G13" s="114"/>
      <c r="H13" s="114"/>
      <c r="I13" s="114"/>
      <c r="J13" s="114" t="s">
        <v>195</v>
      </c>
      <c r="K13" s="114" t="s">
        <v>155</v>
      </c>
      <c r="L13" s="114" t="s">
        <v>156</v>
      </c>
      <c r="M13" s="114" t="s">
        <v>392</v>
      </c>
      <c r="N13" s="114" t="s">
        <v>391</v>
      </c>
      <c r="O13" s="114"/>
    </row>
    <row r="14" spans="1:15" ht="20.100000000000001" customHeight="1">
      <c r="A14" s="114" t="s">
        <v>14</v>
      </c>
      <c r="B14" s="114" t="s">
        <v>14</v>
      </c>
      <c r="C14" s="114" t="s">
        <v>15</v>
      </c>
      <c r="D14" s="114" t="s">
        <v>57</v>
      </c>
      <c r="E14" s="114" t="s">
        <v>98</v>
      </c>
      <c r="F14" s="114" t="s">
        <v>99</v>
      </c>
      <c r="G14" s="114"/>
      <c r="H14" s="114"/>
      <c r="I14" s="114"/>
      <c r="J14" s="141" t="s">
        <v>74</v>
      </c>
      <c r="K14" s="141" t="s">
        <v>74</v>
      </c>
      <c r="L14" s="114" t="s">
        <v>149</v>
      </c>
      <c r="M14" s="141" t="s">
        <v>457</v>
      </c>
      <c r="N14" s="141" t="s">
        <v>393</v>
      </c>
      <c r="O14" s="141"/>
    </row>
    <row r="15" spans="1:15" ht="20.100000000000001" customHeight="1">
      <c r="A15" s="114" t="s">
        <v>12</v>
      </c>
      <c r="B15" s="114" t="s">
        <v>13</v>
      </c>
      <c r="C15" s="114" t="s">
        <v>82</v>
      </c>
      <c r="D15" s="114" t="s">
        <v>146</v>
      </c>
      <c r="E15" s="114" t="s">
        <v>100</v>
      </c>
      <c r="F15" s="114" t="s">
        <v>101</v>
      </c>
      <c r="G15" s="114"/>
      <c r="H15" s="114"/>
      <c r="I15" s="114"/>
      <c r="J15" s="114" t="s">
        <v>46</v>
      </c>
      <c r="K15" s="114" t="s">
        <v>46</v>
      </c>
      <c r="L15" s="114" t="s">
        <v>176</v>
      </c>
      <c r="M15" s="114" t="s">
        <v>396</v>
      </c>
      <c r="N15" s="114" t="s">
        <v>395</v>
      </c>
      <c r="O15" s="114"/>
    </row>
    <row r="16" spans="1:15" ht="20.100000000000001" customHeight="1">
      <c r="A16" s="114" t="s">
        <v>10</v>
      </c>
      <c r="B16" s="114" t="s">
        <v>9</v>
      </c>
      <c r="C16" s="114" t="s">
        <v>11</v>
      </c>
      <c r="D16" s="114" t="s">
        <v>79</v>
      </c>
      <c r="E16" s="114" t="s">
        <v>104</v>
      </c>
      <c r="F16" s="114"/>
      <c r="G16" s="114"/>
      <c r="H16" s="114"/>
      <c r="I16" s="114"/>
      <c r="J16" s="114" t="s">
        <v>198</v>
      </c>
      <c r="K16" s="114" t="s">
        <v>160</v>
      </c>
      <c r="L16" s="114" t="s">
        <v>161</v>
      </c>
      <c r="M16" s="114" t="s">
        <v>399</v>
      </c>
      <c r="N16" s="114" t="s">
        <v>397</v>
      </c>
      <c r="O16" s="114"/>
    </row>
    <row r="17" spans="1:15" ht="20.100000000000001" customHeight="1">
      <c r="A17" s="114" t="s">
        <v>26</v>
      </c>
      <c r="B17" s="114" t="s">
        <v>26</v>
      </c>
      <c r="C17" s="114" t="s">
        <v>27</v>
      </c>
      <c r="D17" s="114" t="s">
        <v>216</v>
      </c>
      <c r="E17" s="114" t="s">
        <v>104</v>
      </c>
      <c r="F17" s="114"/>
      <c r="G17" s="114"/>
      <c r="H17" s="114"/>
      <c r="I17" s="114"/>
      <c r="J17" s="114" t="s">
        <v>164</v>
      </c>
      <c r="K17" s="114" t="s">
        <v>164</v>
      </c>
      <c r="L17" s="114"/>
      <c r="M17" s="114"/>
      <c r="N17" s="114"/>
      <c r="O17" s="114"/>
    </row>
    <row r="18" spans="1:15" ht="20.100000000000001" customHeight="1">
      <c r="A18" s="114" t="s">
        <v>35</v>
      </c>
      <c r="B18" s="114" t="s">
        <v>35</v>
      </c>
      <c r="C18" s="114" t="s">
        <v>36</v>
      </c>
      <c r="D18" s="114" t="s">
        <v>217</v>
      </c>
      <c r="E18" s="114" t="s">
        <v>106</v>
      </c>
      <c r="F18" s="114"/>
      <c r="G18" s="114"/>
      <c r="H18" s="114"/>
      <c r="I18" s="114"/>
      <c r="J18" s="114" t="s">
        <v>194</v>
      </c>
      <c r="K18" s="114" t="s">
        <v>153</v>
      </c>
      <c r="L18" s="114" t="s">
        <v>154</v>
      </c>
      <c r="M18" s="114"/>
      <c r="N18" s="114"/>
      <c r="O18" s="114"/>
    </row>
    <row r="19" spans="1:15" ht="20.100000000000001" customHeight="1">
      <c r="A19" s="114" t="s">
        <v>44</v>
      </c>
      <c r="B19" s="114" t="s">
        <v>44</v>
      </c>
      <c r="C19" s="114" t="s">
        <v>45</v>
      </c>
      <c r="D19" s="114" t="s">
        <v>218</v>
      </c>
      <c r="E19" s="114" t="s">
        <v>107</v>
      </c>
      <c r="F19" s="114"/>
      <c r="G19" s="114"/>
      <c r="H19" s="114"/>
      <c r="I19" s="114"/>
      <c r="J19" s="114" t="s">
        <v>199</v>
      </c>
      <c r="K19" s="114" t="s">
        <v>162</v>
      </c>
      <c r="L19" s="114" t="s">
        <v>163</v>
      </c>
      <c r="M19" s="114"/>
      <c r="N19" s="114"/>
      <c r="O19" s="114"/>
    </row>
    <row r="20" spans="1:15" ht="20.100000000000001" customHeight="1">
      <c r="A20" s="114" t="s">
        <v>22</v>
      </c>
      <c r="B20" s="114" t="s">
        <v>22</v>
      </c>
      <c r="C20" s="114" t="s">
        <v>23</v>
      </c>
      <c r="D20" s="114"/>
      <c r="E20" s="114"/>
      <c r="F20" s="114"/>
      <c r="G20" s="114"/>
      <c r="H20" s="114"/>
      <c r="I20" s="114"/>
      <c r="J20" s="114" t="s">
        <v>55</v>
      </c>
      <c r="K20" s="114" t="s">
        <v>55</v>
      </c>
      <c r="L20" s="114" t="s">
        <v>157</v>
      </c>
      <c r="M20" s="114"/>
      <c r="N20" s="114"/>
      <c r="O20" s="114"/>
    </row>
    <row r="21" spans="1:15" ht="20.100000000000001" customHeight="1">
      <c r="A21" s="114" t="s">
        <v>83</v>
      </c>
      <c r="B21" s="114" t="s">
        <v>84</v>
      </c>
      <c r="C21" s="114" t="s">
        <v>16</v>
      </c>
      <c r="D21" s="114"/>
      <c r="E21" s="114"/>
      <c r="F21" s="114"/>
      <c r="G21" s="114"/>
      <c r="H21" s="114"/>
      <c r="I21" s="114"/>
      <c r="J21" s="114" t="s">
        <v>165</v>
      </c>
      <c r="K21" s="114" t="s">
        <v>165</v>
      </c>
      <c r="L21" s="114" t="s">
        <v>166</v>
      </c>
      <c r="M21" s="114"/>
      <c r="N21" s="114"/>
      <c r="O21" s="114"/>
    </row>
    <row r="22" spans="1:15" ht="20.100000000000001" customHeight="1">
      <c r="A22" s="114" t="s">
        <v>46</v>
      </c>
      <c r="B22" s="114" t="s">
        <v>46</v>
      </c>
      <c r="C22" s="114" t="s">
        <v>47</v>
      </c>
      <c r="D22" s="114"/>
      <c r="E22" s="114"/>
      <c r="F22" s="114"/>
      <c r="G22" s="114"/>
      <c r="H22" s="114"/>
      <c r="I22" s="114"/>
      <c r="J22" s="114" t="s">
        <v>57</v>
      </c>
      <c r="K22" s="114" t="s">
        <v>57</v>
      </c>
      <c r="L22" s="114" t="s">
        <v>148</v>
      </c>
      <c r="M22" s="114"/>
      <c r="N22" s="114"/>
      <c r="O22" s="114"/>
    </row>
    <row r="23" spans="1:15" ht="20.100000000000001" customHeight="1">
      <c r="A23" s="114" t="s">
        <v>85</v>
      </c>
      <c r="B23" s="114" t="s">
        <v>86</v>
      </c>
      <c r="C23" s="114" t="s">
        <v>39</v>
      </c>
      <c r="D23" s="114"/>
      <c r="E23" s="114"/>
      <c r="F23" s="114"/>
      <c r="G23" s="114"/>
      <c r="H23" s="114"/>
      <c r="I23" s="114"/>
      <c r="J23" s="114" t="s">
        <v>174</v>
      </c>
      <c r="K23" s="114" t="s">
        <v>174</v>
      </c>
      <c r="L23" s="114" t="s">
        <v>175</v>
      </c>
      <c r="M23" s="114"/>
      <c r="N23" s="114"/>
      <c r="O23" s="114"/>
    </row>
    <row r="24" spans="1:15" ht="20.100000000000001" customHeight="1">
      <c r="A24" s="114" t="s">
        <v>62</v>
      </c>
      <c r="B24" s="114" t="s">
        <v>87</v>
      </c>
      <c r="C24" s="114" t="s">
        <v>63</v>
      </c>
      <c r="D24" s="113"/>
      <c r="E24" s="113"/>
      <c r="F24" s="113"/>
      <c r="G24" s="114"/>
      <c r="H24" s="114"/>
      <c r="I24" s="114"/>
      <c r="J24" s="114" t="s">
        <v>191</v>
      </c>
      <c r="K24" s="114" t="s">
        <v>191</v>
      </c>
      <c r="L24" s="114" t="s">
        <v>192</v>
      </c>
      <c r="M24" s="114"/>
      <c r="N24" s="114"/>
      <c r="O24" s="114"/>
    </row>
    <row r="25" spans="1:15" ht="20.100000000000001" customHeight="1">
      <c r="A25" s="114" t="s">
        <v>66</v>
      </c>
      <c r="B25" s="114" t="s">
        <v>88</v>
      </c>
      <c r="C25" s="114" t="s">
        <v>67</v>
      </c>
      <c r="D25" s="114"/>
      <c r="E25" s="114"/>
      <c r="F25" s="114"/>
      <c r="G25" s="114"/>
      <c r="H25" s="114"/>
      <c r="I25" s="114"/>
      <c r="J25" s="114" t="s">
        <v>184</v>
      </c>
      <c r="K25" s="114" t="s">
        <v>184</v>
      </c>
      <c r="L25" s="114" t="s">
        <v>185</v>
      </c>
      <c r="M25" s="114"/>
      <c r="N25" s="114"/>
      <c r="O25" s="114"/>
    </row>
    <row r="26" spans="1:15" ht="20.100000000000001" customHeight="1">
      <c r="A26" s="114" t="s">
        <v>89</v>
      </c>
      <c r="B26" s="114" t="s">
        <v>90</v>
      </c>
      <c r="C26" s="114" t="s">
        <v>61</v>
      </c>
      <c r="D26" s="114"/>
      <c r="E26" s="114"/>
      <c r="F26" s="114"/>
      <c r="G26" s="114"/>
      <c r="H26" s="114"/>
      <c r="I26" s="114"/>
      <c r="J26" s="114" t="s">
        <v>60</v>
      </c>
      <c r="K26" s="114" t="s">
        <v>60</v>
      </c>
      <c r="L26" s="114"/>
      <c r="M26" s="114"/>
      <c r="N26" s="114"/>
      <c r="O26" s="114"/>
    </row>
    <row r="27" spans="1:15" ht="20.100000000000001" customHeight="1">
      <c r="A27" s="114" t="s">
        <v>91</v>
      </c>
      <c r="B27" s="114" t="s">
        <v>92</v>
      </c>
      <c r="C27" s="114" t="s">
        <v>48</v>
      </c>
      <c r="D27" s="114"/>
      <c r="E27" s="114"/>
      <c r="F27" s="114"/>
      <c r="G27" s="114"/>
      <c r="H27" s="114"/>
      <c r="I27" s="114"/>
      <c r="J27" s="114" t="s">
        <v>89</v>
      </c>
      <c r="K27" s="114" t="s">
        <v>89</v>
      </c>
      <c r="L27" s="114" t="s">
        <v>169</v>
      </c>
      <c r="M27" s="114"/>
      <c r="N27" s="114"/>
      <c r="O27" s="114"/>
    </row>
    <row r="28" spans="1:15" ht="20.100000000000001" customHeight="1">
      <c r="A28" s="114" t="s">
        <v>55</v>
      </c>
      <c r="B28" s="114" t="s">
        <v>55</v>
      </c>
      <c r="C28" s="114" t="s">
        <v>56</v>
      </c>
      <c r="D28" s="114"/>
      <c r="E28" s="114"/>
      <c r="F28" s="114"/>
      <c r="G28" s="114"/>
      <c r="H28" s="114"/>
      <c r="I28" s="114"/>
      <c r="J28" s="114" t="s">
        <v>64</v>
      </c>
      <c r="K28" s="114" t="s">
        <v>64</v>
      </c>
      <c r="L28" s="114" t="s">
        <v>190</v>
      </c>
      <c r="M28" s="114"/>
      <c r="N28" s="114"/>
      <c r="O28" s="114"/>
    </row>
    <row r="29" spans="1:15" ht="20.100000000000001" customHeight="1">
      <c r="A29" s="114" t="s">
        <v>28</v>
      </c>
      <c r="B29" s="114" t="s">
        <v>28</v>
      </c>
      <c r="C29" s="114" t="s">
        <v>29</v>
      </c>
      <c r="D29" s="114"/>
      <c r="E29" s="114"/>
      <c r="F29" s="114"/>
      <c r="G29" s="114"/>
      <c r="H29" s="114"/>
      <c r="I29" s="114"/>
      <c r="J29" s="114" t="s">
        <v>146</v>
      </c>
      <c r="K29" s="114" t="s">
        <v>146</v>
      </c>
      <c r="L29" s="114" t="s">
        <v>147</v>
      </c>
      <c r="M29" s="114"/>
      <c r="N29" s="114"/>
      <c r="O29" s="114"/>
    </row>
    <row r="30" spans="1:15" ht="20.100000000000001" customHeight="1">
      <c r="A30" s="114" t="s">
        <v>51</v>
      </c>
      <c r="B30" s="114" t="s">
        <v>51</v>
      </c>
      <c r="C30" s="114" t="s">
        <v>52</v>
      </c>
      <c r="D30" s="114"/>
      <c r="E30" s="114"/>
      <c r="F30" s="114"/>
      <c r="G30" s="114"/>
      <c r="H30" s="114"/>
      <c r="I30" s="114"/>
      <c r="J30" s="114" t="s">
        <v>188</v>
      </c>
      <c r="K30" s="114" t="s">
        <v>188</v>
      </c>
      <c r="L30" s="114" t="s">
        <v>189</v>
      </c>
      <c r="M30" s="114"/>
      <c r="N30" s="114"/>
      <c r="O30" s="114"/>
    </row>
    <row r="31" spans="1:15" ht="20.100000000000001" customHeight="1">
      <c r="A31" s="114" t="s">
        <v>20</v>
      </c>
      <c r="B31" s="114" t="s">
        <v>20</v>
      </c>
      <c r="C31" s="114" t="s">
        <v>21</v>
      </c>
      <c r="D31" s="114"/>
      <c r="E31" s="114"/>
      <c r="F31" s="114"/>
      <c r="G31" s="114"/>
      <c r="H31" s="114"/>
      <c r="I31" s="114"/>
      <c r="J31" s="114" t="s">
        <v>201</v>
      </c>
      <c r="K31" s="114" t="s">
        <v>179</v>
      </c>
      <c r="L31" s="114" t="s">
        <v>180</v>
      </c>
      <c r="M31" s="114"/>
      <c r="N31" s="114"/>
      <c r="O31" s="114"/>
    </row>
    <row r="32" spans="1:15" ht="20.100000000000001" customHeight="1">
      <c r="A32" s="114" t="s">
        <v>49</v>
      </c>
      <c r="B32" s="114" t="s">
        <v>49</v>
      </c>
      <c r="C32" s="114" t="s">
        <v>50</v>
      </c>
      <c r="D32" s="114"/>
      <c r="E32" s="114"/>
      <c r="F32" s="114"/>
      <c r="G32" s="114"/>
      <c r="H32" s="114"/>
      <c r="I32" s="114"/>
      <c r="J32" s="114" t="s">
        <v>197</v>
      </c>
      <c r="K32" s="114" t="s">
        <v>77</v>
      </c>
      <c r="L32" s="114" t="s">
        <v>159</v>
      </c>
      <c r="M32" s="114"/>
      <c r="N32" s="114"/>
      <c r="O32" s="114"/>
    </row>
    <row r="33" spans="1:15" ht="20.100000000000001" customHeight="1">
      <c r="A33" s="114" t="s">
        <v>42</v>
      </c>
      <c r="B33" s="114" t="s">
        <v>42</v>
      </c>
      <c r="C33" s="114" t="s">
        <v>43</v>
      </c>
      <c r="D33" s="114"/>
      <c r="E33" s="114"/>
      <c r="F33" s="114"/>
      <c r="G33" s="114"/>
      <c r="H33" s="114"/>
      <c r="I33" s="114"/>
      <c r="J33" s="114" t="s">
        <v>202</v>
      </c>
      <c r="K33" s="114" t="s">
        <v>181</v>
      </c>
      <c r="L33" s="114" t="s">
        <v>182</v>
      </c>
      <c r="M33" s="114"/>
      <c r="N33" s="114"/>
      <c r="O33" s="114"/>
    </row>
    <row r="34" spans="1:15" ht="20.100000000000001" customHeight="1">
      <c r="A34" s="114" t="s">
        <v>53</v>
      </c>
      <c r="B34" s="114" t="s">
        <v>53</v>
      </c>
      <c r="C34" s="114" t="s">
        <v>54</v>
      </c>
      <c r="D34" s="114"/>
      <c r="E34" s="114"/>
      <c r="F34" s="114"/>
      <c r="G34" s="114"/>
      <c r="H34" s="114"/>
      <c r="I34" s="114"/>
      <c r="J34" s="114" t="s">
        <v>186</v>
      </c>
      <c r="K34" s="114" t="s">
        <v>186</v>
      </c>
      <c r="L34" s="114" t="s">
        <v>187</v>
      </c>
      <c r="M34" s="114"/>
      <c r="N34" s="114"/>
      <c r="O34" s="114"/>
    </row>
    <row r="35" spans="1:15" ht="20.100000000000001" customHeight="1">
      <c r="A35" s="114" t="s">
        <v>40</v>
      </c>
      <c r="B35" s="114" t="s">
        <v>40</v>
      </c>
      <c r="C35" s="114" t="s">
        <v>41</v>
      </c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</row>
    <row r="36" spans="1:15" ht="20.100000000000001" customHeight="1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</row>
    <row r="37" spans="1:15" ht="20.100000000000001" customHeight="1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</row>
    <row r="38" spans="1:15" ht="20.100000000000001" customHeight="1">
      <c r="A38" s="114"/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</row>
    <row r="39" spans="1:15" ht="20.100000000000001" customHeight="1">
      <c r="A39" s="114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</row>
    <row r="40" spans="1:15" ht="20.100000000000001" customHeight="1">
      <c r="A40" s="142"/>
      <c r="B40" s="142"/>
      <c r="C40" s="142"/>
      <c r="D40" s="142"/>
      <c r="E40" s="142"/>
      <c r="F40" s="142"/>
      <c r="G40" s="142"/>
      <c r="H40" s="142"/>
      <c r="I40" s="142"/>
      <c r="J40" s="143"/>
      <c r="K40" s="142"/>
      <c r="L40" s="142"/>
      <c r="M40" s="143"/>
      <c r="N40" s="143"/>
      <c r="O40" s="142"/>
    </row>
    <row r="41" spans="1:15" ht="20.100000000000001" customHeight="1">
      <c r="J41" s="90"/>
      <c r="M41" s="90"/>
    </row>
    <row r="42" spans="1:15" ht="20.100000000000001" customHeight="1">
      <c r="J42" s="90"/>
      <c r="M42" s="90"/>
    </row>
    <row r="43" spans="1:15" ht="20.100000000000001" customHeight="1">
      <c r="J43" s="90"/>
      <c r="M43" s="90"/>
    </row>
    <row r="44" spans="1:15" ht="20.100000000000001" customHeight="1">
      <c r="J44" s="90"/>
      <c r="M44" s="90"/>
    </row>
    <row r="45" spans="1:15" ht="20.100000000000001" customHeight="1">
      <c r="J45" s="90"/>
      <c r="M45" s="90"/>
    </row>
    <row r="46" spans="1:15" ht="20.100000000000001" customHeight="1">
      <c r="J46" s="90"/>
      <c r="M46" s="90"/>
    </row>
    <row r="47" spans="1:15" ht="20.100000000000001" customHeight="1">
      <c r="J47" s="90"/>
      <c r="M47" s="90"/>
    </row>
    <row r="48" spans="1:15" ht="20.100000000000001" customHeight="1">
      <c r="J48" s="90"/>
      <c r="M48" s="90"/>
    </row>
    <row r="49" spans="10:13" ht="20.100000000000001" customHeight="1">
      <c r="J49" s="90"/>
      <c r="M49" s="90"/>
    </row>
    <row r="50" spans="10:13" ht="20.100000000000001" customHeight="1">
      <c r="J50" s="90"/>
      <c r="M50" s="90"/>
    </row>
    <row r="51" spans="10:13" ht="20.100000000000001" customHeight="1">
      <c r="J51" s="90"/>
      <c r="M51" s="90"/>
    </row>
    <row r="52" spans="10:13" ht="20.100000000000001" customHeight="1">
      <c r="J52" s="90"/>
      <c r="M52" s="90"/>
    </row>
    <row r="53" spans="10:13" ht="20.100000000000001" customHeight="1">
      <c r="J53" s="90"/>
      <c r="M53" s="90"/>
    </row>
    <row r="54" spans="10:13" ht="20.100000000000001" customHeight="1">
      <c r="J54" s="90"/>
      <c r="M54" s="90"/>
    </row>
    <row r="55" spans="10:13" ht="20.100000000000001" customHeight="1">
      <c r="J55" s="90"/>
      <c r="M55" s="90"/>
    </row>
    <row r="56" spans="10:13" ht="20.100000000000001" customHeight="1">
      <c r="J56" s="90"/>
      <c r="M56" s="90"/>
    </row>
    <row r="57" spans="10:13" ht="20.100000000000001" customHeight="1">
      <c r="J57" s="90"/>
      <c r="M57" s="90"/>
    </row>
    <row r="58" spans="10:13" ht="20.100000000000001" customHeight="1">
      <c r="J58" s="90"/>
      <c r="M58" s="90"/>
    </row>
    <row r="59" spans="10:13" ht="20.100000000000001" customHeight="1">
      <c r="J59" s="90"/>
      <c r="M59" s="90"/>
    </row>
    <row r="60" spans="10:13" ht="20.100000000000001" customHeight="1">
      <c r="J60" s="90"/>
      <c r="M60" s="90"/>
    </row>
    <row r="61" spans="10:13" ht="20.100000000000001" customHeight="1">
      <c r="J61" s="90"/>
      <c r="M61" s="90"/>
    </row>
    <row r="62" spans="10:13" ht="20.100000000000001" customHeight="1">
      <c r="J62" s="90"/>
      <c r="M62" s="90"/>
    </row>
    <row r="63" spans="10:13" ht="20.100000000000001" customHeight="1">
      <c r="J63" s="90"/>
      <c r="M63" s="90"/>
    </row>
    <row r="64" spans="10:13" ht="20.100000000000001" customHeight="1">
      <c r="J64" s="90"/>
      <c r="M64" s="90"/>
    </row>
    <row r="65" spans="10:13" ht="20.100000000000001" customHeight="1">
      <c r="J65" s="90"/>
      <c r="M65" s="90"/>
    </row>
    <row r="66" spans="10:13" ht="20.100000000000001" customHeight="1">
      <c r="J66" s="90"/>
      <c r="M66" s="90"/>
    </row>
    <row r="67" spans="10:13" ht="20.100000000000001" customHeight="1">
      <c r="J67" s="90"/>
      <c r="M67" s="90"/>
    </row>
    <row r="68" spans="10:13" ht="20.100000000000001" customHeight="1">
      <c r="J68" s="90"/>
      <c r="M68" s="90"/>
    </row>
    <row r="69" spans="10:13" ht="20.100000000000001" customHeight="1">
      <c r="J69" s="90"/>
      <c r="M69" s="90"/>
    </row>
    <row r="70" spans="10:13" ht="20.100000000000001" customHeight="1">
      <c r="J70" s="90"/>
      <c r="M70" s="90"/>
    </row>
    <row r="71" spans="10:13" ht="20.100000000000001" customHeight="1">
      <c r="J71" s="90"/>
      <c r="M71" s="90"/>
    </row>
    <row r="72" spans="10:13" ht="20.100000000000001" customHeight="1">
      <c r="J72" s="90"/>
      <c r="M72" s="90"/>
    </row>
    <row r="73" spans="10:13" ht="20.100000000000001" customHeight="1">
      <c r="J73" s="90"/>
      <c r="M73" s="90"/>
    </row>
  </sheetData>
  <sortState ref="J3:M35">
    <sortCondition ref="J3:J35"/>
  </sortState>
  <customSheetViews>
    <customSheetView guid="{11FF3D1A-B611-4935-A0EC-72FFAD7F9EAF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1"/>
      <headerFooter alignWithMargins="0"/>
    </customSheetView>
    <customSheetView guid="{1D8BE6F4-405A-4FC6-B1E3-D9618F9FD7A8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2"/>
      <headerFooter alignWithMargins="0"/>
    </customSheetView>
    <customSheetView guid="{898DF6CC-64C7-4F2D-A13E-0A476B60DF75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3"/>
      <headerFooter alignWithMargins="0"/>
    </customSheetView>
    <customSheetView guid="{809E84AF-EE5E-4456-99E6-0390B35F6AD9}" scale="80" showGridLines="0">
      <pane ySplit="2" topLeftCell="A3" activePane="bottomLeft" state="frozen"/>
      <selection pane="bottomLeft" sqref="A1:D1"/>
      <pageMargins left="0.75" right="0.75" top="1" bottom="1" header="0.51200000000000001" footer="0.51200000000000001"/>
      <pageSetup paperSize="9" orientation="portrait" verticalDpi="0" r:id="rId4"/>
      <headerFooter alignWithMargins="0"/>
    </customSheetView>
  </customSheetViews>
  <phoneticPr fontId="4"/>
  <pageMargins left="0.75" right="0.75" top="1" bottom="1" header="0.51200000000000001" footer="0.51200000000000001"/>
  <pageSetup paperSize="9" orientation="portrait" verticalDpi="0" r:id="rId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_CopyLine"/>
  <dimension ref="A1"/>
  <sheetViews>
    <sheetView showGridLines="0" workbookViewId="0">
      <selection activeCell="N27" sqref="A1:XFD1048576"/>
    </sheetView>
  </sheetViews>
  <sheetFormatPr defaultRowHeight="15"/>
  <sheetData/>
  <phoneticPr fontId="1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5_CopySheet"/>
  <dimension ref="A1:AB75"/>
  <sheetViews>
    <sheetView showGridLines="0" zoomScaleNormal="100" workbookViewId="0">
      <pane ySplit="8" topLeftCell="A49" activePane="bottomLeft" state="frozen"/>
      <selection activeCell="T23" sqref="T23"/>
      <selection pane="bottomLeft" activeCell="E71" sqref="E71"/>
    </sheetView>
  </sheetViews>
  <sheetFormatPr defaultColWidth="11.7109375" defaultRowHeight="18" customHeight="1"/>
  <cols>
    <col min="1" max="1" width="12.85546875" style="98" bestFit="1" customWidth="1"/>
    <col min="2" max="2" width="3.42578125" style="98" customWidth="1"/>
    <col min="3" max="3" width="5.7109375" style="18" customWidth="1"/>
    <col min="4" max="5" width="40.7109375" style="18" customWidth="1"/>
    <col min="6" max="6" width="15.7109375" style="18" customWidth="1"/>
    <col min="7" max="7" width="11.85546875" style="18" customWidth="1"/>
    <col min="8" max="18" width="3" style="18" customWidth="1"/>
    <col min="19" max="19" width="11.7109375" style="18" customWidth="1"/>
    <col min="20" max="20" width="15.7109375" style="18" customWidth="1"/>
    <col min="21" max="21" width="20.7109375" style="18" customWidth="1"/>
    <col min="22" max="22" width="15.7109375" style="18" customWidth="1"/>
    <col min="23" max="23" width="20.7109375" style="18" customWidth="1"/>
    <col min="24" max="24" width="9" style="87" customWidth="1"/>
    <col min="27" max="16384" width="11.7109375" style="18"/>
  </cols>
  <sheetData>
    <row r="1" spans="1:28" ht="15" customHeight="1" thickBot="1">
      <c r="A1" s="138">
        <f>COLUMN()</f>
        <v>1</v>
      </c>
      <c r="B1" s="138">
        <f>COLUMN()</f>
        <v>2</v>
      </c>
      <c r="C1" s="138">
        <f>COLUMN()</f>
        <v>3</v>
      </c>
      <c r="D1" s="138">
        <f>COLUMN()</f>
        <v>4</v>
      </c>
      <c r="E1" s="138">
        <f>COLUMN()</f>
        <v>5</v>
      </c>
      <c r="F1" s="138">
        <f>COLUMN()</f>
        <v>6</v>
      </c>
      <c r="G1" s="138">
        <f>COLUMN()</f>
        <v>7</v>
      </c>
      <c r="H1" s="138">
        <f>COLUMN()</f>
        <v>8</v>
      </c>
      <c r="I1" s="138">
        <f>COLUMN()</f>
        <v>9</v>
      </c>
      <c r="J1" s="138">
        <f>COLUMN()</f>
        <v>10</v>
      </c>
      <c r="K1" s="138">
        <f>COLUMN()</f>
        <v>11</v>
      </c>
      <c r="L1" s="138">
        <f>COLUMN()</f>
        <v>12</v>
      </c>
      <c r="M1" s="138">
        <f>COLUMN()</f>
        <v>13</v>
      </c>
      <c r="N1" s="138">
        <f>COLUMN()</f>
        <v>14</v>
      </c>
      <c r="O1" s="138">
        <f>COLUMN()</f>
        <v>15</v>
      </c>
      <c r="P1" s="138">
        <f>COLUMN()</f>
        <v>16</v>
      </c>
      <c r="Q1" s="138">
        <f>COLUMN()</f>
        <v>17</v>
      </c>
      <c r="R1" s="138">
        <f>COLUMN()</f>
        <v>18</v>
      </c>
      <c r="S1" s="138">
        <f>COLUMN()</f>
        <v>19</v>
      </c>
      <c r="T1" s="138">
        <f>COLUMN()</f>
        <v>20</v>
      </c>
      <c r="U1" s="138">
        <f>COLUMN()</f>
        <v>21</v>
      </c>
      <c r="V1" s="138">
        <f>COLUMN()</f>
        <v>22</v>
      </c>
      <c r="W1" s="138">
        <f>COLUMN()</f>
        <v>23</v>
      </c>
      <c r="AA1"/>
    </row>
    <row r="2" spans="1:28" ht="18" customHeight="1">
      <c r="A2" s="140"/>
      <c r="B2" s="140"/>
      <c r="C2" s="268"/>
      <c r="D2" s="269"/>
      <c r="E2" s="270"/>
      <c r="F2" s="196" t="s">
        <v>357</v>
      </c>
      <c r="G2" s="221" t="str">
        <f>ProjectName</f>
        <v>○△□プロジェクト</v>
      </c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3"/>
      <c r="T2" s="99" t="s">
        <v>3</v>
      </c>
      <c r="U2" s="237" t="str">
        <f>CreateBy</f>
        <v>○○　✕✕</v>
      </c>
      <c r="V2" s="99" t="s">
        <v>4</v>
      </c>
      <c r="W2" s="198">
        <f>CreateAt</f>
        <v>44287</v>
      </c>
      <c r="AA2"/>
    </row>
    <row r="3" spans="1:28" ht="18" customHeight="1" thickBot="1">
      <c r="C3" s="271"/>
      <c r="D3" s="272"/>
      <c r="E3" s="273"/>
      <c r="F3" s="194" t="s">
        <v>358</v>
      </c>
      <c r="G3" s="224" t="str">
        <f>systemName</f>
        <v>○✕システム</v>
      </c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6"/>
      <c r="T3" s="100" t="s">
        <v>6</v>
      </c>
      <c r="U3" s="239"/>
      <c r="V3" s="100" t="s">
        <v>7</v>
      </c>
      <c r="W3" s="199"/>
      <c r="X3" s="201"/>
      <c r="AA3"/>
      <c r="AB3" s="234"/>
    </row>
    <row r="4" spans="1:28" ht="5.25" customHeight="1" thickBot="1">
      <c r="C4" s="267"/>
      <c r="D4" s="267"/>
      <c r="AA4"/>
    </row>
    <row r="5" spans="1:28" ht="18" customHeight="1">
      <c r="B5" s="98" t="s">
        <v>459</v>
      </c>
      <c r="C5" s="274" t="s">
        <v>212</v>
      </c>
      <c r="D5" s="275"/>
      <c r="E5" s="255"/>
      <c r="F5" s="196" t="s">
        <v>359</v>
      </c>
      <c r="G5" s="276" t="s">
        <v>545</v>
      </c>
      <c r="H5" s="277"/>
      <c r="I5" s="277"/>
      <c r="J5" s="277"/>
      <c r="K5" s="277"/>
      <c r="L5" s="277"/>
      <c r="M5" s="259"/>
      <c r="N5" s="259"/>
      <c r="O5" s="259"/>
      <c r="P5" s="259"/>
      <c r="Q5" s="259"/>
      <c r="R5" s="259"/>
      <c r="S5" s="260"/>
      <c r="T5" s="99" t="s">
        <v>236</v>
      </c>
      <c r="U5" s="256" t="str">
        <f>DBName</f>
        <v>test</v>
      </c>
      <c r="V5" s="99" t="s">
        <v>280</v>
      </c>
      <c r="W5" s="258" t="str">
        <f>IF(Schema&lt;&gt;"",Schema,"")</f>
        <v/>
      </c>
      <c r="AA5"/>
    </row>
    <row r="6" spans="1:28" ht="18" customHeight="1" thickBot="1">
      <c r="C6" s="265" t="s">
        <v>117</v>
      </c>
      <c r="D6" s="266"/>
      <c r="E6" s="278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80"/>
      <c r="T6" s="100" t="s">
        <v>234</v>
      </c>
      <c r="U6" s="257" t="str">
        <f>IF(Instance&lt;&gt;"",Instance,"")</f>
        <v/>
      </c>
      <c r="V6" s="100"/>
      <c r="W6" s="195"/>
      <c r="AA6"/>
    </row>
    <row r="7" spans="1:28" ht="13.5" customHeight="1" thickBot="1"/>
    <row r="8" spans="1:28" ht="18" customHeight="1" thickBot="1">
      <c r="A8" s="98" t="s">
        <v>308</v>
      </c>
      <c r="C8" s="104" t="s">
        <v>296</v>
      </c>
      <c r="D8" s="197" t="s">
        <v>282</v>
      </c>
      <c r="E8" s="197" t="s">
        <v>283</v>
      </c>
      <c r="F8" s="197" t="s">
        <v>1</v>
      </c>
      <c r="G8" s="197" t="s">
        <v>8</v>
      </c>
      <c r="H8" s="243" t="s">
        <v>120</v>
      </c>
      <c r="I8" s="243" t="s">
        <v>121</v>
      </c>
      <c r="J8" s="243" t="s">
        <v>122</v>
      </c>
      <c r="K8" s="243" t="s">
        <v>297</v>
      </c>
      <c r="L8" s="243" t="s">
        <v>294</v>
      </c>
      <c r="M8" s="243" t="s">
        <v>289</v>
      </c>
      <c r="N8" s="243" t="s">
        <v>290</v>
      </c>
      <c r="O8" s="243" t="s">
        <v>291</v>
      </c>
      <c r="P8" s="243" t="s">
        <v>292</v>
      </c>
      <c r="Q8" s="243" t="s">
        <v>293</v>
      </c>
      <c r="R8" s="243" t="s">
        <v>295</v>
      </c>
      <c r="S8" s="105" t="s">
        <v>123</v>
      </c>
      <c r="T8" s="197" t="s">
        <v>115</v>
      </c>
      <c r="U8" s="231" t="s">
        <v>124</v>
      </c>
      <c r="V8" s="232"/>
      <c r="W8" s="233"/>
      <c r="AA8" s="202" t="s">
        <v>460</v>
      </c>
      <c r="AB8" s="203" t="s">
        <v>119</v>
      </c>
    </row>
    <row r="9" spans="1:28" ht="18" customHeight="1">
      <c r="A9" s="98" t="s">
        <v>311</v>
      </c>
      <c r="C9" s="1">
        <f t="shared" ref="C9:C38" si="0">ROW()-8</f>
        <v>1</v>
      </c>
      <c r="D9" s="149"/>
      <c r="E9" s="149"/>
      <c r="F9" s="152"/>
      <c r="G9" s="35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34"/>
      <c r="T9" s="251"/>
      <c r="U9" s="170"/>
      <c r="V9" s="171"/>
      <c r="W9" s="172"/>
      <c r="AA9" s="204" t="str">
        <f t="shared" ref="AA9:AA48" si="1">IF(E9&lt;&gt;"",LEN(E9),"")</f>
        <v/>
      </c>
      <c r="AB9" s="205"/>
    </row>
    <row r="10" spans="1:28" ht="18" customHeight="1">
      <c r="A10" s="98" t="s">
        <v>311</v>
      </c>
      <c r="C10" s="2">
        <f t="shared" si="0"/>
        <v>2</v>
      </c>
      <c r="D10" s="152"/>
      <c r="E10" s="152"/>
      <c r="F10" s="152"/>
      <c r="G10" s="35"/>
      <c r="H10" s="254"/>
      <c r="I10" s="254"/>
      <c r="J10" s="254"/>
      <c r="K10" s="254"/>
      <c r="L10" s="254"/>
      <c r="M10" s="254"/>
      <c r="N10" s="254"/>
      <c r="O10" s="254"/>
      <c r="P10" s="254"/>
      <c r="Q10" s="254"/>
      <c r="R10" s="254"/>
      <c r="S10" s="34"/>
      <c r="T10" s="252"/>
      <c r="U10" s="164"/>
      <c r="V10" s="165"/>
      <c r="W10" s="166"/>
      <c r="AA10" s="204" t="str">
        <f t="shared" si="1"/>
        <v/>
      </c>
      <c r="AB10" s="205"/>
    </row>
    <row r="11" spans="1:28" ht="18" customHeight="1">
      <c r="A11" s="98" t="s">
        <v>311</v>
      </c>
      <c r="C11" s="2">
        <f t="shared" si="0"/>
        <v>3</v>
      </c>
      <c r="D11" s="152"/>
      <c r="E11" s="152"/>
      <c r="F11" s="152"/>
      <c r="G11" s="35"/>
      <c r="H11" s="254"/>
      <c r="I11" s="254"/>
      <c r="J11" s="254"/>
      <c r="K11" s="254"/>
      <c r="L11" s="254"/>
      <c r="M11" s="254"/>
      <c r="N11" s="254"/>
      <c r="O11" s="254"/>
      <c r="P11" s="254"/>
      <c r="Q11" s="254"/>
      <c r="R11" s="254"/>
      <c r="S11" s="34"/>
      <c r="T11" s="252"/>
      <c r="U11" s="164"/>
      <c r="V11" s="165"/>
      <c r="W11" s="166"/>
      <c r="AA11" s="204" t="str">
        <f t="shared" si="1"/>
        <v/>
      </c>
      <c r="AB11" s="205"/>
    </row>
    <row r="12" spans="1:28" ht="18" customHeight="1">
      <c r="A12" s="98" t="s">
        <v>311</v>
      </c>
      <c r="C12" s="2">
        <f t="shared" si="0"/>
        <v>4</v>
      </c>
      <c r="D12" s="152"/>
      <c r="E12" s="152"/>
      <c r="F12" s="152"/>
      <c r="G12" s="35"/>
      <c r="H12" s="254"/>
      <c r="I12" s="254"/>
      <c r="J12" s="254"/>
      <c r="K12" s="254"/>
      <c r="L12" s="254"/>
      <c r="M12" s="254"/>
      <c r="N12" s="254"/>
      <c r="O12" s="254"/>
      <c r="P12" s="254"/>
      <c r="Q12" s="254"/>
      <c r="R12" s="254"/>
      <c r="S12" s="34"/>
      <c r="T12" s="252"/>
      <c r="U12" s="164"/>
      <c r="V12" s="165"/>
      <c r="W12" s="166"/>
      <c r="AA12" s="204" t="str">
        <f t="shared" si="1"/>
        <v/>
      </c>
      <c r="AB12" s="205"/>
    </row>
    <row r="13" spans="1:28" ht="18" customHeight="1">
      <c r="A13" s="98" t="s">
        <v>311</v>
      </c>
      <c r="C13" s="2">
        <f t="shared" si="0"/>
        <v>5</v>
      </c>
      <c r="D13" s="152"/>
      <c r="E13" s="152"/>
      <c r="F13" s="152"/>
      <c r="G13" s="35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34"/>
      <c r="T13" s="252"/>
      <c r="U13" s="164"/>
      <c r="V13" s="165"/>
      <c r="W13" s="166"/>
      <c r="AA13" s="204" t="str">
        <f t="shared" si="1"/>
        <v/>
      </c>
      <c r="AB13" s="205"/>
    </row>
    <row r="14" spans="1:28" ht="18" customHeight="1">
      <c r="A14" s="98" t="s">
        <v>311</v>
      </c>
      <c r="C14" s="2">
        <f t="shared" si="0"/>
        <v>6</v>
      </c>
      <c r="D14" s="152"/>
      <c r="E14" s="152"/>
      <c r="F14" s="152"/>
      <c r="G14" s="35"/>
      <c r="H14" s="254"/>
      <c r="I14" s="254"/>
      <c r="J14" s="254"/>
      <c r="K14" s="254"/>
      <c r="L14" s="254"/>
      <c r="M14" s="254"/>
      <c r="N14" s="254"/>
      <c r="O14" s="254"/>
      <c r="P14" s="254"/>
      <c r="Q14" s="254"/>
      <c r="R14" s="254"/>
      <c r="S14" s="34"/>
      <c r="T14" s="252"/>
      <c r="U14" s="174"/>
      <c r="V14" s="165"/>
      <c r="W14" s="166"/>
      <c r="AA14" s="204" t="str">
        <f t="shared" si="1"/>
        <v/>
      </c>
      <c r="AB14" s="205"/>
    </row>
    <row r="15" spans="1:28" ht="18" customHeight="1">
      <c r="A15" s="98" t="s">
        <v>311</v>
      </c>
      <c r="C15" s="2">
        <f t="shared" si="0"/>
        <v>7</v>
      </c>
      <c r="D15" s="152"/>
      <c r="E15" s="152"/>
      <c r="F15" s="152"/>
      <c r="G15" s="35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34"/>
      <c r="T15" s="252"/>
      <c r="U15" s="164"/>
      <c r="V15" s="165"/>
      <c r="W15" s="166"/>
      <c r="AA15" s="204" t="str">
        <f t="shared" si="1"/>
        <v/>
      </c>
      <c r="AB15" s="205"/>
    </row>
    <row r="16" spans="1:28" ht="18" customHeight="1">
      <c r="A16" s="98" t="s">
        <v>311</v>
      </c>
      <c r="C16" s="2">
        <f t="shared" si="0"/>
        <v>8</v>
      </c>
      <c r="D16" s="152"/>
      <c r="E16" s="152"/>
      <c r="F16" s="152"/>
      <c r="G16" s="35"/>
      <c r="H16" s="254"/>
      <c r="I16" s="254"/>
      <c r="J16" s="254"/>
      <c r="K16" s="254"/>
      <c r="L16" s="254"/>
      <c r="M16" s="254"/>
      <c r="N16" s="254"/>
      <c r="O16" s="254"/>
      <c r="P16" s="254"/>
      <c r="Q16" s="254"/>
      <c r="R16" s="254"/>
      <c r="S16" s="34"/>
      <c r="T16" s="252"/>
      <c r="U16" s="164"/>
      <c r="V16" s="165"/>
      <c r="W16" s="166"/>
      <c r="AA16" s="204" t="str">
        <f t="shared" si="1"/>
        <v/>
      </c>
      <c r="AB16" s="205"/>
    </row>
    <row r="17" spans="1:28" ht="18" customHeight="1">
      <c r="A17" s="98" t="s">
        <v>311</v>
      </c>
      <c r="C17" s="2">
        <f t="shared" si="0"/>
        <v>9</v>
      </c>
      <c r="D17" s="152"/>
      <c r="E17" s="152"/>
      <c r="F17" s="152"/>
      <c r="G17" s="35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254"/>
      <c r="S17" s="34"/>
      <c r="T17" s="252"/>
      <c r="U17" s="164"/>
      <c r="V17" s="165"/>
      <c r="W17" s="166"/>
      <c r="AA17" s="204" t="str">
        <f t="shared" si="1"/>
        <v/>
      </c>
      <c r="AB17" s="205"/>
    </row>
    <row r="18" spans="1:28" ht="18" customHeight="1">
      <c r="A18" s="98" t="s">
        <v>311</v>
      </c>
      <c r="C18" s="2">
        <f t="shared" si="0"/>
        <v>10</v>
      </c>
      <c r="D18" s="152"/>
      <c r="E18" s="152"/>
      <c r="F18" s="152"/>
      <c r="G18" s="35"/>
      <c r="H18" s="254"/>
      <c r="I18" s="254"/>
      <c r="J18" s="254"/>
      <c r="K18" s="254"/>
      <c r="L18" s="254"/>
      <c r="M18" s="254"/>
      <c r="N18" s="254"/>
      <c r="O18" s="254"/>
      <c r="P18" s="254"/>
      <c r="Q18" s="254"/>
      <c r="R18" s="254"/>
      <c r="S18" s="34"/>
      <c r="T18" s="252"/>
      <c r="U18" s="164"/>
      <c r="V18" s="165"/>
      <c r="W18" s="166"/>
      <c r="AA18" s="204" t="str">
        <f t="shared" si="1"/>
        <v/>
      </c>
      <c r="AB18" s="205"/>
    </row>
    <row r="19" spans="1:28" ht="18" customHeight="1">
      <c r="A19" s="98" t="s">
        <v>311</v>
      </c>
      <c r="C19" s="2">
        <f t="shared" si="0"/>
        <v>11</v>
      </c>
      <c r="D19" s="152"/>
      <c r="E19" s="152"/>
      <c r="F19" s="152"/>
      <c r="G19" s="35"/>
      <c r="H19" s="254"/>
      <c r="I19" s="254"/>
      <c r="J19" s="254"/>
      <c r="K19" s="254"/>
      <c r="L19" s="254"/>
      <c r="M19" s="254"/>
      <c r="N19" s="254"/>
      <c r="O19" s="254"/>
      <c r="P19" s="254"/>
      <c r="Q19" s="254"/>
      <c r="R19" s="254"/>
      <c r="S19" s="34"/>
      <c r="T19" s="252"/>
      <c r="U19" s="164"/>
      <c r="V19" s="165"/>
      <c r="W19" s="166"/>
      <c r="AA19" s="204" t="str">
        <f t="shared" si="1"/>
        <v/>
      </c>
      <c r="AB19" s="205"/>
    </row>
    <row r="20" spans="1:28" ht="18" customHeight="1">
      <c r="A20" s="98" t="s">
        <v>311</v>
      </c>
      <c r="C20" s="2">
        <f t="shared" si="0"/>
        <v>12</v>
      </c>
      <c r="D20" s="152"/>
      <c r="E20" s="152"/>
      <c r="F20" s="152"/>
      <c r="G20" s="35"/>
      <c r="H20" s="254"/>
      <c r="I20" s="254"/>
      <c r="J20" s="254"/>
      <c r="K20" s="254"/>
      <c r="L20" s="254"/>
      <c r="M20" s="254"/>
      <c r="N20" s="254"/>
      <c r="O20" s="254"/>
      <c r="P20" s="254"/>
      <c r="Q20" s="254"/>
      <c r="R20" s="254"/>
      <c r="S20" s="34"/>
      <c r="T20" s="252"/>
      <c r="U20" s="164"/>
      <c r="V20" s="165"/>
      <c r="W20" s="166"/>
      <c r="AA20" s="204" t="str">
        <f t="shared" si="1"/>
        <v/>
      </c>
      <c r="AB20" s="205"/>
    </row>
    <row r="21" spans="1:28" ht="18" customHeight="1">
      <c r="A21" s="98" t="s">
        <v>311</v>
      </c>
      <c r="C21" s="2">
        <f t="shared" si="0"/>
        <v>13</v>
      </c>
      <c r="D21" s="152"/>
      <c r="E21" s="152"/>
      <c r="F21" s="152"/>
      <c r="G21" s="35"/>
      <c r="H21" s="254"/>
      <c r="I21" s="254"/>
      <c r="J21" s="254"/>
      <c r="K21" s="254"/>
      <c r="L21" s="254"/>
      <c r="M21" s="254"/>
      <c r="N21" s="254"/>
      <c r="O21" s="254"/>
      <c r="P21" s="254"/>
      <c r="Q21" s="254"/>
      <c r="R21" s="254"/>
      <c r="S21" s="34"/>
      <c r="T21" s="252"/>
      <c r="U21" s="164"/>
      <c r="V21" s="165"/>
      <c r="W21" s="166"/>
      <c r="AA21" s="204" t="str">
        <f t="shared" si="1"/>
        <v/>
      </c>
      <c r="AB21" s="205"/>
    </row>
    <row r="22" spans="1:28" ht="18" customHeight="1">
      <c r="A22" s="98" t="s">
        <v>311</v>
      </c>
      <c r="C22" s="2">
        <f t="shared" si="0"/>
        <v>14</v>
      </c>
      <c r="D22" s="152"/>
      <c r="E22" s="152"/>
      <c r="F22" s="152"/>
      <c r="G22" s="35"/>
      <c r="H22" s="254"/>
      <c r="I22" s="254"/>
      <c r="J22" s="254"/>
      <c r="K22" s="254"/>
      <c r="L22" s="254"/>
      <c r="M22" s="254"/>
      <c r="N22" s="254"/>
      <c r="O22" s="254"/>
      <c r="P22" s="254"/>
      <c r="Q22" s="254"/>
      <c r="R22" s="254"/>
      <c r="S22" s="34"/>
      <c r="T22" s="252"/>
      <c r="U22" s="164"/>
      <c r="V22" s="165"/>
      <c r="W22" s="166"/>
      <c r="AA22" s="204" t="str">
        <f t="shared" si="1"/>
        <v/>
      </c>
      <c r="AB22" s="205"/>
    </row>
    <row r="23" spans="1:28" ht="18" customHeight="1">
      <c r="A23" s="98" t="s">
        <v>311</v>
      </c>
      <c r="C23" s="2">
        <f t="shared" si="0"/>
        <v>15</v>
      </c>
      <c r="D23" s="152"/>
      <c r="E23" s="152"/>
      <c r="F23" s="152"/>
      <c r="G23" s="35"/>
      <c r="H23" s="254"/>
      <c r="I23" s="254"/>
      <c r="J23" s="254"/>
      <c r="K23" s="254"/>
      <c r="L23" s="254"/>
      <c r="M23" s="254"/>
      <c r="N23" s="254"/>
      <c r="O23" s="254"/>
      <c r="P23" s="254"/>
      <c r="Q23" s="254"/>
      <c r="R23" s="254"/>
      <c r="S23" s="34"/>
      <c r="T23" s="252"/>
      <c r="U23" s="164"/>
      <c r="V23" s="165"/>
      <c r="W23" s="166"/>
      <c r="AA23" s="204" t="str">
        <f t="shared" si="1"/>
        <v/>
      </c>
      <c r="AB23" s="205"/>
    </row>
    <row r="24" spans="1:28" ht="18" customHeight="1">
      <c r="A24" s="98" t="s">
        <v>311</v>
      </c>
      <c r="C24" s="2">
        <f t="shared" si="0"/>
        <v>16</v>
      </c>
      <c r="D24" s="152"/>
      <c r="E24" s="152"/>
      <c r="F24" s="152"/>
      <c r="G24" s="35"/>
      <c r="H24" s="254"/>
      <c r="I24" s="254"/>
      <c r="J24" s="254"/>
      <c r="K24" s="254"/>
      <c r="L24" s="254"/>
      <c r="M24" s="254"/>
      <c r="N24" s="254"/>
      <c r="O24" s="254"/>
      <c r="P24" s="254"/>
      <c r="Q24" s="254"/>
      <c r="R24" s="254"/>
      <c r="S24" s="34"/>
      <c r="T24" s="252"/>
      <c r="U24" s="164"/>
      <c r="V24" s="165"/>
      <c r="W24" s="166"/>
      <c r="AA24" s="204" t="str">
        <f t="shared" si="1"/>
        <v/>
      </c>
      <c r="AB24" s="205"/>
    </row>
    <row r="25" spans="1:28" ht="18" customHeight="1">
      <c r="A25" s="98" t="s">
        <v>311</v>
      </c>
      <c r="C25" s="2">
        <f t="shared" si="0"/>
        <v>17</v>
      </c>
      <c r="D25" s="152"/>
      <c r="E25" s="152"/>
      <c r="F25" s="152"/>
      <c r="G25" s="35"/>
      <c r="H25" s="254"/>
      <c r="I25" s="254"/>
      <c r="J25" s="254"/>
      <c r="K25" s="254"/>
      <c r="L25" s="254"/>
      <c r="M25" s="254"/>
      <c r="N25" s="254"/>
      <c r="O25" s="254"/>
      <c r="P25" s="254"/>
      <c r="Q25" s="254"/>
      <c r="R25" s="254"/>
      <c r="S25" s="34"/>
      <c r="T25" s="252"/>
      <c r="U25" s="164"/>
      <c r="V25" s="165"/>
      <c r="W25" s="166"/>
      <c r="AA25" s="204" t="str">
        <f t="shared" si="1"/>
        <v/>
      </c>
      <c r="AB25" s="205"/>
    </row>
    <row r="26" spans="1:28" ht="18" customHeight="1">
      <c r="A26" s="98" t="s">
        <v>311</v>
      </c>
      <c r="C26" s="2">
        <f t="shared" si="0"/>
        <v>18</v>
      </c>
      <c r="D26" s="152"/>
      <c r="E26" s="152"/>
      <c r="F26" s="152"/>
      <c r="G26" s="35"/>
      <c r="H26" s="254"/>
      <c r="I26" s="254"/>
      <c r="J26" s="254"/>
      <c r="K26" s="254"/>
      <c r="L26" s="254"/>
      <c r="M26" s="254"/>
      <c r="N26" s="254"/>
      <c r="O26" s="254"/>
      <c r="P26" s="254"/>
      <c r="Q26" s="254"/>
      <c r="R26" s="254"/>
      <c r="S26" s="34"/>
      <c r="T26" s="252"/>
      <c r="U26" s="164"/>
      <c r="V26" s="165"/>
      <c r="W26" s="166"/>
      <c r="AA26" s="204" t="str">
        <f t="shared" si="1"/>
        <v/>
      </c>
      <c r="AB26" s="205"/>
    </row>
    <row r="27" spans="1:28" ht="18" customHeight="1">
      <c r="A27" s="98" t="s">
        <v>311</v>
      </c>
      <c r="C27" s="2">
        <f t="shared" si="0"/>
        <v>19</v>
      </c>
      <c r="D27" s="152"/>
      <c r="E27" s="152"/>
      <c r="F27" s="152"/>
      <c r="G27" s="35"/>
      <c r="H27" s="254"/>
      <c r="I27" s="254"/>
      <c r="J27" s="254"/>
      <c r="K27" s="254"/>
      <c r="L27" s="254"/>
      <c r="M27" s="254"/>
      <c r="N27" s="254"/>
      <c r="O27" s="254"/>
      <c r="P27" s="254"/>
      <c r="Q27" s="254"/>
      <c r="R27" s="254"/>
      <c r="S27" s="34"/>
      <c r="T27" s="252"/>
      <c r="U27" s="164"/>
      <c r="V27" s="165"/>
      <c r="W27" s="166"/>
      <c r="AA27" s="204" t="str">
        <f t="shared" si="1"/>
        <v/>
      </c>
      <c r="AB27" s="205"/>
    </row>
    <row r="28" spans="1:28" ht="18" customHeight="1">
      <c r="A28" s="98" t="s">
        <v>311</v>
      </c>
      <c r="C28" s="2">
        <f t="shared" si="0"/>
        <v>20</v>
      </c>
      <c r="D28" s="152"/>
      <c r="E28" s="152"/>
      <c r="F28" s="152"/>
      <c r="G28" s="35"/>
      <c r="H28" s="254"/>
      <c r="I28" s="254"/>
      <c r="J28" s="254"/>
      <c r="K28" s="254"/>
      <c r="L28" s="254"/>
      <c r="M28" s="254"/>
      <c r="N28" s="254"/>
      <c r="O28" s="254"/>
      <c r="P28" s="254"/>
      <c r="Q28" s="254"/>
      <c r="R28" s="254"/>
      <c r="S28" s="34"/>
      <c r="T28" s="252"/>
      <c r="U28" s="164"/>
      <c r="V28" s="165"/>
      <c r="W28" s="166"/>
      <c r="AA28" s="204" t="str">
        <f t="shared" si="1"/>
        <v/>
      </c>
      <c r="AB28" s="205"/>
    </row>
    <row r="29" spans="1:28" ht="18" customHeight="1">
      <c r="A29" s="98" t="s">
        <v>311</v>
      </c>
      <c r="C29" s="2">
        <f t="shared" si="0"/>
        <v>21</v>
      </c>
      <c r="D29" s="152"/>
      <c r="E29" s="152"/>
      <c r="F29" s="152"/>
      <c r="G29" s="35"/>
      <c r="H29" s="254"/>
      <c r="I29" s="254"/>
      <c r="J29" s="254"/>
      <c r="K29" s="254"/>
      <c r="L29" s="254"/>
      <c r="M29" s="254"/>
      <c r="N29" s="254"/>
      <c r="O29" s="254"/>
      <c r="P29" s="254"/>
      <c r="Q29" s="254"/>
      <c r="R29" s="254"/>
      <c r="S29" s="34"/>
      <c r="T29" s="252"/>
      <c r="U29" s="164"/>
      <c r="V29" s="165"/>
      <c r="W29" s="166"/>
      <c r="AA29" s="204" t="str">
        <f t="shared" si="1"/>
        <v/>
      </c>
      <c r="AB29" s="205"/>
    </row>
    <row r="30" spans="1:28" ht="18" customHeight="1">
      <c r="A30" s="98" t="s">
        <v>311</v>
      </c>
      <c r="C30" s="2">
        <f t="shared" si="0"/>
        <v>22</v>
      </c>
      <c r="D30" s="152"/>
      <c r="E30" s="152"/>
      <c r="F30" s="152"/>
      <c r="G30" s="35"/>
      <c r="H30" s="254"/>
      <c r="I30" s="254"/>
      <c r="J30" s="254"/>
      <c r="K30" s="254"/>
      <c r="L30" s="254"/>
      <c r="M30" s="254"/>
      <c r="N30" s="254"/>
      <c r="O30" s="254"/>
      <c r="P30" s="254"/>
      <c r="Q30" s="254"/>
      <c r="R30" s="254"/>
      <c r="S30" s="34"/>
      <c r="T30" s="252"/>
      <c r="U30" s="164"/>
      <c r="V30" s="165"/>
      <c r="W30" s="166"/>
      <c r="AA30" s="204" t="str">
        <f t="shared" si="1"/>
        <v/>
      </c>
      <c r="AB30" s="205"/>
    </row>
    <row r="31" spans="1:28" ht="18" customHeight="1">
      <c r="A31" s="98" t="s">
        <v>311</v>
      </c>
      <c r="C31" s="2">
        <f t="shared" si="0"/>
        <v>23</v>
      </c>
      <c r="D31" s="152"/>
      <c r="E31" s="152"/>
      <c r="F31" s="152"/>
      <c r="G31" s="35"/>
      <c r="H31" s="254"/>
      <c r="I31" s="254"/>
      <c r="J31" s="254"/>
      <c r="K31" s="254"/>
      <c r="L31" s="254"/>
      <c r="M31" s="254"/>
      <c r="N31" s="254"/>
      <c r="O31" s="254"/>
      <c r="P31" s="254"/>
      <c r="Q31" s="254"/>
      <c r="R31" s="254"/>
      <c r="S31" s="34"/>
      <c r="T31" s="252"/>
      <c r="U31" s="164"/>
      <c r="V31" s="165"/>
      <c r="W31" s="166"/>
      <c r="AA31" s="204" t="str">
        <f t="shared" si="1"/>
        <v/>
      </c>
      <c r="AB31" s="205"/>
    </row>
    <row r="32" spans="1:28" ht="18" customHeight="1">
      <c r="A32" s="98" t="s">
        <v>311</v>
      </c>
      <c r="C32" s="2">
        <f t="shared" si="0"/>
        <v>24</v>
      </c>
      <c r="D32" s="152"/>
      <c r="E32" s="152"/>
      <c r="F32" s="152"/>
      <c r="G32" s="35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34"/>
      <c r="T32" s="252"/>
      <c r="U32" s="164"/>
      <c r="V32" s="165"/>
      <c r="W32" s="166"/>
      <c r="AA32" s="204" t="str">
        <f t="shared" si="1"/>
        <v/>
      </c>
      <c r="AB32" s="205"/>
    </row>
    <row r="33" spans="1:28" ht="18" customHeight="1">
      <c r="A33" s="98" t="s">
        <v>311</v>
      </c>
      <c r="C33" s="2">
        <f t="shared" si="0"/>
        <v>25</v>
      </c>
      <c r="D33" s="152"/>
      <c r="E33" s="152"/>
      <c r="F33" s="152"/>
      <c r="G33" s="35"/>
      <c r="H33" s="254"/>
      <c r="I33" s="254"/>
      <c r="J33" s="254"/>
      <c r="K33" s="254"/>
      <c r="L33" s="254"/>
      <c r="M33" s="254"/>
      <c r="N33" s="254"/>
      <c r="O33" s="254"/>
      <c r="P33" s="254"/>
      <c r="Q33" s="254"/>
      <c r="R33" s="254"/>
      <c r="S33" s="34"/>
      <c r="T33" s="252"/>
      <c r="U33" s="164"/>
      <c r="V33" s="165"/>
      <c r="W33" s="166"/>
      <c r="AA33" s="204" t="str">
        <f t="shared" si="1"/>
        <v/>
      </c>
      <c r="AB33" s="205"/>
    </row>
    <row r="34" spans="1:28" ht="18" customHeight="1">
      <c r="A34" s="98" t="s">
        <v>311</v>
      </c>
      <c r="C34" s="2">
        <f t="shared" si="0"/>
        <v>26</v>
      </c>
      <c r="D34" s="152"/>
      <c r="E34" s="152"/>
      <c r="F34" s="152"/>
      <c r="G34" s="35"/>
      <c r="H34" s="254"/>
      <c r="I34" s="254"/>
      <c r="J34" s="254"/>
      <c r="K34" s="254"/>
      <c r="L34" s="254"/>
      <c r="M34" s="254"/>
      <c r="N34" s="254"/>
      <c r="O34" s="254"/>
      <c r="P34" s="254"/>
      <c r="Q34" s="254"/>
      <c r="R34" s="254"/>
      <c r="S34" s="34"/>
      <c r="T34" s="252"/>
      <c r="U34" s="164"/>
      <c r="V34" s="165"/>
      <c r="W34" s="166"/>
      <c r="AA34" s="204" t="str">
        <f t="shared" si="1"/>
        <v/>
      </c>
      <c r="AB34" s="205"/>
    </row>
    <row r="35" spans="1:28" ht="18" customHeight="1">
      <c r="A35" s="98" t="s">
        <v>311</v>
      </c>
      <c r="C35" s="2">
        <f t="shared" si="0"/>
        <v>27</v>
      </c>
      <c r="D35" s="152"/>
      <c r="E35" s="152"/>
      <c r="F35" s="152"/>
      <c r="G35" s="35"/>
      <c r="H35" s="254"/>
      <c r="I35" s="254"/>
      <c r="J35" s="254"/>
      <c r="K35" s="254"/>
      <c r="L35" s="254"/>
      <c r="M35" s="254"/>
      <c r="N35" s="254"/>
      <c r="O35" s="254"/>
      <c r="P35" s="254"/>
      <c r="Q35" s="254"/>
      <c r="R35" s="254"/>
      <c r="S35" s="34"/>
      <c r="T35" s="252"/>
      <c r="U35" s="164"/>
      <c r="V35" s="165"/>
      <c r="W35" s="166"/>
      <c r="AA35" s="204" t="str">
        <f t="shared" si="1"/>
        <v/>
      </c>
      <c r="AB35" s="205"/>
    </row>
    <row r="36" spans="1:28" ht="18" customHeight="1">
      <c r="A36" s="98" t="s">
        <v>311</v>
      </c>
      <c r="C36" s="2">
        <f t="shared" si="0"/>
        <v>28</v>
      </c>
      <c r="D36" s="152"/>
      <c r="E36" s="152"/>
      <c r="F36" s="152"/>
      <c r="G36" s="35"/>
      <c r="H36" s="254"/>
      <c r="I36" s="254"/>
      <c r="J36" s="254"/>
      <c r="K36" s="254"/>
      <c r="L36" s="254"/>
      <c r="M36" s="254"/>
      <c r="N36" s="254"/>
      <c r="O36" s="254"/>
      <c r="P36" s="254"/>
      <c r="Q36" s="254"/>
      <c r="R36" s="254"/>
      <c r="S36" s="34"/>
      <c r="T36" s="252"/>
      <c r="U36" s="164"/>
      <c r="V36" s="165"/>
      <c r="W36" s="166"/>
      <c r="AA36" s="204" t="str">
        <f t="shared" si="1"/>
        <v/>
      </c>
      <c r="AB36" s="205"/>
    </row>
    <row r="37" spans="1:28" ht="18" customHeight="1">
      <c r="A37" s="98" t="s">
        <v>311</v>
      </c>
      <c r="C37" s="2">
        <f t="shared" si="0"/>
        <v>29</v>
      </c>
      <c r="D37" s="152"/>
      <c r="E37" s="152"/>
      <c r="F37" s="152"/>
      <c r="G37" s="35"/>
      <c r="H37" s="254"/>
      <c r="I37" s="254"/>
      <c r="J37" s="254"/>
      <c r="K37" s="254"/>
      <c r="L37" s="254"/>
      <c r="M37" s="254"/>
      <c r="N37" s="254"/>
      <c r="O37" s="254"/>
      <c r="P37" s="254"/>
      <c r="Q37" s="254"/>
      <c r="R37" s="254"/>
      <c r="S37" s="34"/>
      <c r="T37" s="252"/>
      <c r="U37" s="164"/>
      <c r="V37" s="165"/>
      <c r="W37" s="166"/>
      <c r="AA37" s="204" t="str">
        <f t="shared" si="1"/>
        <v/>
      </c>
      <c r="AB37" s="205"/>
    </row>
    <row r="38" spans="1:28" ht="18" customHeight="1">
      <c r="A38" s="98" t="s">
        <v>311</v>
      </c>
      <c r="C38" s="2">
        <f t="shared" si="0"/>
        <v>30</v>
      </c>
      <c r="D38" s="152"/>
      <c r="E38" s="152"/>
      <c r="F38" s="152"/>
      <c r="G38" s="35"/>
      <c r="H38" s="254"/>
      <c r="I38" s="254"/>
      <c r="J38" s="254"/>
      <c r="K38" s="254"/>
      <c r="L38" s="254"/>
      <c r="M38" s="254"/>
      <c r="N38" s="254"/>
      <c r="O38" s="254"/>
      <c r="P38" s="254"/>
      <c r="Q38" s="254"/>
      <c r="R38" s="254"/>
      <c r="S38" s="34"/>
      <c r="T38" s="252"/>
      <c r="U38" s="164"/>
      <c r="V38" s="165"/>
      <c r="W38" s="166"/>
      <c r="AA38" s="204" t="str">
        <f t="shared" si="1"/>
        <v/>
      </c>
      <c r="AB38" s="205"/>
    </row>
    <row r="39" spans="1:28" ht="18" customHeight="1">
      <c r="A39" s="98" t="s">
        <v>311</v>
      </c>
      <c r="C39" s="2">
        <f t="shared" ref="C39:C48" si="2">ROW()-8</f>
        <v>31</v>
      </c>
      <c r="D39" s="152"/>
      <c r="E39" s="152"/>
      <c r="F39" s="152"/>
      <c r="G39" s="35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34"/>
      <c r="T39" s="252"/>
      <c r="U39" s="164"/>
      <c r="V39" s="165"/>
      <c r="W39" s="166"/>
      <c r="AA39" s="204" t="str">
        <f t="shared" si="1"/>
        <v/>
      </c>
      <c r="AB39" s="205"/>
    </row>
    <row r="40" spans="1:28" ht="18" customHeight="1">
      <c r="A40" s="98" t="s">
        <v>311</v>
      </c>
      <c r="C40" s="2">
        <f t="shared" si="2"/>
        <v>32</v>
      </c>
      <c r="D40" s="152"/>
      <c r="E40" s="152"/>
      <c r="F40" s="152"/>
      <c r="G40" s="35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34"/>
      <c r="T40" s="252"/>
      <c r="U40" s="164"/>
      <c r="V40" s="165"/>
      <c r="W40" s="166"/>
      <c r="AA40" s="204" t="str">
        <f t="shared" si="1"/>
        <v/>
      </c>
      <c r="AB40" s="205"/>
    </row>
    <row r="41" spans="1:28" ht="18" customHeight="1">
      <c r="A41" s="98" t="s">
        <v>311</v>
      </c>
      <c r="C41" s="2">
        <f t="shared" si="2"/>
        <v>33</v>
      </c>
      <c r="D41" s="152"/>
      <c r="E41" s="152"/>
      <c r="F41" s="152"/>
      <c r="G41" s="35"/>
      <c r="H41" s="254"/>
      <c r="I41" s="254"/>
      <c r="J41" s="254"/>
      <c r="K41" s="254"/>
      <c r="L41" s="254"/>
      <c r="M41" s="254"/>
      <c r="N41" s="254"/>
      <c r="O41" s="254"/>
      <c r="P41" s="254"/>
      <c r="Q41" s="254"/>
      <c r="R41" s="254"/>
      <c r="S41" s="34"/>
      <c r="T41" s="252"/>
      <c r="U41" s="164"/>
      <c r="V41" s="165"/>
      <c r="W41" s="166"/>
      <c r="AA41" s="204" t="str">
        <f t="shared" si="1"/>
        <v/>
      </c>
      <c r="AB41" s="205"/>
    </row>
    <row r="42" spans="1:28" ht="18" customHeight="1">
      <c r="A42" s="98" t="s">
        <v>311</v>
      </c>
      <c r="C42" s="2">
        <f t="shared" si="2"/>
        <v>34</v>
      </c>
      <c r="D42" s="152"/>
      <c r="E42" s="152"/>
      <c r="F42" s="152"/>
      <c r="G42" s="35"/>
      <c r="H42" s="254"/>
      <c r="I42" s="254"/>
      <c r="J42" s="254"/>
      <c r="K42" s="254"/>
      <c r="L42" s="254"/>
      <c r="M42" s="254"/>
      <c r="N42" s="254"/>
      <c r="O42" s="254"/>
      <c r="P42" s="254"/>
      <c r="Q42" s="254"/>
      <c r="R42" s="254"/>
      <c r="S42" s="34"/>
      <c r="T42" s="252"/>
      <c r="U42" s="164"/>
      <c r="V42" s="165"/>
      <c r="W42" s="166"/>
      <c r="AA42" s="204" t="str">
        <f t="shared" si="1"/>
        <v/>
      </c>
      <c r="AB42" s="205"/>
    </row>
    <row r="43" spans="1:28" ht="18" customHeight="1">
      <c r="A43" s="98" t="s">
        <v>311</v>
      </c>
      <c r="C43" s="2">
        <f t="shared" si="2"/>
        <v>35</v>
      </c>
      <c r="D43" s="152"/>
      <c r="E43" s="152"/>
      <c r="F43" s="152"/>
      <c r="G43" s="35"/>
      <c r="H43" s="254"/>
      <c r="I43" s="254"/>
      <c r="J43" s="254"/>
      <c r="K43" s="254"/>
      <c r="L43" s="254"/>
      <c r="M43" s="254"/>
      <c r="N43" s="254"/>
      <c r="O43" s="254"/>
      <c r="P43" s="254"/>
      <c r="Q43" s="254"/>
      <c r="R43" s="254"/>
      <c r="S43" s="34"/>
      <c r="T43" s="252"/>
      <c r="U43" s="164"/>
      <c r="V43" s="165"/>
      <c r="W43" s="166"/>
      <c r="AA43" s="204" t="str">
        <f t="shared" si="1"/>
        <v/>
      </c>
      <c r="AB43" s="205"/>
    </row>
    <row r="44" spans="1:28" ht="18" customHeight="1">
      <c r="A44" s="98" t="s">
        <v>311</v>
      </c>
      <c r="C44" s="2">
        <f t="shared" si="2"/>
        <v>36</v>
      </c>
      <c r="D44" s="152"/>
      <c r="E44" s="152"/>
      <c r="F44" s="152"/>
      <c r="G44" s="35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34"/>
      <c r="T44" s="252"/>
      <c r="U44" s="164"/>
      <c r="V44" s="165"/>
      <c r="W44" s="166"/>
      <c r="AA44" s="204" t="str">
        <f t="shared" si="1"/>
        <v/>
      </c>
      <c r="AB44" s="205"/>
    </row>
    <row r="45" spans="1:28" ht="18" customHeight="1">
      <c r="A45" s="98" t="s">
        <v>311</v>
      </c>
      <c r="C45" s="2">
        <f t="shared" si="2"/>
        <v>37</v>
      </c>
      <c r="D45" s="152"/>
      <c r="E45" s="152"/>
      <c r="F45" s="152"/>
      <c r="G45" s="35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34"/>
      <c r="T45" s="252"/>
      <c r="U45" s="164"/>
      <c r="V45" s="165"/>
      <c r="W45" s="166"/>
      <c r="AA45" s="204" t="str">
        <f t="shared" si="1"/>
        <v/>
      </c>
      <c r="AB45" s="205"/>
    </row>
    <row r="46" spans="1:28" ht="18" customHeight="1">
      <c r="A46" s="98" t="s">
        <v>311</v>
      </c>
      <c r="C46" s="2">
        <f t="shared" si="2"/>
        <v>38</v>
      </c>
      <c r="D46" s="152"/>
      <c r="E46" s="152"/>
      <c r="F46" s="152"/>
      <c r="G46" s="35"/>
      <c r="H46" s="254"/>
      <c r="I46" s="254"/>
      <c r="J46" s="254"/>
      <c r="K46" s="254"/>
      <c r="L46" s="254"/>
      <c r="M46" s="254"/>
      <c r="N46" s="254"/>
      <c r="O46" s="254"/>
      <c r="P46" s="254"/>
      <c r="Q46" s="254"/>
      <c r="R46" s="254"/>
      <c r="S46" s="34"/>
      <c r="T46" s="252"/>
      <c r="U46" s="164"/>
      <c r="V46" s="165"/>
      <c r="W46" s="166"/>
      <c r="AA46" s="204" t="str">
        <f t="shared" si="1"/>
        <v/>
      </c>
      <c r="AB46" s="205"/>
    </row>
    <row r="47" spans="1:28" ht="18" customHeight="1">
      <c r="A47" s="98" t="s">
        <v>311</v>
      </c>
      <c r="C47" s="2">
        <f t="shared" si="2"/>
        <v>39</v>
      </c>
      <c r="D47" s="152"/>
      <c r="E47" s="152"/>
      <c r="F47" s="152"/>
      <c r="G47" s="35"/>
      <c r="H47" s="254"/>
      <c r="I47" s="254"/>
      <c r="J47" s="254"/>
      <c r="K47" s="254"/>
      <c r="L47" s="254"/>
      <c r="M47" s="254"/>
      <c r="N47" s="254"/>
      <c r="O47" s="254"/>
      <c r="P47" s="254"/>
      <c r="Q47" s="254"/>
      <c r="R47" s="254"/>
      <c r="S47" s="34"/>
      <c r="T47" s="252"/>
      <c r="U47" s="164"/>
      <c r="V47" s="165"/>
      <c r="W47" s="166"/>
      <c r="AA47" s="204" t="str">
        <f t="shared" si="1"/>
        <v/>
      </c>
      <c r="AB47" s="205"/>
    </row>
    <row r="48" spans="1:28" ht="18" customHeight="1" thickBot="1">
      <c r="A48" s="98" t="s">
        <v>311</v>
      </c>
      <c r="C48" s="3">
        <f t="shared" si="2"/>
        <v>40</v>
      </c>
      <c r="D48" s="154"/>
      <c r="E48" s="154"/>
      <c r="F48" s="154"/>
      <c r="G48" s="5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4"/>
      <c r="T48" s="253"/>
      <c r="U48" s="167"/>
      <c r="V48" s="168"/>
      <c r="W48" s="169"/>
      <c r="AA48" s="206" t="str">
        <f t="shared" si="1"/>
        <v/>
      </c>
      <c r="AB48" s="207"/>
    </row>
    <row r="49" spans="1:28" ht="18" customHeight="1">
      <c r="A49" s="98" t="s">
        <v>539</v>
      </c>
      <c r="C49" s="144"/>
      <c r="D49" s="11"/>
      <c r="E49" s="11"/>
      <c r="F49" s="11"/>
      <c r="G49" s="12"/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  <c r="T49" s="16"/>
      <c r="U49" s="17"/>
      <c r="V49" s="17"/>
      <c r="W49" s="17"/>
      <c r="AA49" s="11"/>
    </row>
    <row r="50" spans="1:28" ht="18" customHeight="1" thickBot="1">
      <c r="A50" s="98" t="s">
        <v>540</v>
      </c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AA50" s="23"/>
    </row>
    <row r="51" spans="1:28" s="32" customFormat="1" ht="18" customHeight="1" thickBot="1">
      <c r="A51" s="98" t="s">
        <v>309</v>
      </c>
      <c r="B51" s="98"/>
      <c r="C51" s="104" t="s">
        <v>296</v>
      </c>
      <c r="D51" s="179" t="s">
        <v>361</v>
      </c>
      <c r="E51" s="106" t="s">
        <v>362</v>
      </c>
      <c r="F51" s="180" t="s">
        <v>360</v>
      </c>
      <c r="G51" s="227" t="s">
        <v>368</v>
      </c>
      <c r="H51" s="228"/>
      <c r="I51" s="228"/>
      <c r="J51" s="228"/>
      <c r="K51" s="228"/>
      <c r="L51" s="228"/>
      <c r="M51" s="228"/>
      <c r="N51" s="228"/>
      <c r="O51" s="228"/>
      <c r="P51" s="228"/>
      <c r="Q51" s="228"/>
      <c r="R51" s="228"/>
      <c r="S51" s="228"/>
      <c r="T51" s="228"/>
      <c r="U51" s="227" t="s">
        <v>363</v>
      </c>
      <c r="V51" s="228"/>
      <c r="W51" s="229"/>
      <c r="AA51" s="208"/>
      <c r="AB51" s="209"/>
    </row>
    <row r="52" spans="1:28" s="87" customFormat="1" ht="18" customHeight="1">
      <c r="A52" s="98" t="s">
        <v>544</v>
      </c>
      <c r="B52" s="98"/>
      <c r="C52" s="20" t="s">
        <v>543</v>
      </c>
      <c r="D52" s="148"/>
      <c r="E52" s="33"/>
      <c r="F52" s="153"/>
      <c r="G52" s="177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91"/>
      <c r="V52" s="192"/>
      <c r="W52" s="193"/>
      <c r="AA52" s="210"/>
      <c r="AB52" s="211"/>
    </row>
    <row r="53" spans="1:28" s="87" customFormat="1" ht="18" customHeight="1">
      <c r="A53" s="98" t="s">
        <v>544</v>
      </c>
      <c r="B53" s="98"/>
      <c r="C53" s="20">
        <v>1</v>
      </c>
      <c r="D53" s="247"/>
      <c r="E53" s="33"/>
      <c r="F53" s="248"/>
      <c r="G53" s="249"/>
      <c r="H53" s="250"/>
      <c r="I53" s="250"/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  <c r="U53" s="191"/>
      <c r="V53" s="192"/>
      <c r="W53" s="193"/>
      <c r="AA53" s="210"/>
      <c r="AB53" s="211"/>
    </row>
    <row r="54" spans="1:28" s="87" customFormat="1" ht="18" customHeight="1">
      <c r="A54" s="98" t="s">
        <v>544</v>
      </c>
      <c r="B54" s="98"/>
      <c r="C54" s="20">
        <v>2</v>
      </c>
      <c r="D54" s="247"/>
      <c r="E54" s="33"/>
      <c r="F54" s="248"/>
      <c r="G54" s="249"/>
      <c r="H54" s="250"/>
      <c r="I54" s="250"/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  <c r="U54" s="191"/>
      <c r="V54" s="192"/>
      <c r="W54" s="193"/>
      <c r="AA54" s="210"/>
      <c r="AB54" s="211"/>
    </row>
    <row r="55" spans="1:28" s="87" customFormat="1" ht="18" customHeight="1">
      <c r="A55" s="98" t="s">
        <v>544</v>
      </c>
      <c r="B55" s="98"/>
      <c r="C55" s="20">
        <v>3</v>
      </c>
      <c r="D55" s="247"/>
      <c r="E55" s="33"/>
      <c r="F55" s="248"/>
      <c r="G55" s="249"/>
      <c r="H55" s="250"/>
      <c r="I55" s="250"/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  <c r="U55" s="191"/>
      <c r="V55" s="192"/>
      <c r="W55" s="193"/>
      <c r="AA55" s="210"/>
      <c r="AB55" s="211"/>
    </row>
    <row r="56" spans="1:28" s="87" customFormat="1" ht="18" customHeight="1">
      <c r="A56" s="98" t="s">
        <v>544</v>
      </c>
      <c r="B56" s="98"/>
      <c r="C56" s="20">
        <v>4</v>
      </c>
      <c r="D56" s="247"/>
      <c r="E56" s="33"/>
      <c r="F56" s="248"/>
      <c r="G56" s="249"/>
      <c r="H56" s="250"/>
      <c r="I56" s="250"/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  <c r="U56" s="191"/>
      <c r="V56" s="192"/>
      <c r="W56" s="193"/>
      <c r="AA56" s="210"/>
      <c r="AB56" s="211"/>
    </row>
    <row r="57" spans="1:28" s="87" customFormat="1" ht="18" customHeight="1">
      <c r="A57" s="98" t="s">
        <v>544</v>
      </c>
      <c r="B57" s="98"/>
      <c r="C57" s="20">
        <v>5</v>
      </c>
      <c r="D57" s="247"/>
      <c r="E57" s="33"/>
      <c r="F57" s="248"/>
      <c r="G57" s="249"/>
      <c r="H57" s="250"/>
      <c r="I57" s="250"/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  <c r="U57" s="191"/>
      <c r="V57" s="192"/>
      <c r="W57" s="193"/>
      <c r="AA57" s="210"/>
      <c r="AB57" s="211"/>
    </row>
    <row r="58" spans="1:28" s="87" customFormat="1" ht="18" customHeight="1">
      <c r="A58" s="98" t="s">
        <v>544</v>
      </c>
      <c r="B58" s="98"/>
      <c r="C58" s="20">
        <v>6</v>
      </c>
      <c r="D58" s="247"/>
      <c r="E58" s="33"/>
      <c r="F58" s="248"/>
      <c r="G58" s="249"/>
      <c r="H58" s="250"/>
      <c r="I58" s="250"/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  <c r="U58" s="191"/>
      <c r="V58" s="192"/>
      <c r="W58" s="193"/>
      <c r="AA58" s="210"/>
      <c r="AB58" s="211"/>
    </row>
    <row r="59" spans="1:28" s="87" customFormat="1" ht="18" customHeight="1">
      <c r="A59" s="98" t="s">
        <v>544</v>
      </c>
      <c r="B59" s="98"/>
      <c r="C59" s="20">
        <v>7</v>
      </c>
      <c r="D59" s="247"/>
      <c r="E59" s="33"/>
      <c r="F59" s="248"/>
      <c r="G59" s="249"/>
      <c r="H59" s="250"/>
      <c r="I59" s="250"/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  <c r="U59" s="191"/>
      <c r="V59" s="192"/>
      <c r="W59" s="193"/>
      <c r="AA59" s="210"/>
      <c r="AB59" s="211"/>
    </row>
    <row r="60" spans="1:28" s="87" customFormat="1" ht="18" customHeight="1">
      <c r="A60" s="98" t="s">
        <v>544</v>
      </c>
      <c r="B60" s="98"/>
      <c r="C60" s="20">
        <v>8</v>
      </c>
      <c r="D60" s="247"/>
      <c r="E60" s="33"/>
      <c r="F60" s="248"/>
      <c r="G60" s="249"/>
      <c r="H60" s="250"/>
      <c r="I60" s="250"/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  <c r="U60" s="191"/>
      <c r="V60" s="192"/>
      <c r="W60" s="193"/>
      <c r="AA60" s="210"/>
      <c r="AB60" s="211"/>
    </row>
    <row r="61" spans="1:28" s="87" customFormat="1" ht="18" customHeight="1">
      <c r="A61" s="98" t="s">
        <v>544</v>
      </c>
      <c r="B61" s="98"/>
      <c r="C61" s="20">
        <v>9</v>
      </c>
      <c r="D61" s="150"/>
      <c r="E61" s="33"/>
      <c r="F61" s="151"/>
      <c r="G61" s="181"/>
      <c r="H61" s="189"/>
      <c r="I61" s="189"/>
      <c r="J61" s="189"/>
      <c r="K61" s="189"/>
      <c r="L61" s="189"/>
      <c r="M61" s="189"/>
      <c r="N61" s="189"/>
      <c r="O61" s="189"/>
      <c r="P61" s="189"/>
      <c r="Q61" s="189"/>
      <c r="R61" s="189"/>
      <c r="S61" s="189"/>
      <c r="T61" s="189"/>
      <c r="U61" s="182"/>
      <c r="V61" s="183"/>
      <c r="W61" s="184"/>
      <c r="AA61" s="210"/>
      <c r="AB61" s="211"/>
    </row>
    <row r="62" spans="1:28" ht="18" customHeight="1" thickBot="1">
      <c r="A62" s="98" t="s">
        <v>544</v>
      </c>
      <c r="C62" s="21">
        <v>10</v>
      </c>
      <c r="D62" s="147"/>
      <c r="E62" s="53"/>
      <c r="F62" s="155"/>
      <c r="G62" s="175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  <c r="S62" s="190"/>
      <c r="T62" s="190"/>
      <c r="U62" s="185"/>
      <c r="V62" s="186"/>
      <c r="W62" s="187"/>
      <c r="AA62" s="212"/>
      <c r="AB62" s="213"/>
    </row>
    <row r="63" spans="1:28" ht="18" customHeight="1" thickBot="1">
      <c r="A63" s="98" t="s">
        <v>541</v>
      </c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AA63" s="214"/>
      <c r="AB63" s="215"/>
    </row>
    <row r="64" spans="1:28" ht="18" customHeight="1" thickBot="1">
      <c r="A64" s="98" t="s">
        <v>310</v>
      </c>
      <c r="C64" s="104" t="s">
        <v>296</v>
      </c>
      <c r="D64" s="179" t="s">
        <v>364</v>
      </c>
      <c r="E64" s="227" t="s">
        <v>365</v>
      </c>
      <c r="F64" s="230"/>
      <c r="G64" s="227" t="s">
        <v>366</v>
      </c>
      <c r="H64" s="228"/>
      <c r="I64" s="228"/>
      <c r="J64" s="228"/>
      <c r="K64" s="228"/>
      <c r="L64" s="228"/>
      <c r="M64" s="228"/>
      <c r="N64" s="228"/>
      <c r="O64" s="228"/>
      <c r="P64" s="228"/>
      <c r="Q64" s="228"/>
      <c r="R64" s="228"/>
      <c r="S64" s="228"/>
      <c r="T64" s="228"/>
      <c r="U64" s="227" t="s">
        <v>363</v>
      </c>
      <c r="V64" s="228"/>
      <c r="W64" s="229"/>
      <c r="X64" s="32"/>
      <c r="AA64" s="202"/>
      <c r="AB64" s="216"/>
    </row>
    <row r="65" spans="1:28" ht="18" customHeight="1">
      <c r="A65" s="98" t="s">
        <v>546</v>
      </c>
      <c r="C65" s="19">
        <v>1</v>
      </c>
      <c r="D65" s="148"/>
      <c r="E65" s="177"/>
      <c r="F65" s="178"/>
      <c r="G65" s="177"/>
      <c r="H65" s="188"/>
      <c r="I65" s="188"/>
      <c r="J65" s="188"/>
      <c r="K65" s="188"/>
      <c r="L65" s="188"/>
      <c r="M65" s="188"/>
      <c r="N65" s="188"/>
      <c r="O65" s="188"/>
      <c r="P65" s="188"/>
      <c r="Q65" s="188"/>
      <c r="R65" s="188"/>
      <c r="S65" s="188"/>
      <c r="T65" s="188"/>
      <c r="U65" s="191"/>
      <c r="V65" s="192"/>
      <c r="W65" s="193"/>
      <c r="AA65" s="217"/>
      <c r="AB65" s="218"/>
    </row>
    <row r="66" spans="1:28" ht="18" customHeight="1">
      <c r="A66" s="98" t="s">
        <v>546</v>
      </c>
      <c r="C66" s="19">
        <v>2</v>
      </c>
      <c r="D66" s="247"/>
      <c r="E66" s="249"/>
      <c r="F66" s="261"/>
      <c r="G66" s="249"/>
      <c r="H66" s="250"/>
      <c r="I66" s="250"/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  <c r="U66" s="191"/>
      <c r="V66" s="192"/>
      <c r="W66" s="193"/>
      <c r="AA66" s="217"/>
      <c r="AB66" s="218"/>
    </row>
    <row r="67" spans="1:28" ht="18" customHeight="1">
      <c r="A67" s="98" t="s">
        <v>546</v>
      </c>
      <c r="C67" s="19">
        <v>3</v>
      </c>
      <c r="D67" s="247"/>
      <c r="E67" s="249"/>
      <c r="F67" s="261"/>
      <c r="G67" s="249"/>
      <c r="H67" s="250"/>
      <c r="I67" s="250"/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  <c r="U67" s="191"/>
      <c r="V67" s="192"/>
      <c r="W67" s="193"/>
      <c r="AA67" s="217"/>
      <c r="AB67" s="218"/>
    </row>
    <row r="68" spans="1:28" ht="18" customHeight="1">
      <c r="A68" s="98" t="s">
        <v>546</v>
      </c>
      <c r="C68" s="19">
        <v>4</v>
      </c>
      <c r="D68" s="247"/>
      <c r="E68" s="249"/>
      <c r="F68" s="261"/>
      <c r="G68" s="249"/>
      <c r="H68" s="250"/>
      <c r="I68" s="250"/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  <c r="U68" s="191"/>
      <c r="V68" s="192"/>
      <c r="W68" s="193"/>
      <c r="AA68" s="217"/>
      <c r="AB68" s="218"/>
    </row>
    <row r="69" spans="1:28" ht="18" customHeight="1">
      <c r="A69" s="98" t="s">
        <v>546</v>
      </c>
      <c r="C69" s="19">
        <v>5</v>
      </c>
      <c r="D69" s="247"/>
      <c r="E69" s="249"/>
      <c r="F69" s="261"/>
      <c r="G69" s="249"/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  <c r="U69" s="191"/>
      <c r="V69" s="192"/>
      <c r="W69" s="193"/>
      <c r="AA69" s="217"/>
      <c r="AB69" s="218"/>
    </row>
    <row r="70" spans="1:28" ht="18" customHeight="1">
      <c r="A70" s="98" t="s">
        <v>546</v>
      </c>
      <c r="C70" s="19">
        <v>6</v>
      </c>
      <c r="D70" s="247"/>
      <c r="E70" s="249"/>
      <c r="F70" s="261"/>
      <c r="G70" s="249"/>
      <c r="H70" s="250"/>
      <c r="I70" s="250"/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  <c r="U70" s="191"/>
      <c r="V70" s="192"/>
      <c r="W70" s="193"/>
      <c r="AA70" s="217"/>
      <c r="AB70" s="218"/>
    </row>
    <row r="71" spans="1:28" ht="18" customHeight="1">
      <c r="A71" s="98" t="s">
        <v>546</v>
      </c>
      <c r="C71" s="19">
        <v>7</v>
      </c>
      <c r="D71" s="247"/>
      <c r="E71" s="249"/>
      <c r="F71" s="261"/>
      <c r="G71" s="249"/>
      <c r="H71" s="250"/>
      <c r="I71" s="250"/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  <c r="U71" s="191"/>
      <c r="V71" s="192"/>
      <c r="W71" s="193"/>
      <c r="AA71" s="217"/>
      <c r="AB71" s="218"/>
    </row>
    <row r="72" spans="1:28" ht="18" customHeight="1">
      <c r="A72" s="98" t="s">
        <v>546</v>
      </c>
      <c r="C72" s="19">
        <v>8</v>
      </c>
      <c r="D72" s="247"/>
      <c r="E72" s="249"/>
      <c r="F72" s="261"/>
      <c r="G72" s="249"/>
      <c r="H72" s="250"/>
      <c r="I72" s="250"/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  <c r="U72" s="191"/>
      <c r="V72" s="192"/>
      <c r="W72" s="193"/>
      <c r="AA72" s="217"/>
      <c r="AB72" s="218"/>
    </row>
    <row r="73" spans="1:28" ht="18" customHeight="1">
      <c r="A73" s="98" t="s">
        <v>546</v>
      </c>
      <c r="C73" s="19">
        <v>9</v>
      </c>
      <c r="D73" s="247"/>
      <c r="E73" s="249"/>
      <c r="F73" s="261"/>
      <c r="G73" s="249"/>
      <c r="H73" s="250"/>
      <c r="I73" s="250"/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  <c r="U73" s="191"/>
      <c r="V73" s="192"/>
      <c r="W73" s="193"/>
      <c r="AA73" s="217"/>
      <c r="AB73" s="218"/>
    </row>
    <row r="74" spans="1:28" ht="18" customHeight="1" thickBot="1">
      <c r="A74" s="98" t="s">
        <v>546</v>
      </c>
      <c r="C74" s="21">
        <v>10</v>
      </c>
      <c r="D74" s="147"/>
      <c r="E74" s="175"/>
      <c r="F74" s="176"/>
      <c r="G74" s="175"/>
      <c r="H74" s="190"/>
      <c r="I74" s="190"/>
      <c r="J74" s="190"/>
      <c r="K74" s="190"/>
      <c r="L74" s="190"/>
      <c r="M74" s="190"/>
      <c r="N74" s="190"/>
      <c r="O74" s="190"/>
      <c r="P74" s="190"/>
      <c r="Q74" s="190"/>
      <c r="R74" s="190"/>
      <c r="S74" s="190"/>
      <c r="T74" s="190"/>
      <c r="U74" s="185"/>
      <c r="V74" s="186"/>
      <c r="W74" s="187"/>
      <c r="AA74" s="219"/>
      <c r="AB74" s="220"/>
    </row>
    <row r="75" spans="1:28" s="23" customFormat="1" ht="18" customHeight="1">
      <c r="A75" s="98" t="s">
        <v>312</v>
      </c>
      <c r="B75" s="98"/>
      <c r="X75" s="88"/>
    </row>
  </sheetData>
  <customSheetViews>
    <customSheetView guid="{11FF3D1A-B611-4935-A0EC-72FFAD7F9EAF}" scale="80" showGridLines="0" hiddenColumns="1">
      <pane ySplit="8" topLeftCell="A9" activePane="bottomLeft" state="frozen"/>
      <selection pane="bottomLeft" activeCell="Q2" sqref="Q2:R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1"/>
      <headerFooter alignWithMargins="0"/>
    </customSheetView>
    <customSheetView guid="{1D8BE6F4-405A-4FC6-B1E3-D9618F9FD7A8}" scale="80" showGridLines="0" hiddenColumns="1">
      <pane ySplit="8" topLeftCell="A100" activePane="bottomLeft" state="frozen"/>
      <selection pane="bottomLeft" activeCell="D102" sqref="D10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2"/>
      <headerFooter alignWithMargins="0"/>
    </customSheetView>
    <customSheetView guid="{898DF6CC-64C7-4F2D-A13E-0A476B60DF75}" scale="80" showGridLines="0" hiddenColumns="1">
      <pane ySplit="8" topLeftCell="A9" activePane="bottomLeft" state="frozen"/>
      <selection pane="bottomLeft" activeCell="A9" sqref="A9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3"/>
      <headerFooter alignWithMargins="0"/>
    </customSheetView>
    <customSheetView guid="{809E84AF-EE5E-4456-99E6-0390B35F6AD9}" scale="80" showGridLines="0" hiddenColumns="1">
      <pane ySplit="8" topLeftCell="A9" activePane="bottomLeft" state="frozen"/>
      <selection pane="bottomLeft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4"/>
      <headerFooter alignWithMargins="0"/>
    </customSheetView>
  </customSheetViews>
  <mergeCells count="6">
    <mergeCell ref="C6:D6"/>
    <mergeCell ref="C4:D4"/>
    <mergeCell ref="C2:E3"/>
    <mergeCell ref="C5:D5"/>
    <mergeCell ref="G5:L5"/>
    <mergeCell ref="E6:S6"/>
  </mergeCells>
  <phoneticPr fontId="4"/>
  <dataValidations xWindow="736" yWindow="489" count="8">
    <dataValidation imeMode="off" allowBlank="1" showInputMessage="1" showErrorMessage="1" sqref="H49:R49 G9:G49"/>
    <dataValidation type="list" allowBlank="1" showInputMessage="1" showErrorMessage="1" sqref="C2:E3">
      <formula1>TableTypeList</formula1>
    </dataValidation>
    <dataValidation type="list" allowBlank="1" showInputMessage="1" showErrorMessage="1" sqref="E52:E62">
      <formula1>IndexTypeList</formula1>
    </dataValidation>
    <dataValidation type="whole" imeMode="off" allowBlank="1" showErrorMessage="1" errorTitle="Not NUll設定" error="Not Null の場合は、「1」を入力" promptTitle="Not NUll設定" prompt="Not Null の場合は、「1」を入力" sqref="S9:S49">
      <formula1>0</formula1>
      <formula2>1</formula2>
    </dataValidation>
    <dataValidation type="textLength" imeMode="off" operator="lessThanOrEqual" allowBlank="1" showInputMessage="1" showErrorMessage="1" errorTitle="エラー" error="文字数は63文字まで。" sqref="E9:E49 AA9:AA49 AB9:AB48">
      <formula1>63</formula1>
    </dataValidation>
    <dataValidation type="list" allowBlank="1" showInputMessage="1" showErrorMessage="1" sqref="F9:F49">
      <formula1>INDIRECT(DBMS)</formula1>
    </dataValidation>
    <dataValidation type="list" allowBlank="1" showInputMessage="1" sqref="T9:T48">
      <formula1>defaultVal</formula1>
    </dataValidation>
    <dataValidation imeMode="on" allowBlank="1" showInputMessage="1" showErrorMessage="1" sqref="D9:D48"/>
  </dataValidations>
  <printOptions horizontalCentered="1"/>
  <pageMargins left="0.24" right="0.19685039370078741" top="0.4" bottom="0.4" header="0.2" footer="0"/>
  <pageSetup paperSize="9" scale="57" orientation="landscape" r:id="rId5"/>
  <headerFooter alignWithMargins="0"/>
  <rowBreaks count="1" manualBreakCount="1">
    <brk id="50" max="16383" man="1"/>
  </rowBreaks>
  <legacy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_Tmp"/>
  <dimension ref="A1:D8"/>
  <sheetViews>
    <sheetView workbookViewId="0">
      <selection activeCell="F32" sqref="F32"/>
    </sheetView>
  </sheetViews>
  <sheetFormatPr defaultRowHeight="15"/>
  <sheetData>
    <row r="1" spans="1:4">
      <c r="A1" t="s">
        <v>481</v>
      </c>
      <c r="B1" t="s">
        <v>359</v>
      </c>
      <c r="C1" t="s">
        <v>482</v>
      </c>
      <c r="D1" t="s">
        <v>483</v>
      </c>
    </row>
    <row r="2" spans="1:4">
      <c r="A2">
        <v>1</v>
      </c>
      <c r="B2" t="s">
        <v>484</v>
      </c>
      <c r="C2" t="s">
        <v>485</v>
      </c>
      <c r="D2" s="240">
        <v>44475.621087962965</v>
      </c>
    </row>
    <row r="3" spans="1:4">
      <c r="A3">
        <v>2</v>
      </c>
      <c r="B3" t="s">
        <v>486</v>
      </c>
      <c r="C3" t="s">
        <v>487</v>
      </c>
      <c r="D3" s="240">
        <v>44475.621099537035</v>
      </c>
    </row>
    <row r="4" spans="1:4">
      <c r="A4">
        <v>3</v>
      </c>
      <c r="B4" t="s">
        <v>488</v>
      </c>
      <c r="C4" t="s">
        <v>489</v>
      </c>
      <c r="D4" s="240">
        <v>44475.621099537035</v>
      </c>
    </row>
    <row r="5" spans="1:4">
      <c r="A5">
        <v>4</v>
      </c>
      <c r="B5" t="s">
        <v>490</v>
      </c>
      <c r="C5" t="s">
        <v>491</v>
      </c>
      <c r="D5" s="240">
        <v>44475.621111111112</v>
      </c>
    </row>
    <row r="6" spans="1:4">
      <c r="A6">
        <v>5</v>
      </c>
      <c r="B6" t="s">
        <v>492</v>
      </c>
      <c r="C6" t="s">
        <v>493</v>
      </c>
      <c r="D6" s="240">
        <v>44475.621111111112</v>
      </c>
    </row>
    <row r="7" spans="1:4">
      <c r="A7">
        <v>6</v>
      </c>
      <c r="B7" t="s">
        <v>494</v>
      </c>
      <c r="C7" t="s">
        <v>495</v>
      </c>
      <c r="D7" s="240">
        <v>44475.621111111112</v>
      </c>
    </row>
    <row r="8" spans="1:4">
      <c r="A8">
        <v>7</v>
      </c>
      <c r="B8" t="s">
        <v>496</v>
      </c>
      <c r="C8" t="s">
        <v>497</v>
      </c>
      <c r="D8" s="240">
        <v>44475.621111111112</v>
      </c>
    </row>
  </sheetData>
  <phoneticPr fontId="1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>
    <pageSetUpPr fitToPage="1"/>
  </sheetPr>
  <dimension ref="A1:AV40"/>
  <sheetViews>
    <sheetView showGridLines="0" zoomScaleNormal="100" zoomScaleSheetLayoutView="100" workbookViewId="0">
      <selection activeCell="A4" sqref="A4:AU5"/>
    </sheetView>
  </sheetViews>
  <sheetFormatPr defaultColWidth="3" defaultRowHeight="13.5" customHeight="1"/>
  <cols>
    <col min="1" max="2" width="3" style="6" customWidth="1"/>
    <col min="3" max="3" width="3" style="9" customWidth="1"/>
    <col min="4" max="4" width="3" style="7" customWidth="1"/>
    <col min="5" max="45" width="3" style="6" customWidth="1"/>
    <col min="46" max="47" width="3.7109375" style="6" customWidth="1"/>
    <col min="49" max="16384" width="3" style="6"/>
  </cols>
  <sheetData>
    <row r="1" spans="1:47" ht="13.5" customHeight="1">
      <c r="A1" s="23"/>
      <c r="B1" s="281" t="str">
        <f>CustomerName &amp;" 御中"</f>
        <v>○○株式会社 御中</v>
      </c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281"/>
      <c r="Z1" s="281"/>
      <c r="AA1" s="281"/>
      <c r="AB1" s="281"/>
      <c r="AC1" s="281"/>
      <c r="AD1" s="281"/>
      <c r="AE1" s="281"/>
      <c r="AF1" s="281"/>
      <c r="AG1" s="281"/>
      <c r="AH1" s="281"/>
      <c r="AI1" s="281"/>
      <c r="AJ1" s="281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</row>
    <row r="2" spans="1:47" ht="13.5" customHeight="1">
      <c r="A2" s="23"/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1"/>
      <c r="AA2" s="281"/>
      <c r="AB2" s="281"/>
      <c r="AC2" s="281"/>
      <c r="AD2" s="281"/>
      <c r="AE2" s="281"/>
      <c r="AF2" s="281"/>
      <c r="AG2" s="281"/>
      <c r="AH2" s="281"/>
      <c r="AI2" s="281"/>
      <c r="AJ2" s="281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</row>
    <row r="3" spans="1:47" ht="13.5" customHeight="1">
      <c r="A3" s="23"/>
      <c r="B3" s="281"/>
      <c r="C3" s="281"/>
      <c r="D3" s="281"/>
      <c r="E3" s="281"/>
      <c r="F3" s="281"/>
      <c r="G3" s="281"/>
      <c r="H3" s="281"/>
      <c r="I3" s="281"/>
      <c r="J3" s="281"/>
      <c r="K3" s="281"/>
      <c r="L3" s="281"/>
      <c r="M3" s="281"/>
      <c r="N3" s="281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1"/>
      <c r="AA3" s="281"/>
      <c r="AB3" s="281"/>
      <c r="AC3" s="281"/>
      <c r="AD3" s="281"/>
      <c r="AE3" s="281"/>
      <c r="AF3" s="281"/>
      <c r="AG3" s="281"/>
      <c r="AH3" s="281"/>
      <c r="AI3" s="281"/>
      <c r="AJ3" s="281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</row>
    <row r="4" spans="1:47" ht="13.5" customHeight="1">
      <c r="A4" s="283" t="str">
        <f>ProjectName</f>
        <v>○△□プロジェクト</v>
      </c>
      <c r="B4" s="283"/>
      <c r="C4" s="283"/>
      <c r="D4" s="283"/>
      <c r="E4" s="283"/>
      <c r="F4" s="283"/>
      <c r="G4" s="283"/>
      <c r="H4" s="283"/>
      <c r="I4" s="283"/>
      <c r="J4" s="283"/>
      <c r="K4" s="283"/>
      <c r="L4" s="283"/>
      <c r="M4" s="283"/>
      <c r="N4" s="283"/>
      <c r="O4" s="283"/>
      <c r="P4" s="283"/>
      <c r="Q4" s="283"/>
      <c r="R4" s="283"/>
      <c r="S4" s="283"/>
      <c r="T4" s="283"/>
      <c r="U4" s="283"/>
      <c r="V4" s="283"/>
      <c r="W4" s="283"/>
      <c r="X4" s="283"/>
      <c r="Y4" s="283"/>
      <c r="Z4" s="283"/>
      <c r="AA4" s="283"/>
      <c r="AB4" s="283"/>
      <c r="AC4" s="283"/>
      <c r="AD4" s="283"/>
      <c r="AE4" s="283"/>
      <c r="AF4" s="283"/>
      <c r="AG4" s="283"/>
      <c r="AH4" s="283"/>
      <c r="AI4" s="283"/>
      <c r="AJ4" s="283"/>
      <c r="AK4" s="283"/>
      <c r="AL4" s="283"/>
      <c r="AM4" s="283"/>
      <c r="AN4" s="283"/>
      <c r="AO4" s="283"/>
      <c r="AP4" s="283"/>
      <c r="AQ4" s="283"/>
      <c r="AR4" s="283"/>
      <c r="AS4" s="283"/>
      <c r="AT4" s="283"/>
      <c r="AU4" s="283"/>
    </row>
    <row r="5" spans="1:47" ht="13.5" customHeight="1">
      <c r="A5" s="283"/>
      <c r="B5" s="283"/>
      <c r="C5" s="283"/>
      <c r="D5" s="283"/>
      <c r="E5" s="283"/>
      <c r="F5" s="283"/>
      <c r="G5" s="283"/>
      <c r="H5" s="283"/>
      <c r="I5" s="283"/>
      <c r="J5" s="283"/>
      <c r="K5" s="283"/>
      <c r="L5" s="283"/>
      <c r="M5" s="283"/>
      <c r="N5" s="283"/>
      <c r="O5" s="283"/>
      <c r="P5" s="283"/>
      <c r="Q5" s="283"/>
      <c r="R5" s="283"/>
      <c r="S5" s="283"/>
      <c r="T5" s="283"/>
      <c r="U5" s="283"/>
      <c r="V5" s="283"/>
      <c r="W5" s="283"/>
      <c r="X5" s="283"/>
      <c r="Y5" s="283"/>
      <c r="Z5" s="283"/>
      <c r="AA5" s="283"/>
      <c r="AB5" s="283"/>
      <c r="AC5" s="283"/>
      <c r="AD5" s="283"/>
      <c r="AE5" s="283"/>
      <c r="AF5" s="283"/>
      <c r="AG5" s="283"/>
      <c r="AH5" s="283"/>
      <c r="AI5" s="283"/>
      <c r="AJ5" s="283"/>
      <c r="AK5" s="283"/>
      <c r="AL5" s="283"/>
      <c r="AM5" s="283"/>
      <c r="AN5" s="283"/>
      <c r="AO5" s="283"/>
      <c r="AP5" s="283"/>
      <c r="AQ5" s="283"/>
      <c r="AR5" s="283"/>
      <c r="AS5" s="283"/>
      <c r="AT5" s="283"/>
      <c r="AU5" s="283"/>
    </row>
    <row r="8" spans="1:47" ht="13.5" customHeight="1"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</row>
    <row r="9" spans="1:47" ht="13.5" customHeight="1"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1" spans="1:47" ht="13.5" customHeight="1">
      <c r="H11" s="10"/>
    </row>
    <row r="12" spans="1:47" ht="13.5" customHeight="1">
      <c r="H12" s="10"/>
    </row>
    <row r="13" spans="1:47" ht="13.5" customHeight="1">
      <c r="H13" s="10"/>
    </row>
    <row r="14" spans="1:47" ht="13.5" customHeight="1">
      <c r="H14" s="10"/>
    </row>
    <row r="15" spans="1:47" ht="13.5" customHeight="1">
      <c r="H15" s="10"/>
    </row>
    <row r="16" spans="1:47" ht="13.5" customHeight="1">
      <c r="H16" s="10"/>
    </row>
    <row r="17" spans="8:8" ht="13.5" customHeight="1">
      <c r="H17" s="10"/>
    </row>
    <row r="18" spans="8:8" ht="13.5" customHeight="1">
      <c r="H18" s="10"/>
    </row>
    <row r="19" spans="8:8" ht="13.5" customHeight="1">
      <c r="H19" s="10"/>
    </row>
    <row r="20" spans="8:8" ht="13.5" customHeight="1">
      <c r="H20" s="10"/>
    </row>
    <row r="21" spans="8:8" ht="13.5" customHeight="1">
      <c r="H21" s="10"/>
    </row>
    <row r="22" spans="8:8" ht="13.5" customHeight="1">
      <c r="H22" s="10"/>
    </row>
    <row r="23" spans="8:8" ht="13.5" customHeight="1">
      <c r="H23" s="10"/>
    </row>
    <row r="24" spans="8:8" ht="13.5" customHeight="1">
      <c r="H24" s="10"/>
    </row>
    <row r="25" spans="8:8" ht="13.5" customHeight="1">
      <c r="H25" s="10"/>
    </row>
    <row r="26" spans="8:8" ht="13.5" customHeight="1">
      <c r="H26" s="10"/>
    </row>
    <row r="27" spans="8:8" ht="13.5" customHeight="1">
      <c r="H27" s="10"/>
    </row>
    <row r="28" spans="8:8" ht="13.5" customHeight="1">
      <c r="H28" s="10"/>
    </row>
    <row r="29" spans="8:8" ht="13.5" customHeight="1">
      <c r="H29" s="10"/>
    </row>
    <row r="30" spans="8:8" ht="13.5" customHeight="1">
      <c r="H30" s="10"/>
    </row>
    <row r="31" spans="8:8" ht="13.5" customHeight="1">
      <c r="H31" s="10"/>
    </row>
    <row r="32" spans="8:8" ht="13.5" customHeight="1">
      <c r="H32" s="10"/>
    </row>
    <row r="35" spans="2:46" ht="13.5" customHeight="1">
      <c r="B35" s="50" t="s">
        <v>68</v>
      </c>
      <c r="C35" s="51"/>
      <c r="D35" s="52"/>
      <c r="E35" s="50" t="s">
        <v>68</v>
      </c>
      <c r="F35" s="51"/>
      <c r="G35" s="52"/>
      <c r="H35" s="50" t="s">
        <v>125</v>
      </c>
      <c r="I35" s="51"/>
      <c r="J35" s="52"/>
      <c r="K35" s="50" t="s">
        <v>126</v>
      </c>
      <c r="L35" s="51"/>
      <c r="M35" s="52"/>
      <c r="N35" s="39"/>
      <c r="O35" s="39"/>
      <c r="P35" s="39"/>
    </row>
    <row r="36" spans="2:46" ht="13.5" customHeight="1">
      <c r="B36" s="41"/>
      <c r="C36" s="42"/>
      <c r="D36" s="42"/>
      <c r="E36" s="41"/>
      <c r="F36" s="42"/>
      <c r="G36" s="42"/>
      <c r="H36" s="41"/>
      <c r="I36" s="42"/>
      <c r="J36" s="42"/>
      <c r="K36" s="41"/>
      <c r="L36" s="42"/>
      <c r="M36" s="43"/>
      <c r="N36" s="39"/>
      <c r="O36" s="39"/>
      <c r="P36" s="39"/>
    </row>
    <row r="37" spans="2:46" ht="13.5" customHeight="1">
      <c r="B37" s="44"/>
      <c r="C37" s="45"/>
      <c r="D37" s="45"/>
      <c r="E37" s="44"/>
      <c r="F37" s="45"/>
      <c r="G37" s="45"/>
      <c r="H37" s="44"/>
      <c r="I37" s="45"/>
      <c r="J37" s="45"/>
      <c r="K37" s="44"/>
      <c r="L37" s="45"/>
      <c r="M37" s="46"/>
      <c r="N37" s="39"/>
      <c r="O37" s="39"/>
      <c r="P37" s="39"/>
    </row>
    <row r="38" spans="2:46" ht="13.5" customHeight="1">
      <c r="B38" s="47"/>
      <c r="C38" s="48"/>
      <c r="D38" s="48"/>
      <c r="E38" s="47"/>
      <c r="F38" s="48"/>
      <c r="G38" s="48"/>
      <c r="H38" s="47"/>
      <c r="I38" s="48"/>
      <c r="J38" s="48"/>
      <c r="K38" s="47"/>
      <c r="L38" s="48"/>
      <c r="M38" s="49"/>
      <c r="N38" s="39"/>
      <c r="O38" s="39"/>
      <c r="P38" s="39"/>
      <c r="AL38" s="284">
        <f>MAX(変更履歴!C:C)</f>
        <v>44287</v>
      </c>
      <c r="AM38" s="284"/>
      <c r="AN38" s="284"/>
      <c r="AO38" s="284"/>
      <c r="AP38" s="284"/>
      <c r="AQ38" s="284"/>
      <c r="AR38" s="282">
        <f>MAX(変更履歴!B:B)</f>
        <v>1</v>
      </c>
      <c r="AS38" s="282"/>
      <c r="AT38" s="282"/>
    </row>
    <row r="40" spans="2:46" customFormat="1" ht="13.5" customHeight="1"/>
  </sheetData>
  <customSheetViews>
    <customSheetView guid="{11FF3D1A-B611-4935-A0EC-72FFAD7F9EAF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1"/>
      <headerFooter alignWithMargins="0"/>
    </customSheetView>
    <customSheetView guid="{1D8BE6F4-405A-4FC6-B1E3-D9618F9FD7A8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2"/>
      <headerFooter alignWithMargins="0"/>
    </customSheetView>
    <customSheetView guid="{898DF6CC-64C7-4F2D-A13E-0A476B60DF75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3"/>
      <headerFooter alignWithMargins="0"/>
    </customSheetView>
    <customSheetView guid="{809E84AF-EE5E-4456-99E6-0390B35F6AD9}" scale="85" showPageBreaks="1" showGridLines="0" printArea="1" view="pageBreakPreview">
      <selection activeCell="AK11" sqref="AK11"/>
      <pageMargins left="0.39370078740157483" right="0.39370078740157483" top="0.39370078740157483" bottom="0.39370078740157483" header="0.51181102362204722" footer="0.11811023622047245"/>
      <pageSetup paperSize="9" scale="96" orientation="landscape" useFirstPageNumber="1" horizontalDpi="300" verticalDpi="300" r:id="rId4"/>
      <headerFooter alignWithMargins="0"/>
    </customSheetView>
  </customSheetViews>
  <mergeCells count="4">
    <mergeCell ref="B1:AJ3"/>
    <mergeCell ref="AR38:AT38"/>
    <mergeCell ref="A4:AU5"/>
    <mergeCell ref="AL38:AQ38"/>
  </mergeCells>
  <phoneticPr fontId="4"/>
  <pageMargins left="0.23" right="0.39370078740157483" top="0.59055118110236227" bottom="0.4" header="0.31496062992125984" footer="0.27559055118110237"/>
  <pageSetup paperSize="9" scale="98" fitToHeight="0" orientation="landscape" useFirstPageNumber="1" horizontalDpi="300" verticalDpi="300" r:id="rId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>
    <pageSetUpPr fitToPage="1"/>
  </sheetPr>
  <dimension ref="A1:X231"/>
  <sheetViews>
    <sheetView showGridLines="0" zoomScaleNormal="100" workbookViewId="0">
      <pane ySplit="5" topLeftCell="A6" activePane="bottomLeft" state="frozen"/>
      <selection activeCell="B6" sqref="B6"/>
      <selection pane="bottomLeft" activeCell="V23" sqref="V23"/>
    </sheetView>
  </sheetViews>
  <sheetFormatPr defaultRowHeight="18.75"/>
  <cols>
    <col min="1" max="1" width="3.85546875" style="18" customWidth="1"/>
    <col min="2" max="2" width="8.7109375" style="18" customWidth="1"/>
    <col min="3" max="3" width="15.7109375" style="18" customWidth="1"/>
    <col min="4" max="4" width="22.7109375" style="18" customWidth="1"/>
    <col min="5" max="5" width="25.7109375" style="18" customWidth="1"/>
    <col min="6" max="6" width="10.7109375" style="18" customWidth="1"/>
    <col min="7" max="7" width="14" style="18" customWidth="1"/>
    <col min="8" max="8" width="12" style="18" customWidth="1"/>
    <col min="9" max="9" width="10.85546875" style="18" hidden="1" customWidth="1"/>
    <col min="10" max="14" width="3" style="18" customWidth="1"/>
    <col min="15" max="15" width="12" style="18" customWidth="1"/>
    <col min="16" max="21" width="13.42578125" style="18" customWidth="1"/>
    <col min="22" max="22" width="15.28515625" style="31" customWidth="1"/>
    <col min="23" max="16384" width="9.140625" style="18"/>
  </cols>
  <sheetData>
    <row r="1" spans="1:22" ht="12" customHeight="1" thickBot="1">
      <c r="A1" s="23"/>
      <c r="V1" s="18"/>
    </row>
    <row r="2" spans="1:22" ht="15" customHeight="1">
      <c r="B2" s="268" t="s">
        <v>114</v>
      </c>
      <c r="C2" s="269"/>
      <c r="D2" s="269"/>
      <c r="E2" s="294"/>
      <c r="F2" s="274" t="s">
        <v>2</v>
      </c>
      <c r="G2" s="275"/>
      <c r="H2" s="296" t="str">
        <f>ProjectName</f>
        <v>○△□プロジェクト</v>
      </c>
      <c r="I2" s="297"/>
      <c r="J2" s="297"/>
      <c r="K2" s="297"/>
      <c r="L2" s="297"/>
      <c r="M2" s="297"/>
      <c r="N2" s="297"/>
      <c r="O2" s="298"/>
      <c r="P2" s="99" t="s">
        <v>3</v>
      </c>
      <c r="Q2" s="299" t="str">
        <f>CreateBy</f>
        <v>○○　✕✕</v>
      </c>
      <c r="R2" s="300"/>
      <c r="S2" s="99" t="s">
        <v>4</v>
      </c>
      <c r="T2" s="285">
        <f>CreateAt</f>
        <v>44287</v>
      </c>
      <c r="U2" s="286"/>
      <c r="V2" s="18"/>
    </row>
    <row r="3" spans="1:22" ht="15" customHeight="1" thickBot="1">
      <c r="B3" s="271"/>
      <c r="C3" s="272"/>
      <c r="D3" s="272"/>
      <c r="E3" s="295"/>
      <c r="F3" s="265" t="s">
        <v>5</v>
      </c>
      <c r="G3" s="266"/>
      <c r="H3" s="287" t="str">
        <f>systemName</f>
        <v>○✕システム</v>
      </c>
      <c r="I3" s="288"/>
      <c r="J3" s="288"/>
      <c r="K3" s="288"/>
      <c r="L3" s="288"/>
      <c r="M3" s="288"/>
      <c r="N3" s="288"/>
      <c r="O3" s="289"/>
      <c r="P3" s="100" t="s">
        <v>6</v>
      </c>
      <c r="Q3" s="290"/>
      <c r="R3" s="291"/>
      <c r="S3" s="100" t="s">
        <v>7</v>
      </c>
      <c r="T3" s="292"/>
      <c r="U3" s="293"/>
      <c r="V3" s="18"/>
    </row>
    <row r="4" spans="1:22" ht="13.5" customHeight="1" thickBot="1">
      <c r="V4" s="18"/>
    </row>
    <row r="5" spans="1:22" ht="20.100000000000001" customHeight="1" thickBot="1">
      <c r="B5" s="101" t="s">
        <v>113</v>
      </c>
      <c r="C5" s="102" t="s">
        <v>70</v>
      </c>
      <c r="D5" s="103" t="s">
        <v>204</v>
      </c>
      <c r="E5" s="304" t="s">
        <v>71</v>
      </c>
      <c r="F5" s="305"/>
      <c r="G5" s="305"/>
      <c r="H5" s="305"/>
      <c r="I5" s="305"/>
      <c r="J5" s="305"/>
      <c r="K5" s="305"/>
      <c r="L5" s="305"/>
      <c r="M5" s="305"/>
      <c r="N5" s="305"/>
      <c r="O5" s="305"/>
      <c r="P5" s="305"/>
      <c r="Q5" s="305"/>
      <c r="R5" s="305"/>
      <c r="S5" s="305"/>
      <c r="T5" s="305"/>
      <c r="U5" s="306"/>
      <c r="V5" s="18"/>
    </row>
    <row r="6" spans="1:22" ht="20.100000000000001" customHeight="1">
      <c r="B6" s="24">
        <v>1</v>
      </c>
      <c r="C6" s="25">
        <f>CreateAt</f>
        <v>44287</v>
      </c>
      <c r="D6" s="26" t="str">
        <f>CreateBy</f>
        <v>○○　✕✕</v>
      </c>
      <c r="E6" s="301" t="s">
        <v>209</v>
      </c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2"/>
      <c r="S6" s="302"/>
      <c r="T6" s="302"/>
      <c r="U6" s="303"/>
      <c r="V6" s="18"/>
    </row>
    <row r="7" spans="1:22" ht="20.100000000000001" customHeight="1">
      <c r="B7" s="27"/>
      <c r="C7" s="38"/>
      <c r="D7" s="37"/>
      <c r="E7" s="307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9"/>
      <c r="V7" s="18"/>
    </row>
    <row r="8" spans="1:22" ht="20.100000000000001" customHeight="1">
      <c r="B8" s="27"/>
      <c r="C8" s="38"/>
      <c r="D8" s="37"/>
      <c r="E8" s="307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9"/>
      <c r="V8" s="18"/>
    </row>
    <row r="9" spans="1:22" ht="20.100000000000001" customHeight="1">
      <c r="B9" s="27"/>
      <c r="C9" s="38"/>
      <c r="D9" s="37"/>
      <c r="E9" s="307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9"/>
      <c r="V9" s="18"/>
    </row>
    <row r="10" spans="1:22" ht="20.100000000000001" customHeight="1">
      <c r="B10" s="27"/>
      <c r="C10" s="38"/>
      <c r="D10" s="37"/>
      <c r="E10" s="307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8"/>
      <c r="Q10" s="308"/>
      <c r="R10" s="308"/>
      <c r="S10" s="308"/>
      <c r="T10" s="308"/>
      <c r="U10" s="309"/>
      <c r="V10" s="18"/>
    </row>
    <row r="11" spans="1:22" ht="20.100000000000001" customHeight="1">
      <c r="B11" s="27"/>
      <c r="C11" s="38"/>
      <c r="D11" s="37"/>
      <c r="E11" s="307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8"/>
      <c r="Q11" s="308"/>
      <c r="R11" s="308"/>
      <c r="S11" s="308"/>
      <c r="T11" s="308"/>
      <c r="U11" s="309"/>
      <c r="V11" s="18"/>
    </row>
    <row r="12" spans="1:22" ht="20.100000000000001" customHeight="1">
      <c r="B12" s="27"/>
      <c r="C12" s="38"/>
      <c r="D12" s="37"/>
      <c r="E12" s="307"/>
      <c r="F12" s="308"/>
      <c r="G12" s="308"/>
      <c r="H12" s="308"/>
      <c r="I12" s="308"/>
      <c r="J12" s="308"/>
      <c r="K12" s="308"/>
      <c r="L12" s="308"/>
      <c r="M12" s="308"/>
      <c r="N12" s="308"/>
      <c r="O12" s="308"/>
      <c r="P12" s="308"/>
      <c r="Q12" s="308"/>
      <c r="R12" s="308"/>
      <c r="S12" s="308"/>
      <c r="T12" s="308"/>
      <c r="U12" s="309"/>
      <c r="V12" s="18"/>
    </row>
    <row r="13" spans="1:22" ht="20.100000000000001" customHeight="1">
      <c r="B13" s="27"/>
      <c r="C13" s="38"/>
      <c r="D13" s="37"/>
      <c r="E13" s="307"/>
      <c r="F13" s="308"/>
      <c r="G13" s="308"/>
      <c r="H13" s="308"/>
      <c r="I13" s="308"/>
      <c r="J13" s="308"/>
      <c r="K13" s="308"/>
      <c r="L13" s="308"/>
      <c r="M13" s="308"/>
      <c r="N13" s="308"/>
      <c r="O13" s="308"/>
      <c r="P13" s="308"/>
      <c r="Q13" s="308"/>
      <c r="R13" s="308"/>
      <c r="S13" s="308"/>
      <c r="T13" s="308"/>
      <c r="U13" s="309"/>
      <c r="V13" s="18"/>
    </row>
    <row r="14" spans="1:22" ht="20.100000000000001" customHeight="1">
      <c r="B14" s="27"/>
      <c r="C14" s="38"/>
      <c r="D14" s="37"/>
      <c r="E14" s="307"/>
      <c r="F14" s="308"/>
      <c r="G14" s="308"/>
      <c r="H14" s="308"/>
      <c r="I14" s="308"/>
      <c r="J14" s="308"/>
      <c r="K14" s="308"/>
      <c r="L14" s="308"/>
      <c r="M14" s="308"/>
      <c r="N14" s="308"/>
      <c r="O14" s="308"/>
      <c r="P14" s="308"/>
      <c r="Q14" s="308"/>
      <c r="R14" s="308"/>
      <c r="S14" s="308"/>
      <c r="T14" s="308"/>
      <c r="U14" s="309"/>
      <c r="V14" s="18"/>
    </row>
    <row r="15" spans="1:22" ht="20.100000000000001" customHeight="1">
      <c r="B15" s="27"/>
      <c r="C15" s="38"/>
      <c r="D15" s="37"/>
      <c r="E15" s="307"/>
      <c r="F15" s="308"/>
      <c r="G15" s="308"/>
      <c r="H15" s="308"/>
      <c r="I15" s="308"/>
      <c r="J15" s="308"/>
      <c r="K15" s="308"/>
      <c r="L15" s="308"/>
      <c r="M15" s="308"/>
      <c r="N15" s="308"/>
      <c r="O15" s="308"/>
      <c r="P15" s="308"/>
      <c r="Q15" s="308"/>
      <c r="R15" s="308"/>
      <c r="S15" s="308"/>
      <c r="T15" s="308"/>
      <c r="U15" s="309"/>
      <c r="V15" s="18"/>
    </row>
    <row r="16" spans="1:22" ht="20.100000000000001" customHeight="1">
      <c r="B16" s="27"/>
      <c r="C16" s="38"/>
      <c r="D16" s="37"/>
      <c r="E16" s="307"/>
      <c r="F16" s="308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8"/>
      <c r="S16" s="308"/>
      <c r="T16" s="308"/>
      <c r="U16" s="309"/>
      <c r="V16" s="18"/>
    </row>
    <row r="17" spans="2:22" ht="20.100000000000001" customHeight="1">
      <c r="B17" s="27"/>
      <c r="C17" s="38"/>
      <c r="D17" s="37"/>
      <c r="E17" s="307"/>
      <c r="F17" s="308"/>
      <c r="G17" s="308"/>
      <c r="H17" s="308"/>
      <c r="I17" s="308"/>
      <c r="J17" s="308"/>
      <c r="K17" s="308"/>
      <c r="L17" s="308"/>
      <c r="M17" s="308"/>
      <c r="N17" s="308"/>
      <c r="O17" s="308"/>
      <c r="P17" s="308"/>
      <c r="Q17" s="308"/>
      <c r="R17" s="308"/>
      <c r="S17" s="308"/>
      <c r="T17" s="308"/>
      <c r="U17" s="309"/>
      <c r="V17" s="18"/>
    </row>
    <row r="18" spans="2:22" ht="20.100000000000001" customHeight="1">
      <c r="B18" s="27"/>
      <c r="C18" s="38"/>
      <c r="D18" s="37"/>
      <c r="E18" s="307"/>
      <c r="F18" s="308"/>
      <c r="G18" s="308"/>
      <c r="H18" s="308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309"/>
      <c r="V18" s="18"/>
    </row>
    <row r="19" spans="2:22" ht="20.100000000000001" customHeight="1">
      <c r="B19" s="27"/>
      <c r="C19" s="38"/>
      <c r="D19" s="37"/>
      <c r="E19" s="307"/>
      <c r="F19" s="308"/>
      <c r="G19" s="308"/>
      <c r="H19" s="308"/>
      <c r="I19" s="308"/>
      <c r="J19" s="308"/>
      <c r="K19" s="308"/>
      <c r="L19" s="308"/>
      <c r="M19" s="308"/>
      <c r="N19" s="308"/>
      <c r="O19" s="308"/>
      <c r="P19" s="308"/>
      <c r="Q19" s="308"/>
      <c r="R19" s="308"/>
      <c r="S19" s="308"/>
      <c r="T19" s="308"/>
      <c r="U19" s="309"/>
      <c r="V19" s="18"/>
    </row>
    <row r="20" spans="2:22" ht="20.100000000000001" customHeight="1">
      <c r="B20" s="27"/>
      <c r="C20" s="38"/>
      <c r="D20" s="37"/>
      <c r="E20" s="307"/>
      <c r="F20" s="308"/>
      <c r="G20" s="308"/>
      <c r="H20" s="308"/>
      <c r="I20" s="308"/>
      <c r="J20" s="308"/>
      <c r="K20" s="308"/>
      <c r="L20" s="308"/>
      <c r="M20" s="308"/>
      <c r="N20" s="308"/>
      <c r="O20" s="308"/>
      <c r="P20" s="308"/>
      <c r="Q20" s="308"/>
      <c r="R20" s="308"/>
      <c r="S20" s="308"/>
      <c r="T20" s="308"/>
      <c r="U20" s="309"/>
      <c r="V20" s="18"/>
    </row>
    <row r="21" spans="2:22" ht="20.100000000000001" customHeight="1">
      <c r="B21" s="27"/>
      <c r="C21" s="38"/>
      <c r="D21" s="37"/>
      <c r="E21" s="307"/>
      <c r="F21" s="308"/>
      <c r="G21" s="308"/>
      <c r="H21" s="308"/>
      <c r="I21" s="308"/>
      <c r="J21" s="308"/>
      <c r="K21" s="308"/>
      <c r="L21" s="308"/>
      <c r="M21" s="308"/>
      <c r="N21" s="308"/>
      <c r="O21" s="308"/>
      <c r="P21" s="308"/>
      <c r="Q21" s="308"/>
      <c r="R21" s="308"/>
      <c r="S21" s="308"/>
      <c r="T21" s="308"/>
      <c r="U21" s="309"/>
      <c r="V21" s="18"/>
    </row>
    <row r="22" spans="2:22" ht="20.100000000000001" customHeight="1">
      <c r="B22" s="27"/>
      <c r="C22" s="38"/>
      <c r="D22" s="37"/>
      <c r="E22" s="307"/>
      <c r="F22" s="308"/>
      <c r="G22" s="308"/>
      <c r="H22" s="308"/>
      <c r="I22" s="308"/>
      <c r="J22" s="308"/>
      <c r="K22" s="308"/>
      <c r="L22" s="308"/>
      <c r="M22" s="308"/>
      <c r="N22" s="308"/>
      <c r="O22" s="308"/>
      <c r="P22" s="308"/>
      <c r="Q22" s="308"/>
      <c r="R22" s="308"/>
      <c r="S22" s="308"/>
      <c r="T22" s="308"/>
      <c r="U22" s="309"/>
      <c r="V22" s="18"/>
    </row>
    <row r="23" spans="2:22" ht="20.100000000000001" customHeight="1">
      <c r="B23" s="27"/>
      <c r="C23" s="38"/>
      <c r="D23" s="37"/>
      <c r="E23" s="307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9"/>
      <c r="V23" s="18"/>
    </row>
    <row r="24" spans="2:22" ht="20.100000000000001" customHeight="1">
      <c r="B24" s="27"/>
      <c r="C24" s="38"/>
      <c r="D24" s="37"/>
      <c r="E24" s="307"/>
      <c r="F24" s="308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9"/>
      <c r="V24" s="18"/>
    </row>
    <row r="25" spans="2:22" ht="20.100000000000001" customHeight="1">
      <c r="B25" s="27"/>
      <c r="C25" s="38"/>
      <c r="D25" s="37"/>
      <c r="E25" s="307"/>
      <c r="F25" s="308"/>
      <c r="G25" s="308"/>
      <c r="H25" s="308"/>
      <c r="I25" s="308"/>
      <c r="J25" s="308"/>
      <c r="K25" s="308"/>
      <c r="L25" s="308"/>
      <c r="M25" s="308"/>
      <c r="N25" s="308"/>
      <c r="O25" s="308"/>
      <c r="P25" s="308"/>
      <c r="Q25" s="308"/>
      <c r="R25" s="308"/>
      <c r="S25" s="308"/>
      <c r="T25" s="308"/>
      <c r="U25" s="309"/>
      <c r="V25" s="18"/>
    </row>
    <row r="26" spans="2:22" ht="20.100000000000001" customHeight="1">
      <c r="B26" s="27"/>
      <c r="C26" s="38"/>
      <c r="D26" s="37"/>
      <c r="E26" s="307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9"/>
      <c r="V26" s="18"/>
    </row>
    <row r="27" spans="2:22" ht="20.100000000000001" customHeight="1">
      <c r="B27" s="27"/>
      <c r="C27" s="38"/>
      <c r="D27" s="37"/>
      <c r="E27" s="307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9"/>
      <c r="V27" s="18"/>
    </row>
    <row r="28" spans="2:22" ht="20.100000000000001" customHeight="1">
      <c r="B28" s="27"/>
      <c r="C28" s="38"/>
      <c r="D28" s="37"/>
      <c r="E28" s="307"/>
      <c r="F28" s="308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9"/>
      <c r="V28" s="18"/>
    </row>
    <row r="29" spans="2:22" ht="20.100000000000001" customHeight="1">
      <c r="B29" s="27"/>
      <c r="C29" s="38"/>
      <c r="D29" s="37"/>
      <c r="E29" s="307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9"/>
      <c r="V29" s="18"/>
    </row>
    <row r="30" spans="2:22" ht="20.100000000000001" customHeight="1">
      <c r="B30" s="27"/>
      <c r="C30" s="38"/>
      <c r="D30" s="37"/>
      <c r="E30" s="307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9"/>
      <c r="V30" s="18"/>
    </row>
    <row r="31" spans="2:22" ht="20.100000000000001" customHeight="1">
      <c r="B31" s="27"/>
      <c r="C31" s="38"/>
      <c r="D31" s="37"/>
      <c r="E31" s="307"/>
      <c r="F31" s="308"/>
      <c r="G31" s="308"/>
      <c r="H31" s="308"/>
      <c r="I31" s="308"/>
      <c r="J31" s="308"/>
      <c r="K31" s="308"/>
      <c r="L31" s="308"/>
      <c r="M31" s="308"/>
      <c r="N31" s="308"/>
      <c r="O31" s="308"/>
      <c r="P31" s="308"/>
      <c r="Q31" s="308"/>
      <c r="R31" s="308"/>
      <c r="S31" s="308"/>
      <c r="T31" s="308"/>
      <c r="U31" s="309"/>
      <c r="V31" s="18"/>
    </row>
    <row r="32" spans="2:22" ht="20.100000000000001" customHeight="1">
      <c r="B32" s="27"/>
      <c r="C32" s="38"/>
      <c r="D32" s="37"/>
      <c r="E32" s="307"/>
      <c r="F32" s="308"/>
      <c r="G32" s="308"/>
      <c r="H32" s="308"/>
      <c r="I32" s="308"/>
      <c r="J32" s="308"/>
      <c r="K32" s="308"/>
      <c r="L32" s="308"/>
      <c r="M32" s="308"/>
      <c r="N32" s="308"/>
      <c r="O32" s="308"/>
      <c r="P32" s="308"/>
      <c r="Q32" s="308"/>
      <c r="R32" s="308"/>
      <c r="S32" s="308"/>
      <c r="T32" s="308"/>
      <c r="U32" s="309"/>
      <c r="V32" s="18"/>
    </row>
    <row r="33" spans="2:22" ht="20.100000000000001" customHeight="1">
      <c r="B33" s="27"/>
      <c r="C33" s="38"/>
      <c r="D33" s="37"/>
      <c r="E33" s="307"/>
      <c r="F33" s="308"/>
      <c r="G33" s="308"/>
      <c r="H33" s="308"/>
      <c r="I33" s="308"/>
      <c r="J33" s="308"/>
      <c r="K33" s="308"/>
      <c r="L33" s="308"/>
      <c r="M33" s="308"/>
      <c r="N33" s="308"/>
      <c r="O33" s="308"/>
      <c r="P33" s="308"/>
      <c r="Q33" s="308"/>
      <c r="R33" s="308"/>
      <c r="S33" s="308"/>
      <c r="T33" s="308"/>
      <c r="U33" s="309"/>
      <c r="V33" s="18"/>
    </row>
    <row r="34" spans="2:22" ht="20.100000000000001" customHeight="1">
      <c r="B34" s="27"/>
      <c r="C34" s="38"/>
      <c r="D34" s="37"/>
      <c r="E34" s="307"/>
      <c r="F34" s="308"/>
      <c r="G34" s="308"/>
      <c r="H34" s="308"/>
      <c r="I34" s="308"/>
      <c r="J34" s="308"/>
      <c r="K34" s="308"/>
      <c r="L34" s="308"/>
      <c r="M34" s="308"/>
      <c r="N34" s="308"/>
      <c r="O34" s="308"/>
      <c r="P34" s="308"/>
      <c r="Q34" s="308"/>
      <c r="R34" s="308"/>
      <c r="S34" s="308"/>
      <c r="T34" s="308"/>
      <c r="U34" s="309"/>
      <c r="V34" s="18"/>
    </row>
    <row r="35" spans="2:22" ht="20.100000000000001" customHeight="1">
      <c r="B35" s="27"/>
      <c r="C35" s="38"/>
      <c r="D35" s="37"/>
      <c r="E35" s="307"/>
      <c r="F35" s="308"/>
      <c r="G35" s="308"/>
      <c r="H35" s="308"/>
      <c r="I35" s="308"/>
      <c r="J35" s="308"/>
      <c r="K35" s="308"/>
      <c r="L35" s="308"/>
      <c r="M35" s="308"/>
      <c r="N35" s="308"/>
      <c r="O35" s="308"/>
      <c r="P35" s="308"/>
      <c r="Q35" s="308"/>
      <c r="R35" s="308"/>
      <c r="S35" s="308"/>
      <c r="T35" s="308"/>
      <c r="U35" s="309"/>
      <c r="V35" s="18"/>
    </row>
    <row r="36" spans="2:22" ht="20.100000000000001" customHeight="1">
      <c r="B36" s="27"/>
      <c r="C36" s="38"/>
      <c r="D36" s="37"/>
      <c r="E36" s="307"/>
      <c r="F36" s="308"/>
      <c r="G36" s="308"/>
      <c r="H36" s="308"/>
      <c r="I36" s="308"/>
      <c r="J36" s="308"/>
      <c r="K36" s="308"/>
      <c r="L36" s="308"/>
      <c r="M36" s="308"/>
      <c r="N36" s="308"/>
      <c r="O36" s="308"/>
      <c r="P36" s="308"/>
      <c r="Q36" s="308"/>
      <c r="R36" s="308"/>
      <c r="S36" s="308"/>
      <c r="T36" s="308"/>
      <c r="U36" s="309"/>
      <c r="V36" s="18"/>
    </row>
    <row r="37" spans="2:22" ht="20.100000000000001" customHeight="1">
      <c r="B37" s="27"/>
      <c r="C37" s="38"/>
      <c r="D37" s="37"/>
      <c r="E37" s="307"/>
      <c r="F37" s="308"/>
      <c r="G37" s="308"/>
      <c r="H37" s="308"/>
      <c r="I37" s="308"/>
      <c r="J37" s="308"/>
      <c r="K37" s="308"/>
      <c r="L37" s="308"/>
      <c r="M37" s="308"/>
      <c r="N37" s="308"/>
      <c r="O37" s="308"/>
      <c r="P37" s="308"/>
      <c r="Q37" s="308"/>
      <c r="R37" s="308"/>
      <c r="S37" s="308"/>
      <c r="T37" s="308"/>
      <c r="U37" s="309"/>
      <c r="V37" s="18"/>
    </row>
    <row r="38" spans="2:22" ht="20.100000000000001" customHeight="1">
      <c r="B38" s="27"/>
      <c r="C38" s="38"/>
      <c r="D38" s="37"/>
      <c r="E38" s="307"/>
      <c r="F38" s="308"/>
      <c r="G38" s="308"/>
      <c r="H38" s="308"/>
      <c r="I38" s="308"/>
      <c r="J38" s="308"/>
      <c r="K38" s="308"/>
      <c r="L38" s="308"/>
      <c r="M38" s="308"/>
      <c r="N38" s="308"/>
      <c r="O38" s="308"/>
      <c r="P38" s="308"/>
      <c r="Q38" s="308"/>
      <c r="R38" s="308"/>
      <c r="S38" s="308"/>
      <c r="T38" s="308"/>
      <c r="U38" s="309"/>
      <c r="V38" s="18"/>
    </row>
    <row r="39" spans="2:22" ht="20.100000000000001" customHeight="1">
      <c r="B39" s="27"/>
      <c r="C39" s="38"/>
      <c r="D39" s="37"/>
      <c r="E39" s="307"/>
      <c r="F39" s="308"/>
      <c r="G39" s="308"/>
      <c r="H39" s="308"/>
      <c r="I39" s="308"/>
      <c r="J39" s="308"/>
      <c r="K39" s="308"/>
      <c r="L39" s="308"/>
      <c r="M39" s="308"/>
      <c r="N39" s="308"/>
      <c r="O39" s="308"/>
      <c r="P39" s="308"/>
      <c r="Q39" s="308"/>
      <c r="R39" s="308"/>
      <c r="S39" s="308"/>
      <c r="T39" s="308"/>
      <c r="U39" s="309"/>
      <c r="V39" s="18"/>
    </row>
    <row r="40" spans="2:22" ht="20.100000000000001" customHeight="1">
      <c r="B40" s="27"/>
      <c r="C40" s="38"/>
      <c r="D40" s="37"/>
      <c r="E40" s="307"/>
      <c r="F40" s="308"/>
      <c r="G40" s="308"/>
      <c r="H40" s="308"/>
      <c r="I40" s="308"/>
      <c r="J40" s="308"/>
      <c r="K40" s="308"/>
      <c r="L40" s="308"/>
      <c r="M40" s="308"/>
      <c r="N40" s="308"/>
      <c r="O40" s="308"/>
      <c r="P40" s="308"/>
      <c r="Q40" s="308"/>
      <c r="R40" s="308"/>
      <c r="S40" s="308"/>
      <c r="T40" s="308"/>
      <c r="U40" s="309"/>
      <c r="V40" s="18"/>
    </row>
    <row r="41" spans="2:22" ht="20.100000000000001" customHeight="1">
      <c r="B41" s="27"/>
      <c r="C41" s="38"/>
      <c r="D41" s="37"/>
      <c r="E41" s="307"/>
      <c r="F41" s="308"/>
      <c r="G41" s="308"/>
      <c r="H41" s="308"/>
      <c r="I41" s="308"/>
      <c r="J41" s="308"/>
      <c r="K41" s="308"/>
      <c r="L41" s="308"/>
      <c r="M41" s="308"/>
      <c r="N41" s="308"/>
      <c r="O41" s="308"/>
      <c r="P41" s="308"/>
      <c r="Q41" s="308"/>
      <c r="R41" s="308"/>
      <c r="S41" s="308"/>
      <c r="T41" s="308"/>
      <c r="U41" s="309"/>
      <c r="V41" s="18"/>
    </row>
    <row r="42" spans="2:22" ht="20.100000000000001" customHeight="1">
      <c r="B42" s="27"/>
      <c r="C42" s="38"/>
      <c r="D42" s="37"/>
      <c r="E42" s="307"/>
      <c r="F42" s="308"/>
      <c r="G42" s="308"/>
      <c r="H42" s="308"/>
      <c r="I42" s="308"/>
      <c r="J42" s="308"/>
      <c r="K42" s="308"/>
      <c r="L42" s="308"/>
      <c r="M42" s="308"/>
      <c r="N42" s="308"/>
      <c r="O42" s="308"/>
      <c r="P42" s="308"/>
      <c r="Q42" s="308"/>
      <c r="R42" s="308"/>
      <c r="S42" s="308"/>
      <c r="T42" s="308"/>
      <c r="U42" s="309"/>
      <c r="V42" s="18"/>
    </row>
    <row r="43" spans="2:22" ht="20.100000000000001" customHeight="1">
      <c r="B43" s="27"/>
      <c r="C43" s="38"/>
      <c r="D43" s="37"/>
      <c r="E43" s="307"/>
      <c r="F43" s="308"/>
      <c r="G43" s="308"/>
      <c r="H43" s="308"/>
      <c r="I43" s="308"/>
      <c r="J43" s="308"/>
      <c r="K43" s="308"/>
      <c r="L43" s="308"/>
      <c r="M43" s="308"/>
      <c r="N43" s="308"/>
      <c r="O43" s="308"/>
      <c r="P43" s="308"/>
      <c r="Q43" s="308"/>
      <c r="R43" s="308"/>
      <c r="S43" s="308"/>
      <c r="T43" s="308"/>
      <c r="U43" s="309"/>
      <c r="V43" s="18"/>
    </row>
    <row r="44" spans="2:22" ht="20.100000000000001" customHeight="1">
      <c r="B44" s="27"/>
      <c r="C44" s="38"/>
      <c r="D44" s="37"/>
      <c r="E44" s="307"/>
      <c r="F44" s="308"/>
      <c r="G44" s="308"/>
      <c r="H44" s="308"/>
      <c r="I44" s="308"/>
      <c r="J44" s="308"/>
      <c r="K44" s="308"/>
      <c r="L44" s="308"/>
      <c r="M44" s="308"/>
      <c r="N44" s="308"/>
      <c r="O44" s="308"/>
      <c r="P44" s="308"/>
      <c r="Q44" s="308"/>
      <c r="R44" s="308"/>
      <c r="S44" s="308"/>
      <c r="T44" s="308"/>
      <c r="U44" s="309"/>
      <c r="V44" s="18"/>
    </row>
    <row r="45" spans="2:22" ht="20.100000000000001" customHeight="1">
      <c r="B45" s="27"/>
      <c r="C45" s="38"/>
      <c r="D45" s="37"/>
      <c r="E45" s="307"/>
      <c r="F45" s="308"/>
      <c r="G45" s="308"/>
      <c r="H45" s="308"/>
      <c r="I45" s="308"/>
      <c r="J45" s="308"/>
      <c r="K45" s="308"/>
      <c r="L45" s="308"/>
      <c r="M45" s="308"/>
      <c r="N45" s="308"/>
      <c r="O45" s="308"/>
      <c r="P45" s="308"/>
      <c r="Q45" s="308"/>
      <c r="R45" s="308"/>
      <c r="S45" s="308"/>
      <c r="T45" s="308"/>
      <c r="U45" s="309"/>
      <c r="V45" s="18"/>
    </row>
    <row r="46" spans="2:22" ht="20.100000000000001" customHeight="1">
      <c r="B46" s="27"/>
      <c r="C46" s="38"/>
      <c r="D46" s="37"/>
      <c r="E46" s="307"/>
      <c r="F46" s="308"/>
      <c r="G46" s="308"/>
      <c r="H46" s="308"/>
      <c r="I46" s="308"/>
      <c r="J46" s="308"/>
      <c r="K46" s="308"/>
      <c r="L46" s="308"/>
      <c r="M46" s="308"/>
      <c r="N46" s="308"/>
      <c r="O46" s="308"/>
      <c r="P46" s="308"/>
      <c r="Q46" s="308"/>
      <c r="R46" s="308"/>
      <c r="S46" s="308"/>
      <c r="T46" s="308"/>
      <c r="U46" s="309"/>
      <c r="V46" s="18"/>
    </row>
    <row r="47" spans="2:22" ht="20.100000000000001" customHeight="1">
      <c r="B47" s="27"/>
      <c r="C47" s="38"/>
      <c r="D47" s="37"/>
      <c r="E47" s="307"/>
      <c r="F47" s="308"/>
      <c r="G47" s="308"/>
      <c r="H47" s="308"/>
      <c r="I47" s="308"/>
      <c r="J47" s="308"/>
      <c r="K47" s="308"/>
      <c r="L47" s="308"/>
      <c r="M47" s="308"/>
      <c r="N47" s="308"/>
      <c r="O47" s="308"/>
      <c r="P47" s="308"/>
      <c r="Q47" s="308"/>
      <c r="R47" s="308"/>
      <c r="S47" s="308"/>
      <c r="T47" s="308"/>
      <c r="U47" s="309"/>
      <c r="V47" s="18"/>
    </row>
    <row r="48" spans="2:22" ht="20.100000000000001" customHeight="1">
      <c r="B48" s="27"/>
      <c r="C48" s="38"/>
      <c r="D48" s="37"/>
      <c r="E48" s="307"/>
      <c r="F48" s="308"/>
      <c r="G48" s="308"/>
      <c r="H48" s="308"/>
      <c r="I48" s="308"/>
      <c r="J48" s="308"/>
      <c r="K48" s="308"/>
      <c r="L48" s="308"/>
      <c r="M48" s="308"/>
      <c r="N48" s="308"/>
      <c r="O48" s="308"/>
      <c r="P48" s="308"/>
      <c r="Q48" s="308"/>
      <c r="R48" s="308"/>
      <c r="S48" s="308"/>
      <c r="T48" s="308"/>
      <c r="U48" s="309"/>
      <c r="V48" s="18"/>
    </row>
    <row r="49" spans="2:22" ht="20.100000000000001" customHeight="1">
      <c r="B49" s="27"/>
      <c r="C49" s="38"/>
      <c r="D49" s="37"/>
      <c r="E49" s="307"/>
      <c r="F49" s="308"/>
      <c r="G49" s="308"/>
      <c r="H49" s="308"/>
      <c r="I49" s="308"/>
      <c r="J49" s="308"/>
      <c r="K49" s="308"/>
      <c r="L49" s="308"/>
      <c r="M49" s="308"/>
      <c r="N49" s="308"/>
      <c r="O49" s="308"/>
      <c r="P49" s="308"/>
      <c r="Q49" s="308"/>
      <c r="R49" s="308"/>
      <c r="S49" s="308"/>
      <c r="T49" s="308"/>
      <c r="U49" s="309"/>
      <c r="V49" s="18"/>
    </row>
    <row r="50" spans="2:22" ht="20.100000000000001" customHeight="1">
      <c r="B50" s="27"/>
      <c r="C50" s="38"/>
      <c r="D50" s="37"/>
      <c r="E50" s="307"/>
      <c r="F50" s="308"/>
      <c r="G50" s="308"/>
      <c r="H50" s="308"/>
      <c r="I50" s="308"/>
      <c r="J50" s="308"/>
      <c r="K50" s="308"/>
      <c r="L50" s="308"/>
      <c r="M50" s="308"/>
      <c r="N50" s="308"/>
      <c r="O50" s="308"/>
      <c r="P50" s="308"/>
      <c r="Q50" s="308"/>
      <c r="R50" s="308"/>
      <c r="S50" s="308"/>
      <c r="T50" s="308"/>
      <c r="U50" s="309"/>
      <c r="V50" s="18"/>
    </row>
    <row r="51" spans="2:22" ht="20.100000000000001" customHeight="1">
      <c r="B51" s="27"/>
      <c r="C51" s="38"/>
      <c r="D51" s="37"/>
      <c r="E51" s="307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9"/>
      <c r="V51" s="18"/>
    </row>
    <row r="52" spans="2:22" ht="20.100000000000001" customHeight="1">
      <c r="B52" s="27"/>
      <c r="C52" s="38"/>
      <c r="D52" s="37"/>
      <c r="E52" s="307"/>
      <c r="F52" s="308"/>
      <c r="G52" s="308"/>
      <c r="H52" s="308"/>
      <c r="I52" s="308"/>
      <c r="J52" s="308"/>
      <c r="K52" s="308"/>
      <c r="L52" s="308"/>
      <c r="M52" s="308"/>
      <c r="N52" s="308"/>
      <c r="O52" s="308"/>
      <c r="P52" s="308"/>
      <c r="Q52" s="308"/>
      <c r="R52" s="308"/>
      <c r="S52" s="308"/>
      <c r="T52" s="308"/>
      <c r="U52" s="309"/>
      <c r="V52" s="18"/>
    </row>
    <row r="53" spans="2:22" ht="20.100000000000001" customHeight="1">
      <c r="B53" s="27"/>
      <c r="C53" s="38"/>
      <c r="D53" s="37"/>
      <c r="E53" s="307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9"/>
      <c r="V53" s="18"/>
    </row>
    <row r="54" spans="2:22" ht="20.100000000000001" customHeight="1">
      <c r="B54" s="27"/>
      <c r="C54" s="38"/>
      <c r="D54" s="37"/>
      <c r="E54" s="307"/>
      <c r="F54" s="308"/>
      <c r="G54" s="308"/>
      <c r="H54" s="308"/>
      <c r="I54" s="308"/>
      <c r="J54" s="308"/>
      <c r="K54" s="308"/>
      <c r="L54" s="308"/>
      <c r="M54" s="308"/>
      <c r="N54" s="308"/>
      <c r="O54" s="308"/>
      <c r="P54" s="308"/>
      <c r="Q54" s="308"/>
      <c r="R54" s="308"/>
      <c r="S54" s="308"/>
      <c r="T54" s="308"/>
      <c r="U54" s="309"/>
      <c r="V54" s="18"/>
    </row>
    <row r="55" spans="2:22" ht="20.100000000000001" customHeight="1">
      <c r="B55" s="27"/>
      <c r="C55" s="38"/>
      <c r="D55" s="37"/>
      <c r="E55" s="307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9"/>
      <c r="V55" s="18"/>
    </row>
    <row r="56" spans="2:22" ht="20.100000000000001" customHeight="1">
      <c r="B56" s="27"/>
      <c r="C56" s="38"/>
      <c r="D56" s="37"/>
      <c r="E56" s="307"/>
      <c r="F56" s="308"/>
      <c r="G56" s="308"/>
      <c r="H56" s="308"/>
      <c r="I56" s="308"/>
      <c r="J56" s="308"/>
      <c r="K56" s="308"/>
      <c r="L56" s="308"/>
      <c r="M56" s="308"/>
      <c r="N56" s="308"/>
      <c r="O56" s="308"/>
      <c r="P56" s="308"/>
      <c r="Q56" s="308"/>
      <c r="R56" s="308"/>
      <c r="S56" s="308"/>
      <c r="T56" s="308"/>
      <c r="U56" s="309"/>
      <c r="V56" s="18"/>
    </row>
    <row r="57" spans="2:22" ht="20.100000000000001" customHeight="1">
      <c r="B57" s="27"/>
      <c r="C57" s="38"/>
      <c r="D57" s="37"/>
      <c r="E57" s="307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  <c r="Q57" s="308"/>
      <c r="R57" s="308"/>
      <c r="S57" s="308"/>
      <c r="T57" s="308"/>
      <c r="U57" s="309"/>
      <c r="V57" s="18"/>
    </row>
    <row r="58" spans="2:22" ht="20.100000000000001" customHeight="1">
      <c r="B58" s="27"/>
      <c r="C58" s="38"/>
      <c r="D58" s="37"/>
      <c r="E58" s="307"/>
      <c r="F58" s="308"/>
      <c r="G58" s="308"/>
      <c r="H58" s="308"/>
      <c r="I58" s="308"/>
      <c r="J58" s="308"/>
      <c r="K58" s="308"/>
      <c r="L58" s="308"/>
      <c r="M58" s="308"/>
      <c r="N58" s="308"/>
      <c r="O58" s="308"/>
      <c r="P58" s="308"/>
      <c r="Q58" s="308"/>
      <c r="R58" s="308"/>
      <c r="S58" s="308"/>
      <c r="T58" s="308"/>
      <c r="U58" s="309"/>
      <c r="V58" s="18"/>
    </row>
    <row r="59" spans="2:22" ht="20.100000000000001" customHeight="1">
      <c r="B59" s="27"/>
      <c r="C59" s="38"/>
      <c r="D59" s="37"/>
      <c r="E59" s="307"/>
      <c r="F59" s="308"/>
      <c r="G59" s="308"/>
      <c r="H59" s="308"/>
      <c r="I59" s="308"/>
      <c r="J59" s="308"/>
      <c r="K59" s="308"/>
      <c r="L59" s="308"/>
      <c r="M59" s="308"/>
      <c r="N59" s="308"/>
      <c r="O59" s="308"/>
      <c r="P59" s="308"/>
      <c r="Q59" s="308"/>
      <c r="R59" s="308"/>
      <c r="S59" s="308"/>
      <c r="T59" s="308"/>
      <c r="U59" s="309"/>
      <c r="V59" s="18"/>
    </row>
    <row r="60" spans="2:22" ht="20.100000000000001" customHeight="1">
      <c r="B60" s="27"/>
      <c r="C60" s="38"/>
      <c r="D60" s="37"/>
      <c r="E60" s="307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9"/>
      <c r="V60" s="18"/>
    </row>
    <row r="61" spans="2:22" ht="20.100000000000001" customHeight="1">
      <c r="B61" s="27"/>
      <c r="C61" s="38"/>
      <c r="D61" s="37"/>
      <c r="E61" s="307"/>
      <c r="F61" s="308"/>
      <c r="G61" s="308"/>
      <c r="H61" s="308"/>
      <c r="I61" s="308"/>
      <c r="J61" s="308"/>
      <c r="K61" s="308"/>
      <c r="L61" s="308"/>
      <c r="M61" s="308"/>
      <c r="N61" s="308"/>
      <c r="O61" s="308"/>
      <c r="P61" s="308"/>
      <c r="Q61" s="308"/>
      <c r="R61" s="308"/>
      <c r="S61" s="308"/>
      <c r="T61" s="308"/>
      <c r="U61" s="309"/>
      <c r="V61" s="18"/>
    </row>
    <row r="62" spans="2:22" ht="20.100000000000001" customHeight="1">
      <c r="B62" s="27"/>
      <c r="C62" s="38"/>
      <c r="D62" s="37"/>
      <c r="E62" s="307"/>
      <c r="F62" s="308"/>
      <c r="G62" s="308"/>
      <c r="H62" s="308"/>
      <c r="I62" s="308"/>
      <c r="J62" s="308"/>
      <c r="K62" s="308"/>
      <c r="L62" s="308"/>
      <c r="M62" s="308"/>
      <c r="N62" s="308"/>
      <c r="O62" s="308"/>
      <c r="P62" s="308"/>
      <c r="Q62" s="308"/>
      <c r="R62" s="308"/>
      <c r="S62" s="308"/>
      <c r="T62" s="308"/>
      <c r="U62" s="309"/>
      <c r="V62" s="18"/>
    </row>
    <row r="63" spans="2:22" ht="20.100000000000001" customHeight="1">
      <c r="B63" s="27"/>
      <c r="C63" s="38"/>
      <c r="D63" s="37"/>
      <c r="E63" s="307"/>
      <c r="F63" s="308"/>
      <c r="G63" s="308"/>
      <c r="H63" s="308"/>
      <c r="I63" s="308"/>
      <c r="J63" s="308"/>
      <c r="K63" s="308"/>
      <c r="L63" s="308"/>
      <c r="M63" s="308"/>
      <c r="N63" s="308"/>
      <c r="O63" s="308"/>
      <c r="P63" s="308"/>
      <c r="Q63" s="308"/>
      <c r="R63" s="308"/>
      <c r="S63" s="308"/>
      <c r="T63" s="308"/>
      <c r="U63" s="309"/>
      <c r="V63" s="18"/>
    </row>
    <row r="64" spans="2:22" ht="20.100000000000001" customHeight="1">
      <c r="B64" s="27"/>
      <c r="C64" s="38"/>
      <c r="D64" s="37"/>
      <c r="E64" s="307"/>
      <c r="F64" s="308"/>
      <c r="G64" s="308"/>
      <c r="H64" s="308"/>
      <c r="I64" s="308"/>
      <c r="J64" s="308"/>
      <c r="K64" s="308"/>
      <c r="L64" s="308"/>
      <c r="M64" s="308"/>
      <c r="N64" s="308"/>
      <c r="O64" s="308"/>
      <c r="P64" s="308"/>
      <c r="Q64" s="308"/>
      <c r="R64" s="308"/>
      <c r="S64" s="308"/>
      <c r="T64" s="308"/>
      <c r="U64" s="309"/>
      <c r="V64" s="18"/>
    </row>
    <row r="65" spans="2:22" ht="20.100000000000001" customHeight="1">
      <c r="B65" s="27"/>
      <c r="C65" s="38"/>
      <c r="D65" s="37"/>
      <c r="E65" s="307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9"/>
      <c r="V65" s="18"/>
    </row>
    <row r="66" spans="2:22" ht="20.100000000000001" customHeight="1">
      <c r="B66" s="27"/>
      <c r="C66" s="38"/>
      <c r="D66" s="37"/>
      <c r="E66" s="307"/>
      <c r="F66" s="308"/>
      <c r="G66" s="308"/>
      <c r="H66" s="308"/>
      <c r="I66" s="308"/>
      <c r="J66" s="308"/>
      <c r="K66" s="308"/>
      <c r="L66" s="308"/>
      <c r="M66" s="308"/>
      <c r="N66" s="308"/>
      <c r="O66" s="308"/>
      <c r="P66" s="308"/>
      <c r="Q66" s="308"/>
      <c r="R66" s="308"/>
      <c r="S66" s="308"/>
      <c r="T66" s="308"/>
      <c r="U66" s="309"/>
      <c r="V66" s="18"/>
    </row>
    <row r="67" spans="2:22" ht="20.100000000000001" customHeight="1">
      <c r="B67" s="27"/>
      <c r="C67" s="38"/>
      <c r="D67" s="37"/>
      <c r="E67" s="307"/>
      <c r="F67" s="308"/>
      <c r="G67" s="308"/>
      <c r="H67" s="308"/>
      <c r="I67" s="308"/>
      <c r="J67" s="308"/>
      <c r="K67" s="308"/>
      <c r="L67" s="308"/>
      <c r="M67" s="308"/>
      <c r="N67" s="308"/>
      <c r="O67" s="308"/>
      <c r="P67" s="308"/>
      <c r="Q67" s="308"/>
      <c r="R67" s="308"/>
      <c r="S67" s="308"/>
      <c r="T67" s="308"/>
      <c r="U67" s="309"/>
      <c r="V67" s="18"/>
    </row>
    <row r="68" spans="2:22" ht="20.100000000000001" customHeight="1">
      <c r="B68" s="27"/>
      <c r="C68" s="38"/>
      <c r="D68" s="37"/>
      <c r="E68" s="307"/>
      <c r="F68" s="308"/>
      <c r="G68" s="308"/>
      <c r="H68" s="308"/>
      <c r="I68" s="308"/>
      <c r="J68" s="308"/>
      <c r="K68" s="308"/>
      <c r="L68" s="308"/>
      <c r="M68" s="308"/>
      <c r="N68" s="308"/>
      <c r="O68" s="308"/>
      <c r="P68" s="308"/>
      <c r="Q68" s="308"/>
      <c r="R68" s="308"/>
      <c r="S68" s="308"/>
      <c r="T68" s="308"/>
      <c r="U68" s="309"/>
      <c r="V68" s="18"/>
    </row>
    <row r="69" spans="2:22" ht="20.100000000000001" customHeight="1">
      <c r="B69" s="27"/>
      <c r="C69" s="38"/>
      <c r="D69" s="37"/>
      <c r="E69" s="307"/>
      <c r="F69" s="308"/>
      <c r="G69" s="308"/>
      <c r="H69" s="308"/>
      <c r="I69" s="308"/>
      <c r="J69" s="308"/>
      <c r="K69" s="308"/>
      <c r="L69" s="308"/>
      <c r="M69" s="308"/>
      <c r="N69" s="308"/>
      <c r="O69" s="308"/>
      <c r="P69" s="308"/>
      <c r="Q69" s="308"/>
      <c r="R69" s="308"/>
      <c r="S69" s="308"/>
      <c r="T69" s="308"/>
      <c r="U69" s="309"/>
      <c r="V69" s="18"/>
    </row>
    <row r="70" spans="2:22" ht="20.100000000000001" customHeight="1">
      <c r="B70" s="27"/>
      <c r="C70" s="38"/>
      <c r="D70" s="37"/>
      <c r="E70" s="307"/>
      <c r="F70" s="308"/>
      <c r="G70" s="308"/>
      <c r="H70" s="308"/>
      <c r="I70" s="308"/>
      <c r="J70" s="308"/>
      <c r="K70" s="308"/>
      <c r="L70" s="308"/>
      <c r="M70" s="308"/>
      <c r="N70" s="308"/>
      <c r="O70" s="308"/>
      <c r="P70" s="308"/>
      <c r="Q70" s="308"/>
      <c r="R70" s="308"/>
      <c r="S70" s="308"/>
      <c r="T70" s="308"/>
      <c r="U70" s="309"/>
      <c r="V70" s="18"/>
    </row>
    <row r="71" spans="2:22" ht="20.100000000000001" customHeight="1">
      <c r="B71" s="27"/>
      <c r="C71" s="38"/>
      <c r="D71" s="37"/>
      <c r="E71" s="307"/>
      <c r="F71" s="308"/>
      <c r="G71" s="308"/>
      <c r="H71" s="308"/>
      <c r="I71" s="308"/>
      <c r="J71" s="308"/>
      <c r="K71" s="308"/>
      <c r="L71" s="308"/>
      <c r="M71" s="308"/>
      <c r="N71" s="308"/>
      <c r="O71" s="308"/>
      <c r="P71" s="308"/>
      <c r="Q71" s="308"/>
      <c r="R71" s="308"/>
      <c r="S71" s="308"/>
      <c r="T71" s="308"/>
      <c r="U71" s="309"/>
      <c r="V71" s="18"/>
    </row>
    <row r="72" spans="2:22" ht="20.100000000000001" customHeight="1">
      <c r="B72" s="27"/>
      <c r="C72" s="38"/>
      <c r="D72" s="37"/>
      <c r="E72" s="307"/>
      <c r="F72" s="308"/>
      <c r="G72" s="308"/>
      <c r="H72" s="308"/>
      <c r="I72" s="308"/>
      <c r="J72" s="308"/>
      <c r="K72" s="308"/>
      <c r="L72" s="308"/>
      <c r="M72" s="308"/>
      <c r="N72" s="308"/>
      <c r="O72" s="308"/>
      <c r="P72" s="308"/>
      <c r="Q72" s="308"/>
      <c r="R72" s="308"/>
      <c r="S72" s="308"/>
      <c r="T72" s="308"/>
      <c r="U72" s="309"/>
      <c r="V72" s="18"/>
    </row>
    <row r="73" spans="2:22" ht="20.100000000000001" customHeight="1">
      <c r="B73" s="27"/>
      <c r="C73" s="38"/>
      <c r="D73" s="37"/>
      <c r="E73" s="307"/>
      <c r="F73" s="308"/>
      <c r="G73" s="308"/>
      <c r="H73" s="308"/>
      <c r="I73" s="308"/>
      <c r="J73" s="308"/>
      <c r="K73" s="308"/>
      <c r="L73" s="308"/>
      <c r="M73" s="308"/>
      <c r="N73" s="308"/>
      <c r="O73" s="308"/>
      <c r="P73" s="308"/>
      <c r="Q73" s="308"/>
      <c r="R73" s="308"/>
      <c r="S73" s="308"/>
      <c r="T73" s="308"/>
      <c r="U73" s="309"/>
      <c r="V73" s="18"/>
    </row>
    <row r="74" spans="2:22" ht="20.100000000000001" customHeight="1">
      <c r="B74" s="27"/>
      <c r="C74" s="38"/>
      <c r="D74" s="37"/>
      <c r="E74" s="307"/>
      <c r="F74" s="308"/>
      <c r="G74" s="308"/>
      <c r="H74" s="308"/>
      <c r="I74" s="308"/>
      <c r="J74" s="308"/>
      <c r="K74" s="308"/>
      <c r="L74" s="308"/>
      <c r="M74" s="308"/>
      <c r="N74" s="308"/>
      <c r="O74" s="308"/>
      <c r="P74" s="308"/>
      <c r="Q74" s="308"/>
      <c r="R74" s="308"/>
      <c r="S74" s="308"/>
      <c r="T74" s="308"/>
      <c r="U74" s="309"/>
      <c r="V74" s="18"/>
    </row>
    <row r="75" spans="2:22" ht="20.100000000000001" customHeight="1">
      <c r="B75" s="27"/>
      <c r="C75" s="38"/>
      <c r="D75" s="37"/>
      <c r="E75" s="307"/>
      <c r="F75" s="308"/>
      <c r="G75" s="308"/>
      <c r="H75" s="308"/>
      <c r="I75" s="308"/>
      <c r="J75" s="308"/>
      <c r="K75" s="308"/>
      <c r="L75" s="308"/>
      <c r="M75" s="308"/>
      <c r="N75" s="308"/>
      <c r="O75" s="308"/>
      <c r="P75" s="308"/>
      <c r="Q75" s="308"/>
      <c r="R75" s="308"/>
      <c r="S75" s="308"/>
      <c r="T75" s="308"/>
      <c r="U75" s="309"/>
      <c r="V75" s="18"/>
    </row>
    <row r="76" spans="2:22" ht="20.100000000000001" customHeight="1">
      <c r="B76" s="27"/>
      <c r="C76" s="38"/>
      <c r="D76" s="37"/>
      <c r="E76" s="307"/>
      <c r="F76" s="308"/>
      <c r="G76" s="308"/>
      <c r="H76" s="308"/>
      <c r="I76" s="308"/>
      <c r="J76" s="308"/>
      <c r="K76" s="308"/>
      <c r="L76" s="308"/>
      <c r="M76" s="308"/>
      <c r="N76" s="308"/>
      <c r="O76" s="308"/>
      <c r="P76" s="308"/>
      <c r="Q76" s="308"/>
      <c r="R76" s="308"/>
      <c r="S76" s="308"/>
      <c r="T76" s="308"/>
      <c r="U76" s="309"/>
      <c r="V76" s="18"/>
    </row>
    <row r="77" spans="2:22" ht="20.100000000000001" customHeight="1">
      <c r="B77" s="27"/>
      <c r="C77" s="38"/>
      <c r="D77" s="37"/>
      <c r="E77" s="307"/>
      <c r="F77" s="308"/>
      <c r="G77" s="308"/>
      <c r="H77" s="308"/>
      <c r="I77" s="308"/>
      <c r="J77" s="308"/>
      <c r="K77" s="308"/>
      <c r="L77" s="308"/>
      <c r="M77" s="308"/>
      <c r="N77" s="308"/>
      <c r="O77" s="308"/>
      <c r="P77" s="308"/>
      <c r="Q77" s="308"/>
      <c r="R77" s="308"/>
      <c r="S77" s="308"/>
      <c r="T77" s="308"/>
      <c r="U77" s="309"/>
      <c r="V77" s="18"/>
    </row>
    <row r="78" spans="2:22" ht="20.100000000000001" customHeight="1">
      <c r="B78" s="27"/>
      <c r="C78" s="38"/>
      <c r="D78" s="37"/>
      <c r="E78" s="307"/>
      <c r="F78" s="308"/>
      <c r="G78" s="308"/>
      <c r="H78" s="308"/>
      <c r="I78" s="308"/>
      <c r="J78" s="308"/>
      <c r="K78" s="308"/>
      <c r="L78" s="308"/>
      <c r="M78" s="308"/>
      <c r="N78" s="308"/>
      <c r="O78" s="308"/>
      <c r="P78" s="308"/>
      <c r="Q78" s="308"/>
      <c r="R78" s="308"/>
      <c r="S78" s="308"/>
      <c r="T78" s="308"/>
      <c r="U78" s="309"/>
      <c r="V78" s="18"/>
    </row>
    <row r="79" spans="2:22" ht="20.100000000000001" customHeight="1">
      <c r="B79" s="27"/>
      <c r="C79" s="38"/>
      <c r="D79" s="37"/>
      <c r="E79" s="307"/>
      <c r="F79" s="308"/>
      <c r="G79" s="308"/>
      <c r="H79" s="308"/>
      <c r="I79" s="308"/>
      <c r="J79" s="308"/>
      <c r="K79" s="308"/>
      <c r="L79" s="308"/>
      <c r="M79" s="308"/>
      <c r="N79" s="308"/>
      <c r="O79" s="308"/>
      <c r="P79" s="308"/>
      <c r="Q79" s="308"/>
      <c r="R79" s="308"/>
      <c r="S79" s="308"/>
      <c r="T79" s="308"/>
      <c r="U79" s="309"/>
      <c r="V79" s="18"/>
    </row>
    <row r="80" spans="2:22" ht="20.100000000000001" customHeight="1">
      <c r="B80" s="27"/>
      <c r="C80" s="38"/>
      <c r="D80" s="37"/>
      <c r="E80" s="307"/>
      <c r="F80" s="308"/>
      <c r="G80" s="308"/>
      <c r="H80" s="308"/>
      <c r="I80" s="308"/>
      <c r="J80" s="308"/>
      <c r="K80" s="308"/>
      <c r="L80" s="308"/>
      <c r="M80" s="308"/>
      <c r="N80" s="308"/>
      <c r="O80" s="308"/>
      <c r="P80" s="308"/>
      <c r="Q80" s="308"/>
      <c r="R80" s="308"/>
      <c r="S80" s="308"/>
      <c r="T80" s="308"/>
      <c r="U80" s="309"/>
      <c r="V80" s="18"/>
    </row>
    <row r="81" spans="2:24" ht="20.100000000000001" customHeight="1">
      <c r="B81" s="27"/>
      <c r="C81" s="38"/>
      <c r="D81" s="37"/>
      <c r="E81" s="307"/>
      <c r="F81" s="308"/>
      <c r="G81" s="308"/>
      <c r="H81" s="308"/>
      <c r="I81" s="308"/>
      <c r="J81" s="308"/>
      <c r="K81" s="308"/>
      <c r="L81" s="308"/>
      <c r="M81" s="308"/>
      <c r="N81" s="308"/>
      <c r="O81" s="308"/>
      <c r="P81" s="308"/>
      <c r="Q81" s="308"/>
      <c r="R81" s="308"/>
      <c r="S81" s="308"/>
      <c r="T81" s="308"/>
      <c r="U81" s="309"/>
      <c r="V81" s="18"/>
      <c r="W81" s="313"/>
      <c r="X81" s="313"/>
    </row>
    <row r="82" spans="2:24" ht="20.100000000000001" customHeight="1">
      <c r="B82" s="27"/>
      <c r="C82" s="38"/>
      <c r="D82" s="37"/>
      <c r="E82" s="307"/>
      <c r="F82" s="308"/>
      <c r="G82" s="308"/>
      <c r="H82" s="308"/>
      <c r="I82" s="308"/>
      <c r="J82" s="308"/>
      <c r="K82" s="308"/>
      <c r="L82" s="308"/>
      <c r="M82" s="308"/>
      <c r="N82" s="308"/>
      <c r="O82" s="308"/>
      <c r="P82" s="308"/>
      <c r="Q82" s="308"/>
      <c r="R82" s="308"/>
      <c r="S82" s="308"/>
      <c r="T82" s="308"/>
      <c r="U82" s="309"/>
      <c r="V82" s="18"/>
      <c r="W82" s="313"/>
      <c r="X82" s="313"/>
    </row>
    <row r="83" spans="2:24" ht="20.100000000000001" customHeight="1">
      <c r="B83" s="27"/>
      <c r="C83" s="38"/>
      <c r="D83" s="37"/>
      <c r="E83" s="307"/>
      <c r="F83" s="308"/>
      <c r="G83" s="308"/>
      <c r="H83" s="308"/>
      <c r="I83" s="308"/>
      <c r="J83" s="308"/>
      <c r="K83" s="308"/>
      <c r="L83" s="308"/>
      <c r="M83" s="308"/>
      <c r="N83" s="308"/>
      <c r="O83" s="308"/>
      <c r="P83" s="308"/>
      <c r="Q83" s="308"/>
      <c r="R83" s="308"/>
      <c r="S83" s="308"/>
      <c r="T83" s="308"/>
      <c r="U83" s="309"/>
      <c r="V83" s="18"/>
      <c r="W83" s="313"/>
      <c r="X83" s="313"/>
    </row>
    <row r="84" spans="2:24" ht="20.100000000000001" customHeight="1" thickBot="1">
      <c r="B84" s="28"/>
      <c r="C84" s="29"/>
      <c r="D84" s="30"/>
      <c r="E84" s="310"/>
      <c r="F84" s="311"/>
      <c r="G84" s="311"/>
      <c r="H84" s="311"/>
      <c r="I84" s="311"/>
      <c r="J84" s="311"/>
      <c r="K84" s="311"/>
      <c r="L84" s="311"/>
      <c r="M84" s="311"/>
      <c r="N84" s="311"/>
      <c r="O84" s="311"/>
      <c r="P84" s="311"/>
      <c r="Q84" s="311"/>
      <c r="R84" s="311"/>
      <c r="S84" s="311"/>
      <c r="T84" s="311"/>
      <c r="U84" s="312"/>
      <c r="V84" s="18"/>
    </row>
    <row r="85" spans="2:24" ht="20.100000000000001" customHeight="1">
      <c r="V85" s="18"/>
    </row>
    <row r="86" spans="2:24" ht="20.100000000000001" customHeight="1">
      <c r="V86" s="18"/>
    </row>
    <row r="87" spans="2:24" ht="20.100000000000001" customHeight="1">
      <c r="V87" s="18"/>
    </row>
    <row r="88" spans="2:24" ht="20.100000000000001" customHeight="1">
      <c r="V88" s="18"/>
    </row>
    <row r="89" spans="2:24" ht="19.5" customHeight="1">
      <c r="V89" s="18"/>
    </row>
    <row r="90" spans="2:24" ht="20.100000000000001" customHeight="1">
      <c r="V90" s="18"/>
    </row>
    <row r="91" spans="2:24" ht="20.100000000000001" customHeight="1">
      <c r="V91" s="18"/>
    </row>
    <row r="92" spans="2:24" ht="20.100000000000001" customHeight="1">
      <c r="V92" s="18"/>
    </row>
    <row r="93" spans="2:24" ht="20.100000000000001" customHeight="1">
      <c r="V93" s="18"/>
    </row>
    <row r="94" spans="2:24" ht="20.100000000000001" customHeight="1">
      <c r="V94" s="18"/>
    </row>
    <row r="95" spans="2:24" ht="20.100000000000001" customHeight="1">
      <c r="V95" s="18"/>
    </row>
    <row r="96" spans="2:24" ht="20.100000000000001" customHeight="1">
      <c r="V96" s="18"/>
    </row>
    <row r="97" spans="22:22" ht="20.100000000000001" customHeight="1">
      <c r="V97" s="18"/>
    </row>
    <row r="98" spans="22:22" ht="20.100000000000001" customHeight="1">
      <c r="V98" s="18"/>
    </row>
    <row r="99" spans="22:22" ht="20.100000000000001" customHeight="1">
      <c r="V99" s="18"/>
    </row>
    <row r="100" spans="22:22" ht="20.100000000000001" customHeight="1">
      <c r="V100" s="18"/>
    </row>
    <row r="101" spans="22:22" ht="20.100000000000001" customHeight="1">
      <c r="V101" s="18"/>
    </row>
    <row r="102" spans="22:22" ht="20.100000000000001" customHeight="1">
      <c r="V102" s="18"/>
    </row>
    <row r="103" spans="22:22" ht="20.100000000000001" customHeight="1">
      <c r="V103" s="18"/>
    </row>
    <row r="104" spans="22:22" ht="20.100000000000001" customHeight="1">
      <c r="V104" s="18"/>
    </row>
    <row r="105" spans="22:22" ht="20.100000000000001" customHeight="1">
      <c r="V105" s="18"/>
    </row>
    <row r="106" spans="22:22" ht="20.100000000000001" customHeight="1">
      <c r="V106" s="18"/>
    </row>
    <row r="107" spans="22:22" ht="20.100000000000001" customHeight="1">
      <c r="V107" s="18"/>
    </row>
    <row r="108" spans="22:22" ht="20.100000000000001" customHeight="1">
      <c r="V108" s="18"/>
    </row>
    <row r="109" spans="22:22" ht="20.100000000000001" customHeight="1">
      <c r="V109" s="18"/>
    </row>
    <row r="110" spans="22:22" ht="20.100000000000001" customHeight="1">
      <c r="V110" s="18"/>
    </row>
    <row r="111" spans="22:22" ht="20.100000000000001" customHeight="1">
      <c r="V111" s="18"/>
    </row>
    <row r="112" spans="22:22" ht="20.100000000000001" customHeight="1">
      <c r="V112" s="18"/>
    </row>
    <row r="113" spans="22:22" ht="20.100000000000001" customHeight="1">
      <c r="V113" s="18"/>
    </row>
    <row r="114" spans="22:22" ht="20.100000000000001" customHeight="1">
      <c r="V114" s="18"/>
    </row>
    <row r="115" spans="22:22" ht="20.100000000000001" customHeight="1">
      <c r="V115" s="18"/>
    </row>
    <row r="116" spans="22:22" ht="20.100000000000001" customHeight="1">
      <c r="V116" s="18"/>
    </row>
    <row r="117" spans="22:22" ht="20.100000000000001" customHeight="1">
      <c r="V117" s="18"/>
    </row>
    <row r="118" spans="22:22" ht="20.100000000000001" customHeight="1">
      <c r="V118" s="18"/>
    </row>
    <row r="119" spans="22:22" ht="20.100000000000001" customHeight="1">
      <c r="V119" s="18"/>
    </row>
    <row r="120" spans="22:22" ht="20.100000000000001" customHeight="1">
      <c r="V120" s="18"/>
    </row>
    <row r="121" spans="22:22" ht="20.100000000000001" customHeight="1">
      <c r="V121" s="18"/>
    </row>
    <row r="122" spans="22:22" ht="20.100000000000001" customHeight="1">
      <c r="V122" s="18"/>
    </row>
    <row r="123" spans="22:22" ht="20.100000000000001" customHeight="1">
      <c r="V123" s="18"/>
    </row>
    <row r="124" spans="22:22" ht="20.100000000000001" customHeight="1">
      <c r="V124" s="18"/>
    </row>
    <row r="125" spans="22:22" ht="20.100000000000001" customHeight="1">
      <c r="V125" s="18"/>
    </row>
    <row r="126" spans="22:22" ht="20.100000000000001" customHeight="1">
      <c r="V126" s="18"/>
    </row>
    <row r="127" spans="22:22" ht="20.100000000000001" customHeight="1">
      <c r="V127" s="18"/>
    </row>
    <row r="128" spans="22:22" ht="20.100000000000001" customHeight="1">
      <c r="V128" s="18"/>
    </row>
    <row r="129" spans="22:22" ht="20.100000000000001" customHeight="1">
      <c r="V129" s="18"/>
    </row>
    <row r="130" spans="22:22" ht="20.100000000000001" customHeight="1">
      <c r="V130" s="18"/>
    </row>
    <row r="131" spans="22:22" ht="20.100000000000001" customHeight="1">
      <c r="V131" s="18"/>
    </row>
    <row r="132" spans="22:22" ht="20.100000000000001" customHeight="1">
      <c r="V132" s="18"/>
    </row>
    <row r="133" spans="22:22" ht="20.100000000000001" customHeight="1">
      <c r="V133" s="18"/>
    </row>
    <row r="134" spans="22:22" ht="20.100000000000001" customHeight="1">
      <c r="V134" s="18"/>
    </row>
    <row r="135" spans="22:22" ht="20.100000000000001" customHeight="1">
      <c r="V135" s="18"/>
    </row>
    <row r="136" spans="22:22" ht="20.100000000000001" customHeight="1">
      <c r="V136" s="18"/>
    </row>
    <row r="137" spans="22:22" ht="20.100000000000001" customHeight="1">
      <c r="V137" s="18"/>
    </row>
    <row r="138" spans="22:22" ht="20.100000000000001" customHeight="1">
      <c r="V138" s="18"/>
    </row>
    <row r="139" spans="22:22" ht="20.100000000000001" customHeight="1">
      <c r="V139" s="18"/>
    </row>
    <row r="140" spans="22:22" ht="20.100000000000001" customHeight="1">
      <c r="V140" s="18"/>
    </row>
    <row r="141" spans="22:22" ht="20.100000000000001" customHeight="1">
      <c r="V141" s="18"/>
    </row>
    <row r="142" spans="22:22" ht="20.100000000000001" customHeight="1">
      <c r="V142" s="18"/>
    </row>
    <row r="143" spans="22:22" ht="20.100000000000001" customHeight="1">
      <c r="V143" s="18"/>
    </row>
    <row r="144" spans="22:22" ht="20.100000000000001" customHeight="1">
      <c r="V144" s="18"/>
    </row>
    <row r="145" spans="22:22" ht="20.100000000000001" customHeight="1">
      <c r="V145" s="18"/>
    </row>
    <row r="146" spans="22:22" ht="20.100000000000001" customHeight="1">
      <c r="V146" s="18"/>
    </row>
    <row r="147" spans="22:22" ht="20.100000000000001" customHeight="1">
      <c r="V147" s="18"/>
    </row>
    <row r="148" spans="22:22" ht="20.100000000000001" customHeight="1">
      <c r="V148" s="18"/>
    </row>
    <row r="149" spans="22:22" ht="20.100000000000001" customHeight="1">
      <c r="V149" s="18"/>
    </row>
    <row r="150" spans="22:22" ht="20.100000000000001" customHeight="1">
      <c r="V150" s="18"/>
    </row>
    <row r="151" spans="22:22" ht="20.100000000000001" customHeight="1">
      <c r="V151" s="18"/>
    </row>
    <row r="152" spans="22:22" ht="20.100000000000001" customHeight="1">
      <c r="V152" s="18"/>
    </row>
    <row r="153" spans="22:22" ht="20.100000000000001" customHeight="1">
      <c r="V153" s="18"/>
    </row>
    <row r="154" spans="22:22" ht="20.100000000000001" customHeight="1">
      <c r="V154" s="18"/>
    </row>
    <row r="155" spans="22:22" ht="20.100000000000001" customHeight="1">
      <c r="V155" s="18"/>
    </row>
    <row r="156" spans="22:22" ht="20.100000000000001" customHeight="1">
      <c r="V156" s="18"/>
    </row>
    <row r="157" spans="22:22" ht="20.100000000000001" customHeight="1">
      <c r="V157" s="18"/>
    </row>
    <row r="158" spans="22:22" ht="20.100000000000001" customHeight="1">
      <c r="V158" s="18"/>
    </row>
    <row r="159" spans="22:22" ht="20.100000000000001" customHeight="1">
      <c r="V159" s="18"/>
    </row>
    <row r="160" spans="22:22" ht="20.100000000000001" customHeight="1">
      <c r="V160" s="18"/>
    </row>
    <row r="161" spans="22:22" ht="20.100000000000001" customHeight="1">
      <c r="V161" s="18"/>
    </row>
    <row r="162" spans="22:22" ht="20.100000000000001" customHeight="1">
      <c r="V162" s="18"/>
    </row>
    <row r="163" spans="22:22" ht="20.100000000000001" customHeight="1">
      <c r="V163" s="18"/>
    </row>
    <row r="164" spans="22:22" ht="20.100000000000001" customHeight="1">
      <c r="V164" s="18"/>
    </row>
    <row r="165" spans="22:22" ht="20.100000000000001" customHeight="1">
      <c r="V165" s="18"/>
    </row>
    <row r="166" spans="22:22" ht="20.100000000000001" customHeight="1">
      <c r="V166" s="18"/>
    </row>
    <row r="167" spans="22:22" ht="20.100000000000001" customHeight="1">
      <c r="V167" s="18"/>
    </row>
    <row r="168" spans="22:22" ht="20.100000000000001" customHeight="1">
      <c r="V168" s="18"/>
    </row>
    <row r="169" spans="22:22" ht="20.100000000000001" customHeight="1">
      <c r="V169" s="18"/>
    </row>
    <row r="170" spans="22:22" ht="20.100000000000001" customHeight="1">
      <c r="V170" s="18"/>
    </row>
    <row r="171" spans="22:22" ht="20.100000000000001" customHeight="1">
      <c r="V171" s="18"/>
    </row>
    <row r="172" spans="22:22" ht="20.100000000000001" customHeight="1">
      <c r="V172" s="18"/>
    </row>
    <row r="173" spans="22:22" ht="20.100000000000001" customHeight="1">
      <c r="V173" s="18"/>
    </row>
    <row r="174" spans="22:22" ht="20.100000000000001" customHeight="1">
      <c r="V174" s="18"/>
    </row>
    <row r="175" spans="22:22" ht="20.100000000000001" customHeight="1">
      <c r="V175" s="18"/>
    </row>
    <row r="176" spans="22:22" ht="20.100000000000001" customHeight="1">
      <c r="V176" s="18"/>
    </row>
    <row r="177" spans="22:22" ht="20.100000000000001" customHeight="1">
      <c r="V177" s="18"/>
    </row>
    <row r="178" spans="22:22" ht="20.100000000000001" customHeight="1">
      <c r="V178" s="18"/>
    </row>
    <row r="179" spans="22:22" ht="20.100000000000001" customHeight="1">
      <c r="V179" s="18"/>
    </row>
    <row r="180" spans="22:22" ht="20.100000000000001" customHeight="1">
      <c r="V180" s="18"/>
    </row>
    <row r="181" spans="22:22" ht="20.100000000000001" customHeight="1">
      <c r="V181" s="18"/>
    </row>
    <row r="182" spans="22:22" ht="20.100000000000001" customHeight="1">
      <c r="V182" s="18"/>
    </row>
    <row r="183" spans="22:22" ht="20.100000000000001" customHeight="1">
      <c r="V183" s="18"/>
    </row>
    <row r="184" spans="22:22" ht="20.100000000000001" customHeight="1">
      <c r="V184" s="18"/>
    </row>
    <row r="185" spans="22:22" ht="20.100000000000001" customHeight="1">
      <c r="V185" s="18"/>
    </row>
    <row r="186" spans="22:22" ht="20.100000000000001" customHeight="1">
      <c r="V186" s="18"/>
    </row>
    <row r="187" spans="22:22" ht="20.100000000000001" customHeight="1">
      <c r="V187" s="18"/>
    </row>
    <row r="188" spans="22:22" ht="20.100000000000001" customHeight="1">
      <c r="V188" s="18"/>
    </row>
    <row r="189" spans="22:22" ht="20.100000000000001" customHeight="1">
      <c r="V189" s="18"/>
    </row>
    <row r="190" spans="22:22" ht="20.100000000000001" customHeight="1">
      <c r="V190" s="18"/>
    </row>
    <row r="191" spans="22:22" ht="20.100000000000001" customHeight="1">
      <c r="V191" s="18"/>
    </row>
    <row r="192" spans="22:22" ht="20.100000000000001" customHeight="1">
      <c r="V192" s="18"/>
    </row>
    <row r="193" spans="22:22" ht="20.100000000000001" customHeight="1">
      <c r="V193" s="18"/>
    </row>
    <row r="194" spans="22:22" ht="20.100000000000001" customHeight="1">
      <c r="V194" s="18"/>
    </row>
    <row r="195" spans="22:22" ht="20.100000000000001" customHeight="1">
      <c r="V195" s="18"/>
    </row>
    <row r="196" spans="22:22" ht="20.100000000000001" customHeight="1">
      <c r="V196" s="18"/>
    </row>
    <row r="197" spans="22:22" ht="20.100000000000001" customHeight="1">
      <c r="V197" s="18"/>
    </row>
    <row r="198" spans="22:22" ht="20.100000000000001" customHeight="1">
      <c r="V198" s="18"/>
    </row>
    <row r="199" spans="22:22" ht="20.100000000000001" customHeight="1">
      <c r="V199" s="18"/>
    </row>
    <row r="200" spans="22:22" ht="20.100000000000001" customHeight="1">
      <c r="V200" s="18"/>
    </row>
    <row r="201" spans="22:22" ht="20.100000000000001" customHeight="1">
      <c r="V201" s="18"/>
    </row>
    <row r="202" spans="22:22" ht="20.100000000000001" customHeight="1">
      <c r="V202" s="18"/>
    </row>
    <row r="203" spans="22:22" ht="20.100000000000001" customHeight="1">
      <c r="V203" s="18"/>
    </row>
    <row r="204" spans="22:22" ht="20.100000000000001" customHeight="1">
      <c r="V204" s="18"/>
    </row>
    <row r="205" spans="22:22" ht="20.100000000000001" customHeight="1">
      <c r="V205" s="18"/>
    </row>
    <row r="206" spans="22:22" ht="20.100000000000001" customHeight="1">
      <c r="V206" s="18"/>
    </row>
    <row r="207" spans="22:22" ht="20.100000000000001" customHeight="1">
      <c r="V207" s="18"/>
    </row>
    <row r="208" spans="22:22" ht="20.100000000000001" customHeight="1">
      <c r="V208" s="18"/>
    </row>
    <row r="209" spans="22:22" ht="20.100000000000001" customHeight="1">
      <c r="V209" s="18"/>
    </row>
    <row r="210" spans="22:22" ht="20.100000000000001" customHeight="1">
      <c r="V210" s="18"/>
    </row>
    <row r="211" spans="22:22" ht="20.100000000000001" customHeight="1">
      <c r="V211" s="18"/>
    </row>
    <row r="212" spans="22:22" ht="20.100000000000001" customHeight="1">
      <c r="V212" s="18"/>
    </row>
    <row r="213" spans="22:22" ht="20.100000000000001" customHeight="1">
      <c r="V213" s="18"/>
    </row>
    <row r="214" spans="22:22" ht="20.100000000000001" customHeight="1">
      <c r="V214" s="18"/>
    </row>
    <row r="215" spans="22:22" ht="20.100000000000001" customHeight="1">
      <c r="V215" s="18"/>
    </row>
    <row r="216" spans="22:22" ht="20.100000000000001" customHeight="1">
      <c r="V216" s="18"/>
    </row>
    <row r="217" spans="22:22" ht="20.100000000000001" customHeight="1">
      <c r="V217" s="18"/>
    </row>
    <row r="218" spans="22:22" ht="20.100000000000001" customHeight="1">
      <c r="V218" s="18"/>
    </row>
    <row r="219" spans="22:22" ht="20.100000000000001" customHeight="1">
      <c r="V219" s="18"/>
    </row>
    <row r="220" spans="22:22" ht="20.100000000000001" customHeight="1">
      <c r="V220" s="18"/>
    </row>
    <row r="221" spans="22:22" ht="20.100000000000001" customHeight="1">
      <c r="V221" s="18"/>
    </row>
    <row r="222" spans="22:22" ht="20.100000000000001" customHeight="1">
      <c r="V222" s="18"/>
    </row>
    <row r="223" spans="22:22" ht="20.100000000000001" customHeight="1">
      <c r="V223" s="18"/>
    </row>
    <row r="224" spans="22:22" ht="20.100000000000001" customHeight="1">
      <c r="V224" s="18"/>
    </row>
    <row r="225" spans="22:22" ht="20.100000000000001" customHeight="1">
      <c r="V225" s="18"/>
    </row>
    <row r="226" spans="22:22" ht="20.100000000000001" customHeight="1">
      <c r="V226" s="18"/>
    </row>
    <row r="227" spans="22:22" ht="20.100000000000001" customHeight="1">
      <c r="V227" s="18"/>
    </row>
    <row r="228" spans="22:22" ht="20.100000000000001" customHeight="1">
      <c r="V228" s="18"/>
    </row>
    <row r="229" spans="22:22" ht="20.100000000000001" customHeight="1">
      <c r="V229" s="18"/>
    </row>
    <row r="230" spans="22:22" ht="20.100000000000001" customHeight="1">
      <c r="V230" s="18"/>
    </row>
    <row r="231" spans="22:22" ht="20.100000000000001" customHeight="1">
      <c r="V231" s="18"/>
    </row>
  </sheetData>
  <customSheetViews>
    <customSheetView guid="{809E84AF-EE5E-4456-99E6-0390B35F6AD9}" scale="80" showGridLines="0" hiddenColumns="1">
      <pane ySplit="5" topLeftCell="A27" activePane="bottomLeft" state="frozen"/>
      <selection pane="bottomLeft" activeCell="E30" sqref="E30:U30"/>
      <pageMargins left="0.39370078740157483" right="0.39370078740157483" top="0.22" bottom="0.39370078740157483" header="0.2" footer="0.31496062992125984"/>
      <printOptions verticalCentered="1"/>
      <pageSetup paperSize="9" scale="96" orientation="landscape" verticalDpi="360" r:id="rId1"/>
      <headerFooter alignWithMargins="0"/>
    </customSheetView>
  </customSheetViews>
  <mergeCells count="92">
    <mergeCell ref="E55:U55"/>
    <mergeCell ref="E56:U56"/>
    <mergeCell ref="E57:U57"/>
    <mergeCell ref="E58:U58"/>
    <mergeCell ref="E59:U59"/>
    <mergeCell ref="E60:U60"/>
    <mergeCell ref="E61:U61"/>
    <mergeCell ref="E62:U62"/>
    <mergeCell ref="E63:U63"/>
    <mergeCell ref="E64:U64"/>
    <mergeCell ref="E65:U65"/>
    <mergeCell ref="E66:U66"/>
    <mergeCell ref="E67:U67"/>
    <mergeCell ref="E68:U68"/>
    <mergeCell ref="E69:U69"/>
    <mergeCell ref="W81:X81"/>
    <mergeCell ref="W82:X82"/>
    <mergeCell ref="W83:X83"/>
    <mergeCell ref="E80:U80"/>
    <mergeCell ref="E81:U81"/>
    <mergeCell ref="E82:U82"/>
    <mergeCell ref="E83:U83"/>
    <mergeCell ref="E70:U70"/>
    <mergeCell ref="E71:U71"/>
    <mergeCell ref="E72:U72"/>
    <mergeCell ref="E73:U73"/>
    <mergeCell ref="E74:U74"/>
    <mergeCell ref="E84:U84"/>
    <mergeCell ref="E75:U75"/>
    <mergeCell ref="E76:U76"/>
    <mergeCell ref="E77:U77"/>
    <mergeCell ref="E78:U78"/>
    <mergeCell ref="E79:U79"/>
    <mergeCell ref="E45:U45"/>
    <mergeCell ref="E46:U46"/>
    <mergeCell ref="E47:U47"/>
    <mergeCell ref="E48:U48"/>
    <mergeCell ref="E49:U49"/>
    <mergeCell ref="E50:U50"/>
    <mergeCell ref="E51:U51"/>
    <mergeCell ref="E52:U52"/>
    <mergeCell ref="E53:U53"/>
    <mergeCell ref="E54:U54"/>
    <mergeCell ref="E35:U35"/>
    <mergeCell ref="E36:U36"/>
    <mergeCell ref="E37:U37"/>
    <mergeCell ref="E38:U38"/>
    <mergeCell ref="E39:U39"/>
    <mergeCell ref="E40:U40"/>
    <mergeCell ref="E41:U41"/>
    <mergeCell ref="E42:U42"/>
    <mergeCell ref="E43:U43"/>
    <mergeCell ref="E44:U44"/>
    <mergeCell ref="E25:U25"/>
    <mergeCell ref="E26:U26"/>
    <mergeCell ref="E27:U27"/>
    <mergeCell ref="E28:U28"/>
    <mergeCell ref="E29:U29"/>
    <mergeCell ref="E30:U30"/>
    <mergeCell ref="E31:U31"/>
    <mergeCell ref="E32:U32"/>
    <mergeCell ref="E33:U33"/>
    <mergeCell ref="E34:U34"/>
    <mergeCell ref="E15:U15"/>
    <mergeCell ref="E16:U16"/>
    <mergeCell ref="E17:U17"/>
    <mergeCell ref="E18:U18"/>
    <mergeCell ref="E19:U19"/>
    <mergeCell ref="E20:U20"/>
    <mergeCell ref="E21:U21"/>
    <mergeCell ref="E22:U22"/>
    <mergeCell ref="E23:U23"/>
    <mergeCell ref="E24:U24"/>
    <mergeCell ref="E13:U13"/>
    <mergeCell ref="E14:U14"/>
    <mergeCell ref="E7:U7"/>
    <mergeCell ref="E8:U8"/>
    <mergeCell ref="E9:U9"/>
    <mergeCell ref="E6:U6"/>
    <mergeCell ref="E5:U5"/>
    <mergeCell ref="E10:U10"/>
    <mergeCell ref="E11:U11"/>
    <mergeCell ref="E12:U12"/>
    <mergeCell ref="T2:U2"/>
    <mergeCell ref="H3:O3"/>
    <mergeCell ref="Q3:R3"/>
    <mergeCell ref="T3:U3"/>
    <mergeCell ref="B2:E3"/>
    <mergeCell ref="F2:G2"/>
    <mergeCell ref="F3:G3"/>
    <mergeCell ref="H2:O2"/>
    <mergeCell ref="Q2:R2"/>
  </mergeCells>
  <phoneticPr fontId="13"/>
  <dataValidations count="1">
    <dataValidation imeMode="off" allowBlank="1" showInputMessage="1" showErrorMessage="1" sqref="B6:C6"/>
  </dataValidations>
  <pageMargins left="0.39370078740157477" right="0.39370078740157477" top="0.59055118110236215" bottom="0.59055118110236215" header="0.31496062992125989" footer="0.27559055118110232"/>
  <pageSetup paperSize="9" scale="63" fitToHeight="0" orientation="landscape" verticalDpi="360" r:id="rId2"/>
  <headerFooter alignWithMargins="0">
    <oddFooter>&amp;R&amp;"Arial,標準"&amp;8Sharp Business Solutions Corporation&amp;C&amp;P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9">
    <pageSetUpPr fitToPage="1"/>
  </sheetPr>
  <dimension ref="A1:I105"/>
  <sheetViews>
    <sheetView showGridLines="0" zoomScaleNormal="100" zoomScaleSheetLayoutView="100" workbookViewId="0">
      <pane ySplit="5" topLeftCell="A6" activePane="bottomLeft" state="frozen"/>
      <selection activeCell="D16" sqref="D16"/>
      <selection pane="bottomLeft" activeCell="E13" sqref="E13"/>
    </sheetView>
  </sheetViews>
  <sheetFormatPr defaultRowHeight="20.100000000000001" customHeight="1"/>
  <cols>
    <col min="1" max="1" width="3.42578125" style="18" customWidth="1"/>
    <col min="2" max="2" width="5.7109375" style="18" customWidth="1"/>
    <col min="3" max="5" width="40.7109375" style="18" customWidth="1"/>
    <col min="6" max="6" width="15.7109375" style="18" customWidth="1"/>
    <col min="7" max="7" width="20.7109375" style="18" customWidth="1"/>
    <col min="8" max="8" width="15.7109375" style="18" customWidth="1"/>
    <col min="9" max="9" width="20.7109375" style="18" customWidth="1"/>
    <col min="10" max="16384" width="9.140625" style="18"/>
  </cols>
  <sheetData>
    <row r="1" spans="1:9" ht="15" customHeight="1" thickBot="1">
      <c r="A1" s="235"/>
      <c r="B1" s="235"/>
      <c r="C1" s="235"/>
      <c r="D1" s="235"/>
      <c r="E1" s="235"/>
      <c r="F1" s="235"/>
      <c r="G1" s="235"/>
      <c r="H1" s="235"/>
      <c r="I1" s="235"/>
    </row>
    <row r="2" spans="1:9" ht="15" customHeight="1">
      <c r="B2" s="314" t="s">
        <v>206</v>
      </c>
      <c r="C2" s="315"/>
      <c r="D2" s="99" t="s">
        <v>2</v>
      </c>
      <c r="E2" s="236" t="str">
        <f>ProjectName</f>
        <v>○△□プロジェクト</v>
      </c>
      <c r="F2" s="99" t="s">
        <v>3</v>
      </c>
      <c r="G2" s="237" t="str">
        <f>CreateBy</f>
        <v>○○　✕✕</v>
      </c>
      <c r="H2" s="99" t="s">
        <v>4</v>
      </c>
      <c r="I2" s="198">
        <f>CreateAt</f>
        <v>44287</v>
      </c>
    </row>
    <row r="3" spans="1:9" ht="15" customHeight="1" thickBot="1">
      <c r="B3" s="316"/>
      <c r="C3" s="317"/>
      <c r="D3" s="100" t="s">
        <v>5</v>
      </c>
      <c r="E3" s="238" t="str">
        <f>systemName</f>
        <v>○✕システム</v>
      </c>
      <c r="F3" s="100" t="s">
        <v>6</v>
      </c>
      <c r="G3" s="239"/>
      <c r="H3" s="100" t="s">
        <v>7</v>
      </c>
      <c r="I3" s="199"/>
    </row>
    <row r="4" spans="1:9" ht="5.25" customHeight="1" thickBot="1"/>
    <row r="5" spans="1:9" ht="20.100000000000001" customHeight="1" thickBot="1">
      <c r="B5" s="104" t="s">
        <v>296</v>
      </c>
      <c r="C5" s="105" t="s">
        <v>509</v>
      </c>
      <c r="D5" s="244" t="s">
        <v>222</v>
      </c>
      <c r="E5" s="243" t="s">
        <v>233</v>
      </c>
      <c r="F5" s="318" t="s">
        <v>117</v>
      </c>
      <c r="G5" s="319"/>
      <c r="H5" s="319"/>
      <c r="I5" s="320"/>
    </row>
    <row r="6" spans="1:9" s="22" customFormat="1" ht="20.100000000000001" customHeight="1">
      <c r="B6" s="36">
        <f t="shared" ref="B6:B15" si="0">ROW()-5</f>
        <v>1</v>
      </c>
      <c r="C6" s="161" t="s">
        <v>508</v>
      </c>
      <c r="D6" s="245" t="s">
        <v>485</v>
      </c>
      <c r="E6" s="246" t="s">
        <v>484</v>
      </c>
      <c r="F6" s="321" t="s">
        <v>507</v>
      </c>
      <c r="G6" s="322"/>
      <c r="H6" s="322"/>
      <c r="I6" s="323"/>
    </row>
    <row r="7" spans="1:9" s="22" customFormat="1" ht="20.100000000000001" customHeight="1">
      <c r="B7" s="36">
        <f t="shared" si="0"/>
        <v>2</v>
      </c>
      <c r="C7" s="161" t="s">
        <v>508</v>
      </c>
      <c r="D7" s="245" t="s">
        <v>487</v>
      </c>
      <c r="E7" s="246" t="s">
        <v>486</v>
      </c>
      <c r="F7" s="324" t="s">
        <v>513</v>
      </c>
      <c r="G7" s="325"/>
      <c r="H7" s="325"/>
      <c r="I7" s="326"/>
    </row>
    <row r="8" spans="1:9" s="22" customFormat="1" ht="20.100000000000001" customHeight="1">
      <c r="B8" s="36">
        <f t="shared" si="0"/>
        <v>3</v>
      </c>
      <c r="C8" s="161" t="s">
        <v>508</v>
      </c>
      <c r="D8" s="245" t="s">
        <v>489</v>
      </c>
      <c r="E8" s="246" t="s">
        <v>488</v>
      </c>
      <c r="F8" s="324" t="s">
        <v>514</v>
      </c>
      <c r="G8" s="325"/>
      <c r="H8" s="325"/>
      <c r="I8" s="326"/>
    </row>
    <row r="9" spans="1:9" s="22" customFormat="1" ht="20.100000000000001" customHeight="1">
      <c r="B9" s="36">
        <f t="shared" si="0"/>
        <v>4</v>
      </c>
      <c r="C9" s="161" t="s">
        <v>508</v>
      </c>
      <c r="D9" s="245" t="s">
        <v>491</v>
      </c>
      <c r="E9" s="246" t="s">
        <v>490</v>
      </c>
      <c r="F9" s="324" t="s">
        <v>515</v>
      </c>
      <c r="G9" s="325"/>
      <c r="H9" s="325"/>
      <c r="I9" s="326"/>
    </row>
    <row r="10" spans="1:9" s="22" customFormat="1" ht="20.100000000000001" customHeight="1">
      <c r="B10" s="36">
        <f t="shared" si="0"/>
        <v>5</v>
      </c>
      <c r="C10" s="162" t="s">
        <v>508</v>
      </c>
      <c r="D10" s="245" t="s">
        <v>493</v>
      </c>
      <c r="E10" s="246" t="s">
        <v>492</v>
      </c>
      <c r="F10" s="324" t="s">
        <v>516</v>
      </c>
      <c r="G10" s="325"/>
      <c r="H10" s="325"/>
      <c r="I10" s="326"/>
    </row>
    <row r="11" spans="1:9" s="22" customFormat="1" ht="20.100000000000001" customHeight="1">
      <c r="B11" s="36">
        <f t="shared" si="0"/>
        <v>6</v>
      </c>
      <c r="C11" s="161" t="s">
        <v>508</v>
      </c>
      <c r="D11" s="245" t="s">
        <v>495</v>
      </c>
      <c r="E11" s="246" t="s">
        <v>494</v>
      </c>
      <c r="F11" s="324" t="s">
        <v>517</v>
      </c>
      <c r="G11" s="325"/>
      <c r="H11" s="325"/>
      <c r="I11" s="326"/>
    </row>
    <row r="12" spans="1:9" s="22" customFormat="1" ht="20.100000000000001" customHeight="1">
      <c r="B12" s="36">
        <f t="shared" si="0"/>
        <v>7</v>
      </c>
      <c r="C12" s="161" t="s">
        <v>508</v>
      </c>
      <c r="D12" s="245" t="s">
        <v>497</v>
      </c>
      <c r="E12" s="246" t="s">
        <v>496</v>
      </c>
      <c r="F12" s="340" t="s">
        <v>518</v>
      </c>
      <c r="G12" s="341"/>
      <c r="H12" s="341"/>
      <c r="I12" s="342"/>
    </row>
    <row r="13" spans="1:9" s="22" customFormat="1" ht="20.100000000000001" customHeight="1">
      <c r="B13" s="36">
        <f t="shared" si="0"/>
        <v>8</v>
      </c>
      <c r="C13" s="161" t="s">
        <v>508</v>
      </c>
      <c r="D13" s="245" t="s">
        <v>510</v>
      </c>
      <c r="E13" s="246" t="s">
        <v>511</v>
      </c>
      <c r="F13" s="340" t="s">
        <v>512</v>
      </c>
      <c r="G13" s="341"/>
      <c r="H13" s="341"/>
      <c r="I13" s="342"/>
    </row>
    <row r="14" spans="1:9" s="22" customFormat="1" ht="20.100000000000001" customHeight="1">
      <c r="B14" s="36">
        <f t="shared" si="0"/>
        <v>9</v>
      </c>
      <c r="C14" s="161"/>
      <c r="D14" s="245"/>
      <c r="E14" s="246"/>
      <c r="F14" s="327"/>
      <c r="G14" s="328"/>
      <c r="H14" s="328"/>
      <c r="I14" s="329"/>
    </row>
    <row r="15" spans="1:9" s="22" customFormat="1" ht="20.100000000000001" customHeight="1">
      <c r="B15" s="36">
        <f t="shared" si="0"/>
        <v>10</v>
      </c>
      <c r="C15" s="161"/>
      <c r="D15" s="245"/>
      <c r="E15" s="246"/>
      <c r="F15" s="327"/>
      <c r="G15" s="328"/>
      <c r="H15" s="328"/>
      <c r="I15" s="329"/>
    </row>
    <row r="16" spans="1:9" s="22" customFormat="1" ht="20.100000000000001" customHeight="1">
      <c r="B16" s="36">
        <f t="shared" ref="B16:B73" si="1">ROW()-5</f>
        <v>11</v>
      </c>
      <c r="C16" s="161"/>
      <c r="D16" s="157"/>
      <c r="E16" s="156"/>
      <c r="F16" s="333"/>
      <c r="G16" s="331"/>
      <c r="H16" s="331"/>
      <c r="I16" s="332"/>
    </row>
    <row r="17" spans="2:9" s="22" customFormat="1" ht="20.100000000000001" customHeight="1">
      <c r="B17" s="36">
        <f t="shared" si="1"/>
        <v>12</v>
      </c>
      <c r="C17" s="161"/>
      <c r="D17" s="157"/>
      <c r="E17" s="156"/>
      <c r="F17" s="334"/>
      <c r="G17" s="335"/>
      <c r="H17" s="335"/>
      <c r="I17" s="336"/>
    </row>
    <row r="18" spans="2:9" s="22" customFormat="1" ht="20.100000000000001" customHeight="1">
      <c r="B18" s="36">
        <f t="shared" si="1"/>
        <v>13</v>
      </c>
      <c r="C18" s="161"/>
      <c r="D18" s="157"/>
      <c r="E18" s="156"/>
      <c r="F18" s="337"/>
      <c r="G18" s="338"/>
      <c r="H18" s="338"/>
      <c r="I18" s="339"/>
    </row>
    <row r="19" spans="2:9" s="22" customFormat="1" ht="20.100000000000001" customHeight="1">
      <c r="B19" s="36">
        <f t="shared" si="1"/>
        <v>14</v>
      </c>
      <c r="C19" s="161"/>
      <c r="D19" s="157"/>
      <c r="E19" s="156"/>
      <c r="F19" s="330"/>
      <c r="G19" s="331"/>
      <c r="H19" s="331"/>
      <c r="I19" s="332"/>
    </row>
    <row r="20" spans="2:9" s="22" customFormat="1" ht="20.100000000000001" customHeight="1">
      <c r="B20" s="36">
        <f t="shared" si="1"/>
        <v>15</v>
      </c>
      <c r="C20" s="161"/>
      <c r="D20" s="157"/>
      <c r="E20" s="156"/>
      <c r="F20" s="330"/>
      <c r="G20" s="331"/>
      <c r="H20" s="331"/>
      <c r="I20" s="332"/>
    </row>
    <row r="21" spans="2:9" s="22" customFormat="1" ht="20.100000000000001" customHeight="1">
      <c r="B21" s="36">
        <f t="shared" si="1"/>
        <v>16</v>
      </c>
      <c r="C21" s="161"/>
      <c r="D21" s="157"/>
      <c r="E21" s="156"/>
      <c r="F21" s="330"/>
      <c r="G21" s="331"/>
      <c r="H21" s="331"/>
      <c r="I21" s="332"/>
    </row>
    <row r="22" spans="2:9" s="22" customFormat="1" ht="20.100000000000001" customHeight="1">
      <c r="B22" s="36">
        <f t="shared" si="1"/>
        <v>17</v>
      </c>
      <c r="C22" s="161"/>
      <c r="D22" s="157"/>
      <c r="E22" s="156"/>
      <c r="F22" s="330"/>
      <c r="G22" s="331"/>
      <c r="H22" s="331"/>
      <c r="I22" s="332"/>
    </row>
    <row r="23" spans="2:9" s="22" customFormat="1" ht="20.100000000000001" customHeight="1">
      <c r="B23" s="36">
        <f t="shared" si="1"/>
        <v>18</v>
      </c>
      <c r="C23" s="161"/>
      <c r="D23" s="157"/>
      <c r="E23" s="156"/>
      <c r="F23" s="330"/>
      <c r="G23" s="331"/>
      <c r="H23" s="331"/>
      <c r="I23" s="332"/>
    </row>
    <row r="24" spans="2:9" s="22" customFormat="1" ht="20.100000000000001" customHeight="1">
      <c r="B24" s="36">
        <f t="shared" si="1"/>
        <v>19</v>
      </c>
      <c r="C24" s="161"/>
      <c r="D24" s="157"/>
      <c r="E24" s="156"/>
      <c r="F24" s="330"/>
      <c r="G24" s="331"/>
      <c r="H24" s="331"/>
      <c r="I24" s="332"/>
    </row>
    <row r="25" spans="2:9" s="22" customFormat="1" ht="20.100000000000001" customHeight="1">
      <c r="B25" s="36">
        <f t="shared" si="1"/>
        <v>20</v>
      </c>
      <c r="C25" s="161"/>
      <c r="D25" s="157"/>
      <c r="E25" s="156"/>
      <c r="F25" s="330"/>
      <c r="G25" s="331"/>
      <c r="H25" s="331"/>
      <c r="I25" s="332"/>
    </row>
    <row r="26" spans="2:9" s="22" customFormat="1" ht="20.100000000000001" customHeight="1">
      <c r="B26" s="36">
        <f t="shared" si="1"/>
        <v>21</v>
      </c>
      <c r="C26" s="161"/>
      <c r="D26" s="157"/>
      <c r="E26" s="156"/>
      <c r="F26" s="330"/>
      <c r="G26" s="331"/>
      <c r="H26" s="331"/>
      <c r="I26" s="332"/>
    </row>
    <row r="27" spans="2:9" s="22" customFormat="1" ht="20.100000000000001" customHeight="1">
      <c r="B27" s="36">
        <f t="shared" si="1"/>
        <v>22</v>
      </c>
      <c r="C27" s="161"/>
      <c r="D27" s="157"/>
      <c r="E27" s="156"/>
      <c r="F27" s="330"/>
      <c r="G27" s="331"/>
      <c r="H27" s="331"/>
      <c r="I27" s="332"/>
    </row>
    <row r="28" spans="2:9" s="22" customFormat="1" ht="20.100000000000001" customHeight="1">
      <c r="B28" s="36">
        <f t="shared" si="1"/>
        <v>23</v>
      </c>
      <c r="C28" s="161"/>
      <c r="D28" s="157"/>
      <c r="E28" s="156"/>
      <c r="F28" s="330"/>
      <c r="G28" s="331"/>
      <c r="H28" s="331"/>
      <c r="I28" s="332"/>
    </row>
    <row r="29" spans="2:9" s="22" customFormat="1" ht="20.100000000000001" customHeight="1">
      <c r="B29" s="36">
        <f t="shared" si="1"/>
        <v>24</v>
      </c>
      <c r="C29" s="161"/>
      <c r="D29" s="157"/>
      <c r="E29" s="156"/>
      <c r="F29" s="330"/>
      <c r="G29" s="331"/>
      <c r="H29" s="331"/>
      <c r="I29" s="332"/>
    </row>
    <row r="30" spans="2:9" s="22" customFormat="1" ht="20.100000000000001" customHeight="1">
      <c r="B30" s="36">
        <f t="shared" si="1"/>
        <v>25</v>
      </c>
      <c r="C30" s="161"/>
      <c r="D30" s="157"/>
      <c r="E30" s="156"/>
      <c r="F30" s="330"/>
      <c r="G30" s="331"/>
      <c r="H30" s="331"/>
      <c r="I30" s="332"/>
    </row>
    <row r="31" spans="2:9" s="22" customFormat="1" ht="20.100000000000001" customHeight="1">
      <c r="B31" s="36">
        <f t="shared" si="1"/>
        <v>26</v>
      </c>
      <c r="C31" s="161"/>
      <c r="D31" s="157"/>
      <c r="E31" s="156"/>
      <c r="F31" s="330"/>
      <c r="G31" s="331"/>
      <c r="H31" s="331"/>
      <c r="I31" s="332"/>
    </row>
    <row r="32" spans="2:9" s="22" customFormat="1" ht="20.100000000000001" customHeight="1">
      <c r="B32" s="36">
        <f t="shared" si="1"/>
        <v>27</v>
      </c>
      <c r="C32" s="161"/>
      <c r="D32" s="157"/>
      <c r="E32" s="156"/>
      <c r="F32" s="330"/>
      <c r="G32" s="331"/>
      <c r="H32" s="331"/>
      <c r="I32" s="332"/>
    </row>
    <row r="33" spans="2:9" s="22" customFormat="1" ht="20.100000000000001" customHeight="1">
      <c r="B33" s="36">
        <f t="shared" si="1"/>
        <v>28</v>
      </c>
      <c r="C33" s="161"/>
      <c r="D33" s="157"/>
      <c r="E33" s="156"/>
      <c r="F33" s="330"/>
      <c r="G33" s="331"/>
      <c r="H33" s="331"/>
      <c r="I33" s="332"/>
    </row>
    <row r="34" spans="2:9" s="22" customFormat="1" ht="20.100000000000001" customHeight="1">
      <c r="B34" s="36">
        <f t="shared" si="1"/>
        <v>29</v>
      </c>
      <c r="C34" s="161"/>
      <c r="D34" s="157"/>
      <c r="E34" s="156"/>
      <c r="F34" s="330"/>
      <c r="G34" s="331"/>
      <c r="H34" s="331"/>
      <c r="I34" s="332"/>
    </row>
    <row r="35" spans="2:9" s="22" customFormat="1" ht="20.100000000000001" customHeight="1">
      <c r="B35" s="36">
        <f t="shared" si="1"/>
        <v>30</v>
      </c>
      <c r="C35" s="161"/>
      <c r="D35" s="157"/>
      <c r="E35" s="156"/>
      <c r="F35" s="330"/>
      <c r="G35" s="331"/>
      <c r="H35" s="331"/>
      <c r="I35" s="332"/>
    </row>
    <row r="36" spans="2:9" s="22" customFormat="1" ht="20.100000000000001" customHeight="1">
      <c r="B36" s="36">
        <f t="shared" si="1"/>
        <v>31</v>
      </c>
      <c r="C36" s="161"/>
      <c r="D36" s="157"/>
      <c r="E36" s="156"/>
      <c r="F36" s="330"/>
      <c r="G36" s="331"/>
      <c r="H36" s="331"/>
      <c r="I36" s="332"/>
    </row>
    <row r="37" spans="2:9" s="22" customFormat="1" ht="20.100000000000001" customHeight="1">
      <c r="B37" s="36">
        <f t="shared" si="1"/>
        <v>32</v>
      </c>
      <c r="C37" s="161"/>
      <c r="D37" s="157"/>
      <c r="E37" s="156"/>
      <c r="F37" s="330"/>
      <c r="G37" s="331"/>
      <c r="H37" s="331"/>
      <c r="I37" s="332"/>
    </row>
    <row r="38" spans="2:9" s="22" customFormat="1" ht="20.100000000000001" customHeight="1">
      <c r="B38" s="36">
        <f t="shared" si="1"/>
        <v>33</v>
      </c>
      <c r="C38" s="161"/>
      <c r="D38" s="157"/>
      <c r="E38" s="156"/>
      <c r="F38" s="330"/>
      <c r="G38" s="331"/>
      <c r="H38" s="331"/>
      <c r="I38" s="332"/>
    </row>
    <row r="39" spans="2:9" s="22" customFormat="1" ht="20.100000000000001" customHeight="1">
      <c r="B39" s="36">
        <f t="shared" si="1"/>
        <v>34</v>
      </c>
      <c r="C39" s="161"/>
      <c r="D39" s="157"/>
      <c r="E39" s="156"/>
      <c r="F39" s="330"/>
      <c r="G39" s="331"/>
      <c r="H39" s="331"/>
      <c r="I39" s="332"/>
    </row>
    <row r="40" spans="2:9" s="22" customFormat="1" ht="20.100000000000001" customHeight="1">
      <c r="B40" s="36">
        <f t="shared" si="1"/>
        <v>35</v>
      </c>
      <c r="C40" s="161"/>
      <c r="D40" s="158"/>
      <c r="E40" s="156"/>
      <c r="F40" s="330"/>
      <c r="G40" s="331"/>
      <c r="H40" s="331"/>
      <c r="I40" s="332"/>
    </row>
    <row r="41" spans="2:9" s="22" customFormat="1" ht="20.100000000000001" customHeight="1">
      <c r="B41" s="36">
        <f t="shared" si="1"/>
        <v>36</v>
      </c>
      <c r="C41" s="161"/>
      <c r="D41" s="158"/>
      <c r="E41" s="156"/>
      <c r="F41" s="330"/>
      <c r="G41" s="331"/>
      <c r="H41" s="331"/>
      <c r="I41" s="332"/>
    </row>
    <row r="42" spans="2:9" s="22" customFormat="1" ht="20.100000000000001" customHeight="1">
      <c r="B42" s="36">
        <f t="shared" si="1"/>
        <v>37</v>
      </c>
      <c r="C42" s="161"/>
      <c r="D42" s="158"/>
      <c r="E42" s="156"/>
      <c r="F42" s="330"/>
      <c r="G42" s="331"/>
      <c r="H42" s="331"/>
      <c r="I42" s="332"/>
    </row>
    <row r="43" spans="2:9" s="22" customFormat="1" ht="20.100000000000001" customHeight="1">
      <c r="B43" s="36">
        <f t="shared" si="1"/>
        <v>38</v>
      </c>
      <c r="C43" s="161"/>
      <c r="D43" s="158"/>
      <c r="E43" s="156"/>
      <c r="F43" s="330"/>
      <c r="G43" s="331"/>
      <c r="H43" s="331"/>
      <c r="I43" s="332"/>
    </row>
    <row r="44" spans="2:9" s="22" customFormat="1" ht="20.100000000000001" customHeight="1">
      <c r="B44" s="36">
        <f t="shared" si="1"/>
        <v>39</v>
      </c>
      <c r="C44" s="161"/>
      <c r="D44" s="158"/>
      <c r="E44" s="156"/>
      <c r="F44" s="330"/>
      <c r="G44" s="331"/>
      <c r="H44" s="331"/>
      <c r="I44" s="332"/>
    </row>
    <row r="45" spans="2:9" s="22" customFormat="1" ht="20.100000000000001" customHeight="1">
      <c r="B45" s="36">
        <f t="shared" si="1"/>
        <v>40</v>
      </c>
      <c r="C45" s="161"/>
      <c r="D45" s="158"/>
      <c r="E45" s="156"/>
      <c r="F45" s="330"/>
      <c r="G45" s="331"/>
      <c r="H45" s="331"/>
      <c r="I45" s="332"/>
    </row>
    <row r="46" spans="2:9" s="22" customFormat="1" ht="20.100000000000001" customHeight="1">
      <c r="B46" s="36">
        <f t="shared" si="1"/>
        <v>41</v>
      </c>
      <c r="C46" s="161"/>
      <c r="D46" s="158"/>
      <c r="E46" s="156"/>
      <c r="F46" s="330"/>
      <c r="G46" s="331"/>
      <c r="H46" s="331"/>
      <c r="I46" s="332"/>
    </row>
    <row r="47" spans="2:9" s="22" customFormat="1" ht="20.100000000000001" customHeight="1">
      <c r="B47" s="36">
        <f t="shared" si="1"/>
        <v>42</v>
      </c>
      <c r="C47" s="161"/>
      <c r="D47" s="158"/>
      <c r="E47" s="156"/>
      <c r="F47" s="330"/>
      <c r="G47" s="331"/>
      <c r="H47" s="331"/>
      <c r="I47" s="332"/>
    </row>
    <row r="48" spans="2:9" s="22" customFormat="1" ht="20.100000000000001" customHeight="1">
      <c r="B48" s="36">
        <f t="shared" si="1"/>
        <v>43</v>
      </c>
      <c r="C48" s="161"/>
      <c r="D48" s="158"/>
      <c r="E48" s="156"/>
      <c r="F48" s="330"/>
      <c r="G48" s="331"/>
      <c r="H48" s="331"/>
      <c r="I48" s="332"/>
    </row>
    <row r="49" spans="2:9" s="22" customFormat="1" ht="20.100000000000001" customHeight="1">
      <c r="B49" s="36">
        <f t="shared" si="1"/>
        <v>44</v>
      </c>
      <c r="C49" s="161"/>
      <c r="D49" s="158"/>
      <c r="E49" s="156"/>
      <c r="F49" s="330"/>
      <c r="G49" s="331"/>
      <c r="H49" s="331"/>
      <c r="I49" s="332"/>
    </row>
    <row r="50" spans="2:9" s="22" customFormat="1" ht="20.100000000000001" customHeight="1">
      <c r="B50" s="36">
        <f t="shared" si="1"/>
        <v>45</v>
      </c>
      <c r="C50" s="161"/>
      <c r="D50" s="158"/>
      <c r="E50" s="156"/>
      <c r="F50" s="330"/>
      <c r="G50" s="331"/>
      <c r="H50" s="331"/>
      <c r="I50" s="332"/>
    </row>
    <row r="51" spans="2:9" s="22" customFormat="1" ht="20.100000000000001" customHeight="1">
      <c r="B51" s="36">
        <f t="shared" si="1"/>
        <v>46</v>
      </c>
      <c r="C51" s="161"/>
      <c r="D51" s="158"/>
      <c r="E51" s="156"/>
      <c r="F51" s="330"/>
      <c r="G51" s="331"/>
      <c r="H51" s="331"/>
      <c r="I51" s="332"/>
    </row>
    <row r="52" spans="2:9" s="22" customFormat="1" ht="20.100000000000001" customHeight="1">
      <c r="B52" s="36">
        <f t="shared" si="1"/>
        <v>47</v>
      </c>
      <c r="C52" s="161"/>
      <c r="D52" s="158"/>
      <c r="E52" s="156"/>
      <c r="F52" s="330"/>
      <c r="G52" s="331"/>
      <c r="H52" s="331"/>
      <c r="I52" s="332"/>
    </row>
    <row r="53" spans="2:9" s="22" customFormat="1" ht="20.100000000000001" customHeight="1">
      <c r="B53" s="36">
        <f t="shared" si="1"/>
        <v>48</v>
      </c>
      <c r="C53" s="161"/>
      <c r="D53" s="158"/>
      <c r="E53" s="156"/>
      <c r="F53" s="330"/>
      <c r="G53" s="331"/>
      <c r="H53" s="331"/>
      <c r="I53" s="332"/>
    </row>
    <row r="54" spans="2:9" s="22" customFormat="1" ht="20.100000000000001" customHeight="1">
      <c r="B54" s="36">
        <f t="shared" si="1"/>
        <v>49</v>
      </c>
      <c r="C54" s="161"/>
      <c r="D54" s="158"/>
      <c r="E54" s="156"/>
      <c r="F54" s="330"/>
      <c r="G54" s="331"/>
      <c r="H54" s="331"/>
      <c r="I54" s="332"/>
    </row>
    <row r="55" spans="2:9" s="22" customFormat="1" ht="20.100000000000001" customHeight="1">
      <c r="B55" s="36">
        <f t="shared" si="1"/>
        <v>50</v>
      </c>
      <c r="C55" s="161"/>
      <c r="D55" s="158"/>
      <c r="E55" s="156"/>
      <c r="F55" s="330"/>
      <c r="G55" s="331"/>
      <c r="H55" s="331"/>
      <c r="I55" s="332"/>
    </row>
    <row r="56" spans="2:9" s="22" customFormat="1" ht="20.100000000000001" customHeight="1">
      <c r="B56" s="36">
        <f t="shared" si="1"/>
        <v>51</v>
      </c>
      <c r="C56" s="161"/>
      <c r="D56" s="158"/>
      <c r="E56" s="156"/>
      <c r="F56" s="330"/>
      <c r="G56" s="331"/>
      <c r="H56" s="331"/>
      <c r="I56" s="332"/>
    </row>
    <row r="57" spans="2:9" s="22" customFormat="1" ht="20.100000000000001" customHeight="1">
      <c r="B57" s="36">
        <f t="shared" si="1"/>
        <v>52</v>
      </c>
      <c r="C57" s="161"/>
      <c r="D57" s="158"/>
      <c r="E57" s="156"/>
      <c r="F57" s="330"/>
      <c r="G57" s="331"/>
      <c r="H57" s="331"/>
      <c r="I57" s="332"/>
    </row>
    <row r="58" spans="2:9" s="22" customFormat="1" ht="20.100000000000001" customHeight="1">
      <c r="B58" s="36">
        <f t="shared" si="1"/>
        <v>53</v>
      </c>
      <c r="C58" s="161"/>
      <c r="D58" s="158"/>
      <c r="E58" s="156"/>
      <c r="F58" s="330"/>
      <c r="G58" s="331"/>
      <c r="H58" s="331"/>
      <c r="I58" s="332"/>
    </row>
    <row r="59" spans="2:9" s="22" customFormat="1" ht="20.100000000000001" customHeight="1">
      <c r="B59" s="36">
        <f t="shared" si="1"/>
        <v>54</v>
      </c>
      <c r="C59" s="161"/>
      <c r="D59" s="158"/>
      <c r="E59" s="156"/>
      <c r="F59" s="330"/>
      <c r="G59" s="331"/>
      <c r="H59" s="331"/>
      <c r="I59" s="332"/>
    </row>
    <row r="60" spans="2:9" s="22" customFormat="1" ht="20.100000000000001" customHeight="1">
      <c r="B60" s="36">
        <f t="shared" si="1"/>
        <v>55</v>
      </c>
      <c r="C60" s="161"/>
      <c r="D60" s="158"/>
      <c r="E60" s="156"/>
      <c r="F60" s="330"/>
      <c r="G60" s="331"/>
      <c r="H60" s="331"/>
      <c r="I60" s="332"/>
    </row>
    <row r="61" spans="2:9" s="22" customFormat="1" ht="20.100000000000001" customHeight="1">
      <c r="B61" s="36">
        <f t="shared" si="1"/>
        <v>56</v>
      </c>
      <c r="C61" s="161"/>
      <c r="D61" s="158"/>
      <c r="E61" s="156"/>
      <c r="F61" s="330"/>
      <c r="G61" s="331"/>
      <c r="H61" s="331"/>
      <c r="I61" s="332"/>
    </row>
    <row r="62" spans="2:9" s="22" customFormat="1" ht="20.100000000000001" customHeight="1">
      <c r="B62" s="36">
        <f t="shared" si="1"/>
        <v>57</v>
      </c>
      <c r="C62" s="161"/>
      <c r="D62" s="158"/>
      <c r="E62" s="156"/>
      <c r="F62" s="330"/>
      <c r="G62" s="331"/>
      <c r="H62" s="331"/>
      <c r="I62" s="332"/>
    </row>
    <row r="63" spans="2:9" s="22" customFormat="1" ht="20.100000000000001" customHeight="1">
      <c r="B63" s="36">
        <f t="shared" si="1"/>
        <v>58</v>
      </c>
      <c r="C63" s="161"/>
      <c r="D63" s="158"/>
      <c r="E63" s="156"/>
      <c r="F63" s="330"/>
      <c r="G63" s="331"/>
      <c r="H63" s="331"/>
      <c r="I63" s="332"/>
    </row>
    <row r="64" spans="2:9" s="22" customFormat="1" ht="20.100000000000001" customHeight="1">
      <c r="B64" s="36">
        <f t="shared" si="1"/>
        <v>59</v>
      </c>
      <c r="C64" s="161"/>
      <c r="D64" s="158"/>
      <c r="E64" s="156"/>
      <c r="F64" s="330"/>
      <c r="G64" s="331"/>
      <c r="H64" s="331"/>
      <c r="I64" s="332"/>
    </row>
    <row r="65" spans="2:9" s="22" customFormat="1" ht="20.100000000000001" customHeight="1">
      <c r="B65" s="36">
        <f t="shared" si="1"/>
        <v>60</v>
      </c>
      <c r="C65" s="161"/>
      <c r="D65" s="158"/>
      <c r="E65" s="156"/>
      <c r="F65" s="330"/>
      <c r="G65" s="331"/>
      <c r="H65" s="331"/>
      <c r="I65" s="332"/>
    </row>
    <row r="66" spans="2:9" s="22" customFormat="1" ht="20.100000000000001" customHeight="1">
      <c r="B66" s="36">
        <f t="shared" si="1"/>
        <v>61</v>
      </c>
      <c r="C66" s="161"/>
      <c r="D66" s="158"/>
      <c r="E66" s="156"/>
      <c r="F66" s="330"/>
      <c r="G66" s="331"/>
      <c r="H66" s="331"/>
      <c r="I66" s="332"/>
    </row>
    <row r="67" spans="2:9" s="22" customFormat="1" ht="20.100000000000001" customHeight="1">
      <c r="B67" s="36">
        <f t="shared" si="1"/>
        <v>62</v>
      </c>
      <c r="C67" s="161"/>
      <c r="D67" s="158"/>
      <c r="E67" s="156"/>
      <c r="F67" s="330"/>
      <c r="G67" s="331"/>
      <c r="H67" s="331"/>
      <c r="I67" s="332"/>
    </row>
    <row r="68" spans="2:9" s="22" customFormat="1" ht="20.100000000000001" customHeight="1">
      <c r="B68" s="36">
        <f t="shared" si="1"/>
        <v>63</v>
      </c>
      <c r="C68" s="161"/>
      <c r="D68" s="158"/>
      <c r="E68" s="156"/>
      <c r="F68" s="330"/>
      <c r="G68" s="331"/>
      <c r="H68" s="331"/>
      <c r="I68" s="332"/>
    </row>
    <row r="69" spans="2:9" s="22" customFormat="1" ht="20.100000000000001" customHeight="1">
      <c r="B69" s="36">
        <f t="shared" si="1"/>
        <v>64</v>
      </c>
      <c r="C69" s="161"/>
      <c r="D69" s="158"/>
      <c r="E69" s="156"/>
      <c r="F69" s="330"/>
      <c r="G69" s="331"/>
      <c r="H69" s="331"/>
      <c r="I69" s="332"/>
    </row>
    <row r="70" spans="2:9" s="22" customFormat="1" ht="20.100000000000001" customHeight="1">
      <c r="B70" s="36">
        <f t="shared" si="1"/>
        <v>65</v>
      </c>
      <c r="C70" s="161"/>
      <c r="D70" s="158"/>
      <c r="E70" s="156"/>
      <c r="F70" s="330"/>
      <c r="G70" s="331"/>
      <c r="H70" s="331"/>
      <c r="I70" s="332"/>
    </row>
    <row r="71" spans="2:9" s="22" customFormat="1" ht="20.100000000000001" customHeight="1">
      <c r="B71" s="36">
        <f t="shared" si="1"/>
        <v>66</v>
      </c>
      <c r="C71" s="161"/>
      <c r="D71" s="158"/>
      <c r="E71" s="156"/>
      <c r="F71" s="330"/>
      <c r="G71" s="331"/>
      <c r="H71" s="331"/>
      <c r="I71" s="332"/>
    </row>
    <row r="72" spans="2:9" s="22" customFormat="1" ht="20.100000000000001" customHeight="1">
      <c r="B72" s="36">
        <f t="shared" si="1"/>
        <v>67</v>
      </c>
      <c r="C72" s="161"/>
      <c r="D72" s="158"/>
      <c r="E72" s="156"/>
      <c r="F72" s="330"/>
      <c r="G72" s="331"/>
      <c r="H72" s="331"/>
      <c r="I72" s="332"/>
    </row>
    <row r="73" spans="2:9" s="22" customFormat="1" ht="20.100000000000001" customHeight="1">
      <c r="B73" s="36">
        <f t="shared" si="1"/>
        <v>68</v>
      </c>
      <c r="C73" s="161"/>
      <c r="D73" s="158"/>
      <c r="E73" s="156"/>
      <c r="F73" s="330"/>
      <c r="G73" s="331"/>
      <c r="H73" s="331"/>
      <c r="I73" s="332"/>
    </row>
    <row r="74" spans="2:9" s="22" customFormat="1" ht="20.100000000000001" customHeight="1">
      <c r="B74" s="36">
        <f t="shared" ref="B74:B79" si="2">ROW()-5</f>
        <v>69</v>
      </c>
      <c r="C74" s="161"/>
      <c r="D74" s="158"/>
      <c r="E74" s="156"/>
      <c r="F74" s="330"/>
      <c r="G74" s="331"/>
      <c r="H74" s="331"/>
      <c r="I74" s="332"/>
    </row>
    <row r="75" spans="2:9" s="22" customFormat="1" ht="20.100000000000001" customHeight="1">
      <c r="B75" s="36">
        <f t="shared" si="2"/>
        <v>70</v>
      </c>
      <c r="C75" s="161"/>
      <c r="D75" s="158"/>
      <c r="E75" s="156"/>
      <c r="F75" s="330"/>
      <c r="G75" s="331"/>
      <c r="H75" s="331"/>
      <c r="I75" s="332"/>
    </row>
    <row r="76" spans="2:9" s="22" customFormat="1" ht="20.100000000000001" customHeight="1">
      <c r="B76" s="36">
        <f t="shared" si="2"/>
        <v>71</v>
      </c>
      <c r="C76" s="161"/>
      <c r="D76" s="158"/>
      <c r="E76" s="156"/>
      <c r="F76" s="330"/>
      <c r="G76" s="331"/>
      <c r="H76" s="331"/>
      <c r="I76" s="332"/>
    </row>
    <row r="77" spans="2:9" s="22" customFormat="1" ht="20.100000000000001" customHeight="1">
      <c r="B77" s="36">
        <f t="shared" si="2"/>
        <v>72</v>
      </c>
      <c r="C77" s="161"/>
      <c r="D77" s="158"/>
      <c r="E77" s="156"/>
      <c r="F77" s="330"/>
      <c r="G77" s="331"/>
      <c r="H77" s="331"/>
      <c r="I77" s="332"/>
    </row>
    <row r="78" spans="2:9" s="22" customFormat="1" ht="20.100000000000001" customHeight="1">
      <c r="B78" s="36">
        <f t="shared" si="2"/>
        <v>73</v>
      </c>
      <c r="C78" s="161"/>
      <c r="D78" s="158"/>
      <c r="E78" s="156"/>
      <c r="F78" s="330"/>
      <c r="G78" s="331"/>
      <c r="H78" s="331"/>
      <c r="I78" s="332"/>
    </row>
    <row r="79" spans="2:9" s="22" customFormat="1" ht="20.100000000000001" customHeight="1">
      <c r="B79" s="36">
        <f t="shared" si="2"/>
        <v>74</v>
      </c>
      <c r="C79" s="161"/>
      <c r="D79" s="158"/>
      <c r="E79" s="156"/>
      <c r="F79" s="330"/>
      <c r="G79" s="331"/>
      <c r="H79" s="331"/>
      <c r="I79" s="332"/>
    </row>
    <row r="80" spans="2:9" s="22" customFormat="1" ht="20.100000000000001" customHeight="1">
      <c r="B80" s="36">
        <f t="shared" ref="B80:B104" si="3">ROW()-5</f>
        <v>75</v>
      </c>
      <c r="C80" s="161"/>
      <c r="D80" s="158"/>
      <c r="E80" s="156"/>
      <c r="F80" s="330"/>
      <c r="G80" s="331"/>
      <c r="H80" s="331"/>
      <c r="I80" s="332"/>
    </row>
    <row r="81" spans="2:9" s="22" customFormat="1" ht="20.100000000000001" customHeight="1">
      <c r="B81" s="36">
        <f t="shared" si="3"/>
        <v>76</v>
      </c>
      <c r="C81" s="161"/>
      <c r="D81" s="158"/>
      <c r="E81" s="156"/>
      <c r="F81" s="330"/>
      <c r="G81" s="331"/>
      <c r="H81" s="331"/>
      <c r="I81" s="332"/>
    </row>
    <row r="82" spans="2:9" s="22" customFormat="1" ht="20.100000000000001" customHeight="1">
      <c r="B82" s="36">
        <f t="shared" si="3"/>
        <v>77</v>
      </c>
      <c r="C82" s="161"/>
      <c r="D82" s="158"/>
      <c r="E82" s="156"/>
      <c r="F82" s="330"/>
      <c r="G82" s="331"/>
      <c r="H82" s="331"/>
      <c r="I82" s="332"/>
    </row>
    <row r="83" spans="2:9" s="22" customFormat="1" ht="20.100000000000001" customHeight="1">
      <c r="B83" s="36">
        <f t="shared" si="3"/>
        <v>78</v>
      </c>
      <c r="C83" s="161"/>
      <c r="D83" s="158"/>
      <c r="E83" s="156"/>
      <c r="F83" s="330"/>
      <c r="G83" s="331"/>
      <c r="H83" s="331"/>
      <c r="I83" s="332"/>
    </row>
    <row r="84" spans="2:9" s="22" customFormat="1" ht="20.100000000000001" customHeight="1">
      <c r="B84" s="36">
        <f t="shared" si="3"/>
        <v>79</v>
      </c>
      <c r="C84" s="161"/>
      <c r="D84" s="158"/>
      <c r="E84" s="156"/>
      <c r="F84" s="330"/>
      <c r="G84" s="331"/>
      <c r="H84" s="331"/>
      <c r="I84" s="332"/>
    </row>
    <row r="85" spans="2:9" s="22" customFormat="1" ht="20.100000000000001" customHeight="1">
      <c r="B85" s="36">
        <f t="shared" si="3"/>
        <v>80</v>
      </c>
      <c r="C85" s="161"/>
      <c r="D85" s="158"/>
      <c r="E85" s="156"/>
      <c r="F85" s="330"/>
      <c r="G85" s="331"/>
      <c r="H85" s="331"/>
      <c r="I85" s="332"/>
    </row>
    <row r="86" spans="2:9" s="22" customFormat="1" ht="20.100000000000001" customHeight="1">
      <c r="B86" s="36">
        <f t="shared" si="3"/>
        <v>81</v>
      </c>
      <c r="C86" s="161"/>
      <c r="D86" s="158"/>
      <c r="E86" s="156"/>
      <c r="F86" s="330"/>
      <c r="G86" s="331"/>
      <c r="H86" s="331"/>
      <c r="I86" s="332"/>
    </row>
    <row r="87" spans="2:9" s="22" customFormat="1" ht="20.100000000000001" customHeight="1">
      <c r="B87" s="36">
        <f t="shared" si="3"/>
        <v>82</v>
      </c>
      <c r="C87" s="161"/>
      <c r="D87" s="158"/>
      <c r="E87" s="156"/>
      <c r="F87" s="330"/>
      <c r="G87" s="331"/>
      <c r="H87" s="331"/>
      <c r="I87" s="332"/>
    </row>
    <row r="88" spans="2:9" s="22" customFormat="1" ht="20.100000000000001" customHeight="1">
      <c r="B88" s="36">
        <f t="shared" si="3"/>
        <v>83</v>
      </c>
      <c r="C88" s="161"/>
      <c r="D88" s="158"/>
      <c r="E88" s="156"/>
      <c r="F88" s="330"/>
      <c r="G88" s="331"/>
      <c r="H88" s="331"/>
      <c r="I88" s="332"/>
    </row>
    <row r="89" spans="2:9" s="22" customFormat="1" ht="20.100000000000001" customHeight="1">
      <c r="B89" s="36">
        <f t="shared" si="3"/>
        <v>84</v>
      </c>
      <c r="C89" s="161"/>
      <c r="D89" s="158"/>
      <c r="E89" s="156"/>
      <c r="F89" s="330"/>
      <c r="G89" s="331"/>
      <c r="H89" s="331"/>
      <c r="I89" s="332"/>
    </row>
    <row r="90" spans="2:9" s="22" customFormat="1" ht="20.100000000000001" customHeight="1">
      <c r="B90" s="36">
        <f t="shared" si="3"/>
        <v>85</v>
      </c>
      <c r="C90" s="161"/>
      <c r="D90" s="158"/>
      <c r="E90" s="156"/>
      <c r="F90" s="330"/>
      <c r="G90" s="331"/>
      <c r="H90" s="331"/>
      <c r="I90" s="332"/>
    </row>
    <row r="91" spans="2:9" s="22" customFormat="1" ht="20.100000000000001" customHeight="1">
      <c r="B91" s="36">
        <f t="shared" si="3"/>
        <v>86</v>
      </c>
      <c r="C91" s="161"/>
      <c r="D91" s="158"/>
      <c r="E91" s="156"/>
      <c r="F91" s="330"/>
      <c r="G91" s="331"/>
      <c r="H91" s="331"/>
      <c r="I91" s="332"/>
    </row>
    <row r="92" spans="2:9" s="22" customFormat="1" ht="20.100000000000001" customHeight="1">
      <c r="B92" s="36">
        <f t="shared" si="3"/>
        <v>87</v>
      </c>
      <c r="C92" s="161"/>
      <c r="D92" s="158"/>
      <c r="E92" s="156"/>
      <c r="F92" s="330"/>
      <c r="G92" s="331"/>
      <c r="H92" s="331"/>
      <c r="I92" s="332"/>
    </row>
    <row r="93" spans="2:9" s="22" customFormat="1" ht="20.100000000000001" customHeight="1">
      <c r="B93" s="36">
        <f t="shared" si="3"/>
        <v>88</v>
      </c>
      <c r="C93" s="161"/>
      <c r="D93" s="158"/>
      <c r="E93" s="156"/>
      <c r="F93" s="330"/>
      <c r="G93" s="331"/>
      <c r="H93" s="331"/>
      <c r="I93" s="332"/>
    </row>
    <row r="94" spans="2:9" s="22" customFormat="1" ht="20.100000000000001" customHeight="1">
      <c r="B94" s="36">
        <f t="shared" si="3"/>
        <v>89</v>
      </c>
      <c r="C94" s="161"/>
      <c r="D94" s="158"/>
      <c r="E94" s="156"/>
      <c r="F94" s="330"/>
      <c r="G94" s="331"/>
      <c r="H94" s="331"/>
      <c r="I94" s="332"/>
    </row>
    <row r="95" spans="2:9" s="22" customFormat="1" ht="20.100000000000001" customHeight="1">
      <c r="B95" s="36">
        <f t="shared" si="3"/>
        <v>90</v>
      </c>
      <c r="C95" s="161"/>
      <c r="D95" s="158"/>
      <c r="E95" s="156"/>
      <c r="F95" s="330"/>
      <c r="G95" s="331"/>
      <c r="H95" s="331"/>
      <c r="I95" s="332"/>
    </row>
    <row r="96" spans="2:9" s="22" customFormat="1" ht="20.100000000000001" customHeight="1">
      <c r="B96" s="36">
        <f t="shared" si="3"/>
        <v>91</v>
      </c>
      <c r="C96" s="161"/>
      <c r="D96" s="158"/>
      <c r="E96" s="156"/>
      <c r="F96" s="330"/>
      <c r="G96" s="331"/>
      <c r="H96" s="331"/>
      <c r="I96" s="332"/>
    </row>
    <row r="97" spans="2:9" s="22" customFormat="1" ht="20.100000000000001" customHeight="1">
      <c r="B97" s="36">
        <f t="shared" si="3"/>
        <v>92</v>
      </c>
      <c r="C97" s="161"/>
      <c r="D97" s="158"/>
      <c r="E97" s="156"/>
      <c r="F97" s="330"/>
      <c r="G97" s="331"/>
      <c r="H97" s="331"/>
      <c r="I97" s="332"/>
    </row>
    <row r="98" spans="2:9" s="22" customFormat="1" ht="20.100000000000001" customHeight="1">
      <c r="B98" s="36">
        <f t="shared" si="3"/>
        <v>93</v>
      </c>
      <c r="C98" s="161"/>
      <c r="D98" s="158"/>
      <c r="E98" s="156"/>
      <c r="F98" s="330"/>
      <c r="G98" s="331"/>
      <c r="H98" s="331"/>
      <c r="I98" s="332"/>
    </row>
    <row r="99" spans="2:9" s="22" customFormat="1" ht="20.100000000000001" customHeight="1">
      <c r="B99" s="36">
        <f t="shared" si="3"/>
        <v>94</v>
      </c>
      <c r="C99" s="161"/>
      <c r="D99" s="158"/>
      <c r="E99" s="156"/>
      <c r="F99" s="330"/>
      <c r="G99" s="331"/>
      <c r="H99" s="331"/>
      <c r="I99" s="332"/>
    </row>
    <row r="100" spans="2:9" s="22" customFormat="1" ht="20.100000000000001" customHeight="1">
      <c r="B100" s="36">
        <f t="shared" si="3"/>
        <v>95</v>
      </c>
      <c r="C100" s="161"/>
      <c r="D100" s="158"/>
      <c r="E100" s="156"/>
      <c r="F100" s="330"/>
      <c r="G100" s="331"/>
      <c r="H100" s="331"/>
      <c r="I100" s="332"/>
    </row>
    <row r="101" spans="2:9" s="22" customFormat="1" ht="20.100000000000001" customHeight="1">
      <c r="B101" s="36">
        <f t="shared" si="3"/>
        <v>96</v>
      </c>
      <c r="C101" s="161"/>
      <c r="D101" s="158"/>
      <c r="E101" s="156"/>
      <c r="F101" s="330"/>
      <c r="G101" s="331"/>
      <c r="H101" s="331"/>
      <c r="I101" s="332"/>
    </row>
    <row r="102" spans="2:9" s="22" customFormat="1" ht="20.100000000000001" customHeight="1">
      <c r="B102" s="36">
        <f t="shared" si="3"/>
        <v>97</v>
      </c>
      <c r="C102" s="161"/>
      <c r="D102" s="158"/>
      <c r="E102" s="156"/>
      <c r="F102" s="330"/>
      <c r="G102" s="331"/>
      <c r="H102" s="331"/>
      <c r="I102" s="332"/>
    </row>
    <row r="103" spans="2:9" s="22" customFormat="1" ht="20.100000000000001" customHeight="1">
      <c r="B103" s="36">
        <f t="shared" si="3"/>
        <v>98</v>
      </c>
      <c r="C103" s="161"/>
      <c r="D103" s="158"/>
      <c r="E103" s="156"/>
      <c r="F103" s="330"/>
      <c r="G103" s="331"/>
      <c r="H103" s="331"/>
      <c r="I103" s="332"/>
    </row>
    <row r="104" spans="2:9" s="22" customFormat="1" ht="20.100000000000001" customHeight="1">
      <c r="B104" s="36">
        <f t="shared" si="3"/>
        <v>99</v>
      </c>
      <c r="C104" s="161"/>
      <c r="D104" s="158"/>
      <c r="E104" s="156"/>
      <c r="F104" s="330"/>
      <c r="G104" s="331"/>
      <c r="H104" s="331"/>
      <c r="I104" s="332"/>
    </row>
    <row r="105" spans="2:9" s="22" customFormat="1" ht="20.100000000000001" customHeight="1" thickBot="1">
      <c r="B105" s="40">
        <f>ROW()-5</f>
        <v>100</v>
      </c>
      <c r="C105" s="163"/>
      <c r="D105" s="160"/>
      <c r="E105" s="159"/>
      <c r="F105" s="343"/>
      <c r="G105" s="344"/>
      <c r="H105" s="344"/>
      <c r="I105" s="345"/>
    </row>
  </sheetData>
  <sheetProtection formatCells="0" formatColumns="0" formatRows="0" insertHyperlinks="0"/>
  <customSheetViews>
    <customSheetView guid="{11FF3D1A-B611-4935-A0EC-72FFAD7F9EAF}" scale="80" showGridLines="0" hiddenColumns="1">
      <pane ySplit="5" topLeftCell="A6" activePane="bottomLeft" state="frozen"/>
      <selection pane="bottomLeft" activeCell="E12" sqref="E12:G12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1"/>
      <headerFooter alignWithMargins="0"/>
    </customSheetView>
    <customSheetView guid="{1D8BE6F4-405A-4FC6-B1E3-D9618F9FD7A8}" scale="80" showGridLines="0" hiddenColumns="1">
      <pane ySplit="5" topLeftCell="A30" activePane="bottomLeft" state="frozen"/>
      <selection pane="bottomLeft" activeCell="V45" sqref="V45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2"/>
      <headerFooter alignWithMargins="0"/>
    </customSheetView>
    <customSheetView guid="{898DF6CC-64C7-4F2D-A13E-0A476B60DF75}" scale="80" showGridLines="0" hiddenColumns="1">
      <pane ySplit="5" topLeftCell="A6" activePane="bottomLeft" state="frozen"/>
      <selection pane="bottomLeft" activeCell="A6" sqref="A6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3"/>
      <headerFooter alignWithMargins="0"/>
    </customSheetView>
    <customSheetView guid="{809E84AF-EE5E-4456-99E6-0390B35F6AD9}" scale="80" showPageBreaks="1" showGridLines="0" fitToPage="1" printArea="1" hiddenColumns="1">
      <pane ySplit="5" topLeftCell="A6" activePane="bottomLeft" state="frozen"/>
      <selection pane="bottomLeft" activeCell="P33" sqref="P33:U33"/>
      <pageMargins left="0.39370078740157477" right="0.39370078740157477" top="0.59055118110236215" bottom="0.59055118110236215" header="0.31496062992125989" footer="0.51181102362204722"/>
      <printOptions horizontalCentered="1"/>
      <pageSetup paperSize="9" scale="72" fitToHeight="0" orientation="landscape" r:id="rId4"/>
      <headerFooter alignWithMargins="0">
        <oddFooter>&amp;R&amp;"Arial,標準"&amp;8Sharp Business Solutions Corporation&amp;C&amp;P / &amp;N</oddFooter>
      </headerFooter>
    </customSheetView>
  </customSheetViews>
  <mergeCells count="102">
    <mergeCell ref="F75:I75"/>
    <mergeCell ref="F76:I76"/>
    <mergeCell ref="F62:I62"/>
    <mergeCell ref="F63:I63"/>
    <mergeCell ref="F64:I64"/>
    <mergeCell ref="F65:I65"/>
    <mergeCell ref="F66:I66"/>
    <mergeCell ref="F67:I67"/>
    <mergeCell ref="F68:I68"/>
    <mergeCell ref="F69:I69"/>
    <mergeCell ref="F70:I70"/>
    <mergeCell ref="F47:I47"/>
    <mergeCell ref="F48:I48"/>
    <mergeCell ref="F49:I49"/>
    <mergeCell ref="F50:I50"/>
    <mergeCell ref="F51:I51"/>
    <mergeCell ref="F71:I71"/>
    <mergeCell ref="F72:I72"/>
    <mergeCell ref="F73:I73"/>
    <mergeCell ref="F74:I74"/>
    <mergeCell ref="F52:I52"/>
    <mergeCell ref="F53:I53"/>
    <mergeCell ref="F54:I54"/>
    <mergeCell ref="F55:I55"/>
    <mergeCell ref="F56:I56"/>
    <mergeCell ref="F57:I57"/>
    <mergeCell ref="F61:I61"/>
    <mergeCell ref="F58:I58"/>
    <mergeCell ref="F59:I59"/>
    <mergeCell ref="F60:I60"/>
    <mergeCell ref="F84:I84"/>
    <mergeCell ref="F85:I85"/>
    <mergeCell ref="F86:I86"/>
    <mergeCell ref="F87:I87"/>
    <mergeCell ref="F88:I88"/>
    <mergeCell ref="F89:I89"/>
    <mergeCell ref="F90:I90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45:I45"/>
    <mergeCell ref="F46:I46"/>
    <mergeCell ref="F21:I21"/>
    <mergeCell ref="F22:I22"/>
    <mergeCell ref="F23:I23"/>
    <mergeCell ref="F13:I13"/>
    <mergeCell ref="F11:I11"/>
    <mergeCell ref="F12:I12"/>
    <mergeCell ref="F8:I8"/>
    <mergeCell ref="F9:I9"/>
    <mergeCell ref="F105:I105"/>
    <mergeCell ref="F104:I104"/>
    <mergeCell ref="F99:I99"/>
    <mergeCell ref="F92:I92"/>
    <mergeCell ref="F93:I93"/>
    <mergeCell ref="F94:I94"/>
    <mergeCell ref="F95:I95"/>
    <mergeCell ref="F96:I96"/>
    <mergeCell ref="F97:I97"/>
    <mergeCell ref="F77:I77"/>
    <mergeCell ref="F78:I78"/>
    <mergeCell ref="F79:I79"/>
    <mergeCell ref="F80:I80"/>
    <mergeCell ref="F81:I81"/>
    <mergeCell ref="F82:I82"/>
    <mergeCell ref="F83:I83"/>
    <mergeCell ref="B2:C3"/>
    <mergeCell ref="F5:I5"/>
    <mergeCell ref="F6:I6"/>
    <mergeCell ref="F7:I7"/>
    <mergeCell ref="F10:I10"/>
    <mergeCell ref="F14:I14"/>
    <mergeCell ref="F103:I103"/>
    <mergeCell ref="F101:I101"/>
    <mergeCell ref="F100:I100"/>
    <mergeCell ref="F28:I28"/>
    <mergeCell ref="F29:I29"/>
    <mergeCell ref="F91:I91"/>
    <mergeCell ref="F24:I24"/>
    <mergeCell ref="F25:I25"/>
    <mergeCell ref="F26:I26"/>
    <mergeCell ref="F27:I27"/>
    <mergeCell ref="F98:I98"/>
    <mergeCell ref="F102:I102"/>
    <mergeCell ref="F15:I15"/>
    <mergeCell ref="F16:I16"/>
    <mergeCell ref="F17:I17"/>
    <mergeCell ref="F18:I18"/>
    <mergeCell ref="F19:I19"/>
    <mergeCell ref="F20:I20"/>
  </mergeCells>
  <phoneticPr fontId="4"/>
  <dataValidations count="1">
    <dataValidation imeMode="off" allowBlank="1" showInputMessage="1" showErrorMessage="1" sqref="E6:E104"/>
  </dataValidations>
  <hyperlinks>
    <hyperlink ref="D6" location="si_joblist1!A9" display="si_joblist1!A9"/>
    <hyperlink ref="E6" location="si_joblist1!A9" display="si_joblist1!A9"/>
    <hyperlink ref="D7" location="si_joblist2!A9" display="si_joblist2!A9"/>
    <hyperlink ref="E7" location="si_joblist2!A9" display="si_joblist2!A9"/>
    <hyperlink ref="D8" location="si_joblist3!A9" display="si_joblist3!A9"/>
    <hyperlink ref="E8" location="si_joblist3!A9" display="si_joblist3!A9"/>
    <hyperlink ref="D9" location="si_joblist4!A9" display="si_joblist4!A9"/>
    <hyperlink ref="E9" location="si_joblist4!A9" display="si_joblist4!A9"/>
    <hyperlink ref="D10" location="si_joblist5!A9" display="si_joblist5!A9"/>
    <hyperlink ref="E10" location="si_joblist5!A9" display="si_joblist5!A9"/>
    <hyperlink ref="D11" location="si_joblist6!A9" display="si_joblist6!A9"/>
    <hyperlink ref="E11" location="si_joblist6!A9" display="si_joblist6!A9"/>
    <hyperlink ref="D12" location="si_joblist7!A9" display="si_joblist7!A9"/>
    <hyperlink ref="E12" location="si_joblist7!A9" display="si_joblist7!A9"/>
    <hyperlink ref="D13" location="test!A9" display="test!A9"/>
    <hyperlink ref="E13" location="test!A9" display="test!A9"/>
  </hyperlinks>
  <printOptions horizontalCentered="1"/>
  <pageMargins left="0.39370078740157477" right="0.39370078740157477" top="0.59055118110236215" bottom="0.59055118110236215" header="0.31496062992125989" footer="0.27559055118110232"/>
  <pageSetup paperSize="9" scale="62" fitToHeight="0" orientation="landscape" r:id="rId5"/>
  <headerFooter alignWithMargins="0">
    <oddFooter>&amp;R&amp;"Arial,標準"&amp;8Sharp Business Solutions Corporation&amp;C&amp;P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"/>
  <sheetViews>
    <sheetView showGridLines="0" tabSelected="1" zoomScaleNormal="100" zoomScaleSheetLayoutView="115" workbookViewId="0"/>
  </sheetViews>
  <sheetFormatPr defaultColWidth="3" defaultRowHeight="24.75" customHeight="1"/>
  <cols>
    <col min="1" max="16384" width="3" style="18"/>
  </cols>
  <sheetData/>
  <phoneticPr fontId="13"/>
  <printOptions horizontalCentered="1" verticalCentered="1"/>
  <pageMargins left="0.19685039370078741" right="0.19685039370078741" top="0.23622047244094491" bottom="0.31496062992125984" header="0.11811023622047245" footer="0.11811023622047245"/>
  <pageSetup paperSize="9" scale="70" fitToHeight="0" orientation="landscape" useFirstPageNumber="1" r:id="rId1"/>
  <headerFooter alignWithMargins="0">
    <oddFooter>&amp;C- &amp;P -</oddFooter>
  </headerFooter>
</worksheet>
</file>

<file path=customUI/_rels/customUI14.xml.rels><?xml version="1.0" encoding="UTF-8" standalone="yes"?>
<Relationships xmlns="http://schemas.openxmlformats.org/package/2006/relationships"><Relationship Id="Line01_N" Type="http://schemas.openxmlformats.org/officeDocument/2006/relationships/image" Target="images/Line01_N.png"/></Relationships>
</file>

<file path=customUI/customUI14.xml><?xml version="1.0" encoding="utf-8"?>
<customUI xmlns="http://schemas.microsoft.com/office/2009/07/customui" onLoad="Ctl_Ribbon.onLoad">
  <ribbon startFromScratch="false">
    <tabs>
      <tab id="DBTab" label="DB設計書" insertBeforeMso="TabHome">
        <group id="設定" label="設定">
          <button id="Option" label="Option" imageMso="CurrentViewSettings" screentip="オプション設定" supertip="オプション画面を表示します &#13;" onAction="Ctl_Ribbon.showOption"/>
          <button id="データ削除" label="データ削除" imageMso="ClearAll" screentip="データ削除" supertip="オプション画面を表示します &#13;" onAction="Ctl_Ribbon.ClearAll"/>
          <dynamicMenu id="SheetList" label="シート一覧" imageMso="HeaderFooterSheetNameInsert" size="normal" getContent="Ctl_Ribbon.getSheetsList"/>
        </group>
        <group id="共通" label="共通">
          <button id="シート追加" label="シート追加" imageMso="SheetInsert" screentip="シート追加" supertip="オプション画面を表示します &#13;" onAction="Ctl_Ribbon.addSheet"/>
          <button id="TBLリスト生成" label="TBLリスト生成" imageMso="CurrentViewSettings" screentip="TBLリスト生成" supertip="オプション画面を表示します &#13;" onAction="Ctl_Ribbon.makeTblList"/>
          <button id="ER図生成" label="ER図生成" imageMso="CurrentViewSettings" screentip="ER図生成" supertip="オプション画面を表示します &#13;" onAction="Ctl_Ribbon.makeERImage"/>
          <button id="ERLine1" label="1対1" imageMso="CurrentViewSettings" screentip="ER図生成" supertip="コネクターを作成します &#13;" onAction="Ctl_Ribbon.makeER_ConnectLine"/>
          <button id="ERLine2" label="1対多" imageMso="CurrentViewSettings" screentip="ER図生成" supertip="コネクターを作成します &#13;" onAction="Ctl_Ribbon.makeER_ConnectLine"/>
          <button id="ERLine3" label="1対0以上" imageMso="CurrentViewSettings" screentip="ER図生成" supertip="コネクターを作成します &#13;" onAction="Ctl_Ribbon.makeER_ConnectLine"/>
          <button id="ERLine4" label="1対1以上" imageMso="CurrentViewSettings" screentip="ER図生成" supertip="コネクターを作成します &#13;" onAction="Ctl_Ribbon.makeER_ConnectLine"/>
          <button id="ERLine5" label="多対多" imageMso="CurrentViewSettings" screentip="ER図生成" supertip="コネクターを作成します &#13;" onAction="Ctl_Ribbon.makeER_ConnectLine"/>
          <button id="ERLine6" label="0または１対多" image="Line01_N" screentip="ER図生成" supertip="コネクターを作成します &#13;" onAction="Ctl_Ribbon.makeER_ConnectLine"/>
        </group>
        <group id="DB操作" label="DB操作">
          <button id="一括取得" label="一括取得" imageMso="DatabaseModelingReverse" onAction="Ctl_Ribbon.getDatabaseInfo" supertip="一括取得 &#13;"/>
          <button id="テーブル情報取得" label="情報取得" imageMso="DatabaseModelingReverse" onAction="Ctl_Ribbon.getTableInfo" supertip="テーブル情報取得 &#13;"/>
          <button id="テーブル情報反映" label="情報反映" imageMso="DatabaseSqlServer" onAction="Ctl_Ribbon.CreateTableInfo" supertip="テーブル情報反映 &#13;"/>
          <menu id="M_DDL生成" label="DDL生成&#13;&#10;" size="large" itemSize="large" imageMso="SqlSpecificMenu2">
            <menuSeparator id="MS_DDL生成" title="DDL生成"/>
            <button id="全DDL生成" label="全DDL生成" imageMso="SqlSpecificMenu2" onAction="Ctl_Ribbon.makeAllDDL" description="スタイルを削除します &#13;"/>
            <button id="DDL生成" label="DDL生成" imageMso="SqlSpecificMenu2" onAction="Ctl_Ribbon.makeDDL" description="名前定義を削除します &#13;"/>
          </menu>
        </group>
        <group id="Group2" label="標準機能">
          <control idMso="PasteValues" visible="true" label="値貼付"/>
          <!--値の貼り付け-->
          <control idMso="WindowNew" visible="true" label="新ウインドウ"/>
          <!--新しいウインドウ-->
          <menu id="M_AppointmentColorDialog" label="スタイル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menu id="m_GroupInsertText" label="テキスト" imageMso="TextBoxInsert">
            <control idMso="TextBoxInsertHorizontal" visible="true"/>
            <!--セルのスタイル-->
            <control idMso="TextBoxInsertVertical" visible="true"/>
            <!--テーブルのスタイル-->
          </menu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MergeCenter" imageMso="MergeCenter" label="中央揃え" onAction="Ladex.xlam!Ctl_Ribbon.setCenter"/>
          <menu id="MyMenu" label="メニュー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  <control idMso="ObjectAlignMenu" visible="true" label="配置"/>
          <control idMso="ObjectRotateGallery" visible="true" label="回転"/>
        </group>
        <group idMso="GroupFont" visible="true"/>
        <!--フォント-->
        <!--<group idMso="GroupAlignmentExcel"             visible="true"/>                               配置-->
        <group id="Group_GroupAlignmentExcel" label="配置">
          <box id="bAlignment01" boxStyle="horizontal">
            <control idMso="IndentDecreaseExcel" showLabel="false" visible="true"/>
            <control idMso="IndentIncreaseExcel" showLabel="false" visible="true"/>
            <control idMso="OrientationMenu" showLabel="false" visible="true"/>
          </box>
          <box id="bAlignment02" boxStyle="horizontal">
            <control idMso="AlignTopExcel" showLabel="false" visible="true"/>
            <control idMso="AlignMiddleExcel" showLabel="false" visible="true"/>
            <control idMso="AlignBottomExcel" showLabel="false" visible="true"/>
          </box>
          <box id="bAlignment03" boxStyle="horizontal">
            <control idMso="AlignLeft" showLabel="false" visible="true"/>
            <control idMso="AlignCenter" showLabel="false" visible="true"/>
            <control idMso="AlignRight" showLabel="false" visible="true"/>
          </box>
          <separator id="sbAlignment01"/>
          <box id="bAlignment04" boxStyle="vertical">
            <control idMso="WrapText" label="折り返し" visible="true"/>
            <menu id="M_MergeCenter" label="セルの結合" imageMso="MergeCenter">
              <control idMso="MergeCenter" showLabel="true" visible="true"/>
              <control idMso="MergeCells" showLabel="true" visible="true"/>
              <control idMso="UnmergeCells" showLabel="true" visible="true"/>
            </menu>
            <control idMso="ConditionalFormattingMenu" label="条件書式" visible="true"/>
          </box>
        </group>
        <group id="Group_GroupSortFilter" label="並べ替えとフィルタ">
          <box id="bSortFilter01" boxStyle="vertical">
            <control idMso="SortAscendingExcel" visible="true"/>
            <control idMso="SortDescendingExcel" visible="true"/>
            <control idMso="SortDialog" showLabel="false" visible="true"/>
          </box>
          <box id="bSortFilter02" boxStyle="vertical">
            <control idMso="SortClear" showLabel="false" visible="true"/>
            <control idMso="RemoveDuplicates" showLabel="false" visible="true"/>
          </box>
          <control idMso="Filter" size="large" showLabel="false" visible="true"/>
        </group>
        <!-- <group idMso="GroupOutline" visible="true"/>                               アウトライン -->
        <group id="Group_GroupOutline" label="アウトライン">
          <control idMso="OutlineGroupMenu" size="normal" visible="true"/>
          <control idMso="OutlineUngroupMenu" size="normal" visible="true"/>
          <control idMso="OutlineSubtotals" size="normal" visible="true"/>
          <control idMso="OutlineShowDetail" size="normal" visible="true"/>
          <control idMso="OutlineHideDetail" size="normal" visible="true"/>
          <control idMso="OutlineSettings" size="normal" visible="true"/>
        </group>
      </tab>
    </tabs>
  </ribbon>
  <backstage>
    <tab id="tab1" label="DB設計" visible="true">
      <firstColumn>
        <group id="grp1" label="更新情報" visible="true">
          <topItems>
            <labelControl id="v1000" label="Ver.1.00.00　新規作成"/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9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64</vt:i4>
      </vt:variant>
    </vt:vector>
  </HeadingPairs>
  <TitlesOfParts>
    <vt:vector size="75" baseType="lpstr">
      <vt:lpstr>設定-MySQL</vt:lpstr>
      <vt:lpstr>設定-ACC</vt:lpstr>
      <vt:lpstr>Notice</vt:lpstr>
      <vt:lpstr>DataType</vt:lpstr>
      <vt:lpstr>CopyLine</vt:lpstr>
      <vt:lpstr>CopySheet</vt:lpstr>
      <vt:lpstr>Tmp</vt:lpstr>
      <vt:lpstr>表紙</vt:lpstr>
      <vt:lpstr>変更履歴</vt:lpstr>
      <vt:lpstr>TBLリスト</vt:lpstr>
      <vt:lpstr>ER図</vt:lpstr>
      <vt:lpstr>■VBA用の設定</vt:lpstr>
      <vt:lpstr>Cell_colMaxLen</vt:lpstr>
      <vt:lpstr>Cell_CreateAt</vt:lpstr>
      <vt:lpstr>Cell_CreateBy</vt:lpstr>
      <vt:lpstr>Cell_dateType</vt:lpstr>
      <vt:lpstr>Cell_Default</vt:lpstr>
      <vt:lpstr>Cell_digits</vt:lpstr>
      <vt:lpstr>Cell_Idx01</vt:lpstr>
      <vt:lpstr>Cell_Idx02</vt:lpstr>
      <vt:lpstr>Cell_Idx03</vt:lpstr>
      <vt:lpstr>Cell_Idx04</vt:lpstr>
      <vt:lpstr>Cell_Idx05</vt:lpstr>
      <vt:lpstr>Cell_Idx06</vt:lpstr>
      <vt:lpstr>Cell_Idx07</vt:lpstr>
      <vt:lpstr>Cell_Idx08</vt:lpstr>
      <vt:lpstr>Cell_Idx09</vt:lpstr>
      <vt:lpstr>Cell_Idx10</vt:lpstr>
      <vt:lpstr>Cell_internalDigit</vt:lpstr>
      <vt:lpstr>Cell_logicalName</vt:lpstr>
      <vt:lpstr>Cell_logicalTableName</vt:lpstr>
      <vt:lpstr>Cell_Note</vt:lpstr>
      <vt:lpstr>Cell_Null</vt:lpstr>
      <vt:lpstr>Cell_physicalName</vt:lpstr>
      <vt:lpstr>Cell_physicalTableName</vt:lpstr>
      <vt:lpstr>Cell_PK</vt:lpstr>
      <vt:lpstr>Cell_tableNote</vt:lpstr>
      <vt:lpstr>Cell_TableType</vt:lpstr>
      <vt:lpstr>Cell_UpdateAt</vt:lpstr>
      <vt:lpstr>Cell_UpdateBy</vt:lpstr>
      <vt:lpstr>CreateAt</vt:lpstr>
      <vt:lpstr>CreateBy</vt:lpstr>
      <vt:lpstr>CustomerName</vt:lpstr>
      <vt:lpstr>CustomRibbon</vt:lpstr>
      <vt:lpstr>DBList</vt:lpstr>
      <vt:lpstr>DBMS</vt:lpstr>
      <vt:lpstr>DBName</vt:lpstr>
      <vt:lpstr>DBServer</vt:lpstr>
      <vt:lpstr>debugMode</vt:lpstr>
      <vt:lpstr>defaultRowHeight</vt:lpstr>
      <vt:lpstr>defaultVal</vt:lpstr>
      <vt:lpstr>HighLightColor</vt:lpstr>
      <vt:lpstr>IndexTypeList</vt:lpstr>
      <vt:lpstr>Instance</vt:lpstr>
      <vt:lpstr>MSAccess</vt:lpstr>
      <vt:lpstr>MySQL</vt:lpstr>
      <vt:lpstr>ODBCDriver</vt:lpstr>
      <vt:lpstr>ODBCDriverList</vt:lpstr>
      <vt:lpstr>Oracle</vt:lpstr>
      <vt:lpstr>outputDir</vt:lpstr>
      <vt:lpstr>passwd</vt:lpstr>
      <vt:lpstr>Port</vt:lpstr>
      <vt:lpstr>PostgreSQL</vt:lpstr>
      <vt:lpstr>ProjectName</vt:lpstr>
      <vt:lpstr>ribbonHighLightFlg</vt:lpstr>
      <vt:lpstr>Schema</vt:lpstr>
      <vt:lpstr>SQLServer</vt:lpstr>
      <vt:lpstr>systemName</vt:lpstr>
      <vt:lpstr>TableTypeList</vt:lpstr>
      <vt:lpstr>useImage</vt:lpstr>
      <vt:lpstr>useLogicalName</vt:lpstr>
      <vt:lpstr>usePhysicalName</vt:lpstr>
      <vt:lpstr>userID</vt:lpstr>
      <vt:lpstr>zoomLevel</vt:lpstr>
      <vt:lpstr>項目名</vt:lpstr>
    </vt:vector>
  </TitlesOfParts>
  <Company>TCI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データベース定義書</dc:title>
  <dc:creator>B.Koizumi</dc:creator>
  <cp:lastModifiedBy>小泉　文平</cp:lastModifiedBy>
  <cp:lastPrinted>2016-01-21T08:34:09Z</cp:lastPrinted>
  <dcterms:created xsi:type="dcterms:W3CDTF">2006-04-16T04:34:38Z</dcterms:created>
  <dcterms:modified xsi:type="dcterms:W3CDTF">2021-10-11T06:00:58Z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df7b9985-5783-47ad-bfee-9d30e85c511b</vt:lpwstr>
  </property>
</Properties>
</file>