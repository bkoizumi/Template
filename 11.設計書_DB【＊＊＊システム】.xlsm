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e01_N.png" ContentType="image/.png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54285" windowWidth="20505" windowHeight="5115" tabRatio="788" activeTab="9"/>
  </bookViews>
  <sheets>
    <sheet name="設定-MySQL" sheetId="46" r:id="rId1"/>
    <sheet name="設定-ACC" sheetId="47" r:id="rId2"/>
    <sheet name="DataType" sheetId="2" r:id="rId3"/>
    <sheet name="Tmp" sheetId="101" r:id="rId4"/>
    <sheet name="Notice" sheetId="35" r:id="rId5"/>
    <sheet name="コピー用" sheetId="3" r:id="rId6"/>
    <sheet name="表紙" sheetId="4" r:id="rId7"/>
    <sheet name="変更履歴" sheetId="7" r:id="rId8"/>
    <sheet name="TBLリスト" sheetId="5" r:id="rId9"/>
    <sheet name="ER図" sheetId="86" r:id="rId10"/>
  </sheets>
  <functionGroups builtInGroupCount="18"/>
  <definedNames>
    <definedName name="■VBA用の設定">'設定-MySQL'!$B$3</definedName>
    <definedName name="Cell_colMaxLen">'設定-MySQL'!$B$50</definedName>
    <definedName name="Cell_CreateAt">'設定-MySQL'!$B$37</definedName>
    <definedName name="Cell_CreateBy">'設定-MySQL'!$B$35</definedName>
    <definedName name="Cell_dateType">'設定-MySQL'!$B$42</definedName>
    <definedName name="Cell_Default">'設定-MySQL'!$B$47</definedName>
    <definedName name="Cell_digits">'設定-MySQL'!$B$43</definedName>
    <definedName name="Cell_Idx01">'設定-MySQL'!$B$45</definedName>
    <definedName name="Cell_internalDigit">'設定-MySQL'!$B$51</definedName>
    <definedName name="Cell_logicalName">'設定-MySQL'!$B$40</definedName>
    <definedName name="Cell_logicalTableName">'設定-MySQL'!$B$32</definedName>
    <definedName name="Cell_Note">'設定-MySQL'!$B$48</definedName>
    <definedName name="Cell_Null">'設定-MySQL'!$B$46</definedName>
    <definedName name="Cell_physicalName">'設定-MySQL'!$B$41</definedName>
    <definedName name="Cell_physicalTableName">'設定-MySQL'!$B$33</definedName>
    <definedName name="Cell_PK">'設定-MySQL'!$B$44</definedName>
    <definedName name="Cell_tableNote">'設定-MySQL'!$B$34</definedName>
    <definedName name="Cell_TableType">'設定-MySQL'!$B$31</definedName>
    <definedName name="Cell_UpdateAt">'設定-MySQL'!$B$38</definedName>
    <definedName name="Cell_UpdateBy">'設定-MySQL'!$B$36</definedName>
    <definedName name="CreateAt">'設定-MySQL'!$B$25</definedName>
    <definedName name="CreateBy">'設定-MySQL'!$B$24</definedName>
    <definedName name="CustomerName">'設定-MySQL'!$B$21</definedName>
    <definedName name="CustomRibbon">'設定-MySQL'!$B$6</definedName>
    <definedName name="DBList">'設定-MySQL'!$H$5:$H$8</definedName>
    <definedName name="DBMS">'設定-MySQL'!$B$11</definedName>
    <definedName name="DBName">'設定-MySQL'!$B$14</definedName>
    <definedName name="DBServer">'設定-MySQL'!$B$13</definedName>
    <definedName name="debugMode">'設定-MySQL'!$B$5</definedName>
    <definedName name="defaultRowHeight">'設定-MySQL'!$B$27</definedName>
    <definedName name="defaultVal">'設定-MySQL'!$K$5:$K$7</definedName>
    <definedName name="HighLightColor">'設定-MySQL'!$B$8</definedName>
    <definedName name="IndexTypeList">'設定-MySQL'!$J$5:$J$8</definedName>
    <definedName name="Instance">'設定-MySQL'!$B$16</definedName>
    <definedName name="MSAccess">DataType!$M$3:$M$16</definedName>
    <definedName name="MySQL">DataType!$D$3:$D$20</definedName>
    <definedName name="ODBCDriver">'設定-MySQL'!$B$12</definedName>
    <definedName name="ODBCDriverList">'設定-MySQL'!$I$5:$I$7</definedName>
    <definedName name="Oracle">DataType!$G$3:$G$11</definedName>
    <definedName name="outputDir">'設定-MySQL'!$B$28</definedName>
    <definedName name="passwd">'設定-MySQL'!$B$19</definedName>
    <definedName name="Port">'設定-MySQL'!$B$15</definedName>
    <definedName name="PostgreSQL">DataType!$A$3:$A$35</definedName>
    <definedName name="ProjectName">'設定-MySQL'!$B$22</definedName>
    <definedName name="ribbonHighLightFlg">'設定-MySQL'!$B$7</definedName>
    <definedName name="Schema">'設定-MySQL'!$B$17</definedName>
    <definedName name="SQLServer">DataType!$J$3:$J$34</definedName>
    <definedName name="systemName">'設定-MySQL'!$B$23</definedName>
    <definedName name="TableTypeList">'設定-MySQL'!$G$5:$G$10</definedName>
    <definedName name="useImage">'設定-MySQL'!$B$55</definedName>
    <definedName name="useLogicalName">'設定-MySQL'!$B$53</definedName>
    <definedName name="usePhysicalName">'設定-MySQL'!$B$54</definedName>
    <definedName name="userID">'設定-MySQL'!$B$18</definedName>
    <definedName name="zoomLevel">'設定-MySQL'!$B$9</definedName>
    <definedName name="項目名">'設定-MySQL'!$B$4</definedName>
  </definedNames>
  <calcPr calcId="162913"/>
  <customWorkbookViews>
    <customWorkbookView name="Administrator - 個人用ビュー" guid="{11FF3D1A-B611-4935-A0EC-72FFAD7F9EAF}" mergeInterval="0" personalView="1" maximized="1" xWindow="-8" yWindow="-8" windowWidth="1696" windowHeight="1036" tabRatio="882" activeSheetId="18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TCI_小泉文平 - 個人用ビュー" guid="{809E84AF-EE5E-4456-99E6-0390B35F6AD9}" mergeInterval="0" personalView="1" maximized="1" xWindow="1" yWindow="1" windowWidth="1276" windowHeight="746" tabRatio="766" activeSheetId="4"/>
  </customWorkbookViews>
</workbook>
</file>

<file path=xl/calcChain.xml><?xml version="1.0" encoding="utf-8"?>
<calcChain xmlns="http://schemas.openxmlformats.org/spreadsheetml/2006/main">
  <c r="B6" i="5" l="1"/>
  <c r="B12" i="5" l="1"/>
  <c r="B11" i="5"/>
  <c r="B10" i="5"/>
  <c r="B9" i="5"/>
  <c r="B8" i="5"/>
  <c r="B7" i="5"/>
  <c r="B13" i="5" l="1"/>
  <c r="C46" i="3" l="1"/>
  <c r="C47" i="3"/>
  <c r="A1" i="46" l="1"/>
  <c r="B1" i="46"/>
  <c r="C1" i="46"/>
  <c r="D1" i="46"/>
  <c r="E1" i="46"/>
  <c r="F1" i="46"/>
  <c r="G1" i="46"/>
  <c r="H1" i="46"/>
  <c r="I1" i="46"/>
  <c r="J1" i="46"/>
  <c r="K1" i="46"/>
  <c r="L1" i="46"/>
  <c r="M1" i="46"/>
  <c r="N1" i="46"/>
  <c r="O1" i="46"/>
  <c r="P1" i="46"/>
  <c r="Q1" i="46"/>
  <c r="R1" i="46"/>
  <c r="S1" i="46"/>
  <c r="T1" i="46"/>
  <c r="U1" i="46"/>
  <c r="V1" i="46"/>
  <c r="B14" i="5" l="1"/>
  <c r="B1" i="4" l="1"/>
  <c r="A4" i="4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AA50" i="3"/>
  <c r="C50" i="3"/>
  <c r="AA49" i="3"/>
  <c r="C49" i="3"/>
  <c r="AA48" i="3"/>
  <c r="C48" i="3"/>
  <c r="AA45" i="3"/>
  <c r="C45" i="3"/>
  <c r="AA44" i="3"/>
  <c r="C44" i="3"/>
  <c r="AA43" i="3"/>
  <c r="C43" i="3"/>
  <c r="AA42" i="3"/>
  <c r="C42" i="3"/>
  <c r="AA41" i="3"/>
  <c r="C41" i="3"/>
  <c r="AA40" i="3"/>
  <c r="C40" i="3"/>
  <c r="AA39" i="3"/>
  <c r="C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U6" i="3"/>
  <c r="G3" i="3"/>
  <c r="W2" i="3"/>
  <c r="U2" i="3"/>
  <c r="G2" i="3"/>
  <c r="U12" i="47" l="1"/>
  <c r="V12" i="46"/>
  <c r="B15" i="5" l="1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</calcChain>
</file>

<file path=xl/comments1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<sst xmlns="http://schemas.openxmlformats.org/spreadsheetml/2006/main" count="865" uniqueCount="514">
  <si>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</si>
  <si>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</si>
  <si>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</si>
  <si>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</si>
  <si>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</si>
  <si>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</si>
  <si>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</si>
  <si>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</si>
  <si>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</si>
  <si>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</si>
  <si>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</si>
  <si>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</si>
  <si>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</si>
  <si>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</si>
  <si>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</si>
  <si>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</si>
  <si>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</si>
  <si>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</si>
  <si>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</si>
  <si>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</si>
  <si>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</si>
  <si>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</si>
  <si>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</si>
  <si>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</si>
  <si>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</si>
  <si>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</si>
  <si>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</si>
  <si>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</si>
  <si>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</si>
  <si>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</si>
  <si>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</si>
  <si>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</si>
  <si>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</si>
  <si>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</si>
  <si>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</si>
  <si>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</si>
  <si>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</si>
  <si>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</si>
  <si>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</si>
  <si>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</si>
  <si>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</si>
  <si>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</si>
  <si>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</si>
  <si>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</si>
  <si>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</si>
  <si>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</si>
  <si>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</si>
  <si>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</si>
  <si>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</si>
  <si>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</si>
  <si>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</si>
  <si>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</si>
  <si>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</si>
  <si>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</si>
  <si>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</si>
  <si>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</si>
  <si>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</si>
  <si>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</si>
  <si>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</si>
  <si>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</si>
  <si>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</si>
  <si>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</si>
  <si>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</si>
  <si>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</si>
  <si>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</si>
  <si>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</si>
  <si>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</si>
  <si>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</si>
  <si>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</si>
  <si>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</si>
  <si>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</si>
  <si>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</si>
  <si>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</si>
  <si>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</si>
  <si>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</si>
  <si>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</si>
  <si>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</si>
  <si>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</si>
  <si>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</si>
  <si>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</si>
  <si>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</si>
  <si>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</si>
  <si>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</si>
  <si>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</si>
  <si>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</si>
  <si>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</si>
  <si>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</si>
  <si>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</si>
  <si>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</si>
  <si>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</si>
  <si>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</si>
  <si>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</si>
  <si>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</si>
  <si>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</si>
  <si>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</si>
  <si>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</si>
  <si>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</si>
  <si>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</si>
  <si>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</si>
  <si>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</si>
  <si>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</si>
  <si>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</si>
  <si>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</si>
  <si>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</si>
  <si>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</si>
  <si>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</si>
  <si>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</si>
  <si>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</si>
  <si>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</si>
  <si>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</si>
  <si>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</si>
  <si>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</si>
  <si>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</si>
  <si>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</si>
  <si>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</si>
  <si>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</si>
  <si>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</si>
  <si>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</si>
  <si>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</si>
  <si>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</si>
  <si>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</si>
  <si>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</si>
  <si>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</si>
  <si>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</si>
  <si>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</si>
  <si>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</si>
  <si>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</si>
  <si>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</si>
  <si>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</si>
  <si>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</si>
  <si>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</si>
  <si>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</si>
  <si>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</si>
  <si>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</si>
  <si>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</si>
  <si>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</si>
  <si>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</si>
  <si>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</si>
  <si>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</si>
  <si>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</si>
  <si>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</si>
  <si>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</si>
  <si>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</si>
  <si>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</si>
  <si>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</si>
  <si>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</si>
  <si>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</si>
  <si>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</si>
  <si>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</si>
  <si>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</si>
  <si>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</si>
  <si>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</si>
  <si>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</si>
  <si>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</si>
  <si>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</si>
  <si>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</si>
  <si>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</si>
  <si>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</si>
  <si>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</si>
  <si>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</si>
  <si>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</si>
  <si>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</si>
  <si>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</si>
  <si>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</si>
  <si>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</si>
  <si>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</si>
  <si>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</si>
  <si>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</si>
  <si>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</si>
  <si>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</si>
  <si>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</si>
  <si>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</si>
  <si>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</si>
  <si>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</si>
  <si>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</si>
  <si>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</si>
  <si>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</si>
  <si>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</si>
  <si>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</si>
  <si>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</si>
  <si>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</si>
  <si>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</si>
  <si>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</si>
  <si>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</si>
  <si>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</si>
  <si>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</si>
  <si>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</si>
  <si>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</si>
  <si>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</si>
  <si>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</si>
  <si>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</si>
  <si>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</si>
  <si>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</si>
  <si>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</si>
  <si>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</si>
  <si>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</si>
  <si>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</si>
  <si>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</si>
  <si>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</si>
  <si>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</si>
  <si>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</si>
  <si>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</si>
  <si>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</si>
  <si>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</si>
  <si>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</si>
  <si>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</si>
  <si>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</si>
  <si>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</si>
  <si>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</si>
  <si>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</si>
  <si>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</si>
  <si>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</si>
  <si>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</si>
  <si>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</si>
  <si>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</si>
  <si>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</si>
  <si>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</si>
  <si>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</si>
  <si>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</si>
  <si>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</si>
  <si>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</si>
  <si>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</si>
  <si>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</si>
  <si>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</si>
  <si>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</si>
  <si>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</si>
  <si>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</si>
  <si>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</si>
  <si>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</si>
  <si>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</si>
  <si>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</si>
  <si>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</si>
  <si>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</si>
  <si>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</si>
  <si>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</si>
  <si>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</si>
  <si>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</si>
  <si>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</si>
  <si>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</si>
  <si>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</si>
  <si>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</si>
  <si>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</si>
  <si>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</si>
  <si>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</si>
  <si>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</si>
  <si>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</si>
  <si>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</si>
  <si>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</si>
  <si>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</si>
  <si>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</si>
  <si>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</si>
  <si>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</si>
  <si>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</si>
  <si>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</si>
  <si>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</si>
  <si>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</si>
  <si>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</si>
  <si>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</si>
  <si>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</si>
  <si>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</si>
  <si>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</si>
  <si>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</si>
  <si>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</si>
  <si>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</si>
  <si>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</si>
  <si>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</si>
  <si>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</si>
  <si>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</si>
  <si>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</si>
  <si>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</si>
  <si>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</si>
  <si>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</si>
  <si>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</si>
  <si>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</si>
  <si>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</si>
  <si>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</si>
  <si>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</si>
  <si>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</si>
  <si>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</si>
  <si>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</si>
  <si>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</si>
  <si>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</si>
  <si>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</si>
  <si>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</si>
  <si>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</si>
  <si>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</si>
  <si>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</si>
  <si>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</si>
  <si>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</si>
  <si>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</si>
  <si>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</si>
  <si>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</si>
  <si>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</si>
  <si>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</si>
  <si>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</si>
  <si>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</si>
  <si>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</si>
  <si>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</si>
  <si>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</si>
  <si>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</si>
  <si>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</si>
  <si>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</si>
  <si>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</si>
  <si>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</si>
  <si>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</si>
  <si>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</si>
  <si>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</si>
  <si>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</si>
  <si>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</si>
  <si>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</si>
  <si>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</si>
  <si>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</si>
  <si>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</si>
  <si>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</si>
  <si>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</si>
  <si>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</si>
  <si>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</si>
  <si>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</si>
  <si>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</si>
  <si>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</si>
  <si>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</si>
  <si>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</si>
  <si>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</si>
  <si>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</si>
  <si>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</si>
  <si>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</si>
  <si>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</si>
  <si>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</si>
  <si>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</si>
  <si>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</si>
  <si>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</si>
  <si>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</si>
  <si>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</si>
  <si>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</si>
  <si>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</si>
  <si>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</si>
  <si>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</si>
  <si>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</si>
  <si>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</si>
  <si>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</si>
  <si>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</si>
  <si>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</si>
  <si>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</si>
  <si>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</si>
  <si>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</si>
  <si>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</si>
  <si>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</si>
  <si>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</si>
  <si>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</si>
  <si>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</si>
  <si>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</si>
  <si>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</si>
  <si>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</si>
  <si>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</si>
  <si>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</si>
  <si>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</si>
  <si>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</si>
  <si>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</si>
  <si>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</si>
  <si>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</si>
  <si>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</si>
  <si>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</si>
  <si>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</si>
  <si>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</si>
  <si>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</si>
  <si>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</si>
  <si>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</si>
  <si>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</si>
  <si>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</si>
  <si>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</si>
  <si>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</si>
  <si>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</si>
  <si>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</si>
  <si>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</si>
  <si>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</si>
  <si>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</si>
  <si>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</si>
  <si>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</si>
  <si>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</si>
  <si>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</si>
  <si>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</si>
  <si>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</si>
  <si>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</si>
  <si>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</si>
  <si>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</si>
  <si>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</si>
  <si>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</si>
  <si>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</si>
  <si>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</si>
  <si>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</si>
  <si>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</si>
  <si>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</si>
  <si>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</si>
  <si>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</si>
  <si>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</si>
  <si>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</si>
  <si>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</si>
  <si>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</si>
  <si>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</si>
  <si>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</si>
  <si>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</si>
  <si>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</si>
  <si>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</si>
  <si>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</si>
  <si>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</si>
  <si>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</si>
  <si>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</si>
  <si>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</si>
  <si>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</si>
  <si>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</si>
  <si>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</si>
  <si>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</si>
  <si>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</si>
  <si>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</si>
  <si>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</si>
  <si>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</si>
  <si>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</si>
  <si>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</si>
  <si>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</si>
  <si>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</si>
  <si>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</si>
  <si>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</si>
  <si>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</si>
  <si>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</si>
  <si>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</si>
  <si>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</si>
  <si>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</si>
  <si>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</si>
  <si>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</si>
  <si>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</si>
  <si>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</si>
  <si>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</si>
  <si>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</si>
  <si>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</si>
  <si>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</si>
  <si>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</si>
  <si>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</si>
  <si>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</si>
  <si>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</si>
  <si>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</si>
  <si>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</si>
  <si>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</si>
  <si>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</si>
  <si>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</si>
  <si>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</si>
  <si>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</si>
  <si>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</si>
  <si>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</si>
  <si>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</si>
  <si>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</si>
  <si>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</si>
  <si>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</si>
  <si>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</si>
  <si>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</si>
  <si>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</si>
  <si>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</si>
  <si>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</si>
  <si>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</si>
  <si>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</si>
  <si>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</si>
  <si>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</si>
  <si>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test</t>
    <phoneticPr fontId="4"/>
  </si>
  <si>
    <t>マスターテーブル</t>
    <phoneticPr fontId="13"/>
  </si>
  <si>
    <t>newTable</t>
  </si>
  <si>
    <t>文字数</t>
    <rPh sb="0" eb="3">
      <t>モジスウ</t>
    </rPh>
    <phoneticPr fontId="13"/>
  </si>
  <si>
    <t>Cell_colMaxLen</t>
    <phoneticPr fontId="13"/>
  </si>
  <si>
    <t>H</t>
    <phoneticPr fontId="13"/>
  </si>
  <si>
    <t>Cell_UpdateBy</t>
    <phoneticPr fontId="13"/>
  </si>
  <si>
    <t>W2</t>
    <phoneticPr fontId="13"/>
  </si>
  <si>
    <t>Cell_UpdateAt</t>
    <phoneticPr fontId="13"/>
  </si>
  <si>
    <t>Cell_CreateBy</t>
    <phoneticPr fontId="13"/>
  </si>
  <si>
    <t>Cell_CreateAt</t>
    <phoneticPr fontId="13"/>
  </si>
  <si>
    <t>W3</t>
    <phoneticPr fontId="13"/>
  </si>
  <si>
    <t>S</t>
    <phoneticPr fontId="13"/>
  </si>
  <si>
    <t>AA</t>
    <phoneticPr fontId="13"/>
  </si>
  <si>
    <t>Cell_internalDigit</t>
    <phoneticPr fontId="13"/>
  </si>
  <si>
    <t>AB</t>
    <phoneticPr fontId="13"/>
  </si>
  <si>
    <t>U2</t>
    <phoneticPr fontId="13"/>
  </si>
  <si>
    <t>U3</t>
    <phoneticPr fontId="13"/>
  </si>
  <si>
    <t>defaultRowHeight</t>
    <phoneticPr fontId="13"/>
  </si>
  <si>
    <t>18</t>
    <phoneticPr fontId="13"/>
  </si>
  <si>
    <t>outputDir</t>
    <phoneticPr fontId="13"/>
  </si>
  <si>
    <t>C:\WorkSpace\VBA\Template\SQL</t>
  </si>
  <si>
    <t>CustomerName</t>
    <phoneticPr fontId="13"/>
  </si>
  <si>
    <t>○○株式会社</t>
    <rPh sb="2" eb="6">
      <t>カブ</t>
    </rPh>
    <phoneticPr fontId="4"/>
  </si>
  <si>
    <t>#</t>
  </si>
  <si>
    <t>論理テーブル名</t>
  </si>
  <si>
    <t>作成日</t>
  </si>
  <si>
    <t>si_joblist1</t>
  </si>
  <si>
    <t>SI_案件一覧1</t>
  </si>
  <si>
    <t>si_joblist2</t>
  </si>
  <si>
    <t>SI_案件一覧2</t>
  </si>
  <si>
    <t>si_joblist3</t>
  </si>
  <si>
    <t>SI_案件一覧3</t>
  </si>
  <si>
    <t>si_joblist4</t>
  </si>
  <si>
    <t>SI_案件一覧4</t>
  </si>
  <si>
    <t>si_joblist5</t>
  </si>
  <si>
    <t>SI_案件一覧5</t>
  </si>
  <si>
    <t>si_joblist6</t>
  </si>
  <si>
    <t>SI_案件一覧6</t>
  </si>
  <si>
    <t>si_joblist7</t>
  </si>
  <si>
    <t>SI_案件一覧7</t>
  </si>
  <si>
    <t>useLogicalName</t>
  </si>
  <si>
    <t>usePhysicalName</t>
  </si>
  <si>
    <t>useImage</t>
  </si>
  <si>
    <t>True</t>
    <phoneticPr fontId="13"/>
  </si>
  <si>
    <t>False</t>
    <phoneticPr fontId="13"/>
  </si>
  <si>
    <t>auto_increment</t>
    <phoneticPr fontId="4"/>
  </si>
  <si>
    <t>defaultVal</t>
    <phoneticPr fontId="4"/>
  </si>
  <si>
    <t>CURRENT_TIMESTAMP</t>
  </si>
  <si>
    <t>AUTO_INCREMENT</t>
  </si>
  <si>
    <t>CURRENT_TIMESTAMP  ON UPDATE CURRENT_TIMESTAMP</t>
  </si>
  <si>
    <t>テーブル説明1</t>
  </si>
  <si>
    <t>マスターテーブル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</si>
</sst>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&quot;第&quot;0.00&quot; 版&quot;"/>
    <numFmt numFmtId="183" formatCode="0.0&quot; 版&quot;"/>
    <numFmt numFmtId="184" formatCode="#,##0_ ;[Red]\-#,##0\ "/>
    <numFmt numFmtId="185" formatCode="0.0%_ "/>
    <numFmt numFmtId="186" formatCode="&quot;¥&quot;#,##0_ ;[Red]&quot;¥&quot;\-#,##0\ "/>
    <numFmt numFmtId="187" formatCode="#,##0.0_ ;[Red]\-#,##0.0\ "/>
    <numFmt numFmtId="188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</borders>
  <cellStyleXfs count="113">
    <xf numFmtId="0" fontId="0" fillId="0" borderId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7" borderId="62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29" borderId="63" applyNumberFormat="0" applyFont="0" applyAlignment="0" applyProtection="0">
      <alignment vertical="center"/>
    </xf>
    <xf numFmtId="0" fontId="18" fillId="0" borderId="64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65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6" applyNumberFormat="0" applyFill="0" applyAlignment="0" applyProtection="0">
      <alignment vertical="center"/>
    </xf>
    <xf numFmtId="0" fontId="23" fillId="0" borderId="67" applyNumberFormat="0" applyFill="0" applyAlignment="0" applyProtection="0">
      <alignment vertical="center"/>
    </xf>
    <xf numFmtId="0" fontId="24" fillId="0" borderId="68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9" applyNumberFormat="0" applyFill="0" applyAlignment="0" applyProtection="0">
      <alignment vertical="center"/>
    </xf>
    <xf numFmtId="0" fontId="26" fillId="31" borderId="70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2" borderId="65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3" borderId="71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4" fillId="55" borderId="72" applyNumberFormat="0" applyFont="0" applyAlignment="0" applyProtection="0">
      <alignment vertical="center"/>
    </xf>
    <xf numFmtId="0" fontId="39" fillId="0" borderId="73" applyNumberFormat="0" applyFill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1" fillId="56" borderId="74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5" applyNumberFormat="0" applyFill="0" applyAlignment="0" applyProtection="0">
      <alignment vertical="center"/>
    </xf>
    <xf numFmtId="0" fontId="44" fillId="0" borderId="76" applyNumberFormat="0" applyFill="0" applyAlignment="0" applyProtection="0">
      <alignment vertical="center"/>
    </xf>
    <xf numFmtId="0" fontId="45" fillId="0" borderId="7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78" applyNumberFormat="0" applyFill="0" applyAlignment="0" applyProtection="0">
      <alignment vertical="center"/>
    </xf>
    <xf numFmtId="0" fontId="47" fillId="56" borderId="79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0" borderId="74" applyNumberFormat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2" borderId="0" applyNumberFormat="0" applyFont="0" applyBorder="0" applyAlignment="0" applyProtection="0">
      <alignment vertical="center"/>
    </xf>
    <xf numFmtId="188" fontId="54" fillId="0" borderId="0" applyNumberFormat="0" applyFill="0" applyBorder="0" applyAlignment="0" applyProtection="0">
      <alignment vertical="center"/>
    </xf>
    <xf numFmtId="0" fontId="65" fillId="61" borderId="0" applyBorder="0" applyProtection="0">
      <alignment horizontal="center" vertical="center"/>
    </xf>
    <xf numFmtId="187" fontId="54" fillId="0" borderId="0" applyFont="0" applyFill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64" fillId="60" borderId="0" applyBorder="0" applyProtection="0">
      <alignment vertical="center"/>
    </xf>
    <xf numFmtId="0" fontId="63" fillId="59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3" fillId="61" borderId="0" applyBorder="0" applyProtection="0">
      <alignment horizontal="centerContinuous" vertical="center"/>
    </xf>
    <xf numFmtId="0" fontId="55" fillId="0" borderId="0">
      <alignment vertical="center"/>
    </xf>
  </cellStyleXfs>
  <cellXfs count="342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49" fontId="8" fillId="0" borderId="20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2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3" fontId="8" fillId="0" borderId="57" xfId="0" applyNumberFormat="1" applyFont="1" applyFill="1" applyBorder="1" applyAlignment="1" applyProtection="1">
      <alignment horizontal="center" vertical="center"/>
      <protection locked="0"/>
    </xf>
    <xf numFmtId="179" fontId="9" fillId="0" borderId="55" xfId="0" applyNumberFormat="1" applyFont="1" applyFill="1" applyBorder="1" applyAlignment="1" applyProtection="1">
      <alignment horizontal="center" vertical="center"/>
    </xf>
    <xf numFmtId="179" fontId="9" fillId="0" borderId="56" xfId="0" applyNumberFormat="1" applyFont="1" applyFill="1" applyBorder="1" applyAlignment="1" applyProtection="1">
      <alignment horizontal="center" vertical="center"/>
    </xf>
    <xf numFmtId="181" fontId="8" fillId="0" borderId="52" xfId="0" applyNumberFormat="1" applyFont="1" applyFill="1" applyBorder="1" applyAlignment="1" applyProtection="1">
      <alignment horizontal="center" vertical="center"/>
      <protection locked="0"/>
    </xf>
    <xf numFmtId="181" fontId="8" fillId="0" borderId="48" xfId="0" applyNumberFormat="1" applyFont="1" applyFill="1" applyBorder="1" applyAlignment="1" applyProtection="1">
      <alignment horizontal="center" vertical="center"/>
      <protection locked="0"/>
    </xf>
    <xf numFmtId="179" fontId="8" fillId="0" borderId="47" xfId="0" applyNumberFormat="1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49" fontId="8" fillId="0" borderId="15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1" xfId="0" applyFont="1" applyFill="1" applyBorder="1" applyAlignment="1">
      <alignment horizontal="center" vertical="center"/>
    </xf>
    <xf numFmtId="179" fontId="8" fillId="0" borderId="51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4" xfId="0" applyNumberFormat="1" applyFont="1" applyFill="1" applyBorder="1" applyAlignment="1" applyProtection="1">
      <alignment horizontal="center" vertical="center"/>
    </xf>
    <xf numFmtId="0" fontId="51" fillId="0" borderId="39" xfId="0" applyFont="1" applyFill="1" applyBorder="1" applyAlignment="1">
      <alignment vertical="center" wrapText="1"/>
    </xf>
    <xf numFmtId="0" fontId="51" fillId="0" borderId="40" xfId="0" applyFont="1" applyFill="1" applyBorder="1" applyAlignment="1">
      <alignment vertical="center" wrapText="1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30" xfId="0" applyFont="1" applyFill="1" applyBorder="1" applyAlignment="1">
      <alignment vertical="center" wrapText="1"/>
    </xf>
    <xf numFmtId="0" fontId="51" fillId="0" borderId="31" xfId="0" applyFont="1" applyFill="1" applyBorder="1" applyAlignment="1">
      <alignment vertical="center" wrapText="1"/>
    </xf>
    <xf numFmtId="0" fontId="51" fillId="0" borderId="15" xfId="0" applyFont="1" applyFill="1" applyBorder="1" applyAlignment="1">
      <alignment horizontal="centerContinuous" vertical="center" wrapText="1" shrinkToFit="1"/>
    </xf>
    <xf numFmtId="0" fontId="51" fillId="0" borderId="25" xfId="0" applyFont="1" applyFill="1" applyBorder="1" applyAlignment="1">
      <alignment horizontal="centerContinuous" vertical="center" wrapText="1" shrinkToFit="1"/>
    </xf>
    <xf numFmtId="0" fontId="51" fillId="0" borderId="19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1" xfId="0" applyFont="1" applyFill="1" applyBorder="1" applyAlignment="1">
      <alignment vertical="center"/>
    </xf>
    <xf numFmtId="0" fontId="0" fillId="0" borderId="60" xfId="0" applyFont="1" applyFill="1" applyBorder="1" applyAlignment="1">
      <alignment vertical="center"/>
    </xf>
    <xf numFmtId="0" fontId="55" fillId="0" borderId="30" xfId="0" applyFont="1" applyFill="1" applyBorder="1" applyAlignment="1" applyProtection="1">
      <alignment vertical="center" shrinkToFit="1"/>
      <protection locked="0"/>
    </xf>
    <xf numFmtId="49" fontId="55" fillId="0" borderId="30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7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8" borderId="80" xfId="0" applyFont="1" applyFill="1" applyBorder="1" applyAlignment="1" applyProtection="1">
      <alignment horizontal="centerContinuous" vertical="center"/>
      <protection locked="0"/>
    </xf>
    <xf numFmtId="0" fontId="56" fillId="58" borderId="80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0" xfId="0" applyFont="1" applyBorder="1" applyAlignment="1" applyProtection="1">
      <alignment horizontal="center" vertical="center"/>
      <protection locked="0"/>
    </xf>
    <xf numFmtId="0" fontId="55" fillId="0" borderId="80" xfId="0" applyFont="1" applyBorder="1" applyProtection="1">
      <alignment vertical="center"/>
      <protection locked="0"/>
    </xf>
    <xf numFmtId="0" fontId="55" fillId="0" borderId="81" xfId="0" applyFont="1" applyBorder="1" applyAlignment="1" applyProtection="1">
      <alignment horizontal="center" vertical="center"/>
      <protection locked="0"/>
    </xf>
    <xf numFmtId="0" fontId="55" fillId="0" borderId="81" xfId="0" applyFont="1" applyBorder="1" applyProtection="1">
      <alignment vertical="center"/>
      <protection locked="0"/>
    </xf>
    <xf numFmtId="0" fontId="0" fillId="0" borderId="80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1" borderId="8" xfId="101" applyBorder="1" applyProtection="1">
      <alignment horizontal="center" vertical="center"/>
    </xf>
    <xf numFmtId="0" fontId="65" fillId="61" borderId="9" xfId="101" applyBorder="1" applyProtection="1">
      <alignment horizontal="center" vertical="center"/>
    </xf>
    <xf numFmtId="0" fontId="65" fillId="61" borderId="18" xfId="101" applyBorder="1" applyProtection="1">
      <alignment horizontal="center" vertical="center"/>
    </xf>
    <xf numFmtId="0" fontId="65" fillId="61" borderId="58" xfId="101" applyBorder="1">
      <alignment horizontal="center" vertical="center"/>
    </xf>
    <xf numFmtId="0" fontId="65" fillId="61" borderId="59" xfId="101" applyBorder="1">
      <alignment horizontal="center" vertical="center"/>
    </xf>
    <xf numFmtId="0" fontId="65" fillId="61" borderId="2" xfId="101" applyBorder="1" applyProtection="1">
      <alignment horizontal="center" vertical="center"/>
    </xf>
    <xf numFmtId="0" fontId="65" fillId="61" borderId="4" xfId="101" applyBorder="1" applyProtection="1">
      <alignment horizontal="center" vertical="center"/>
    </xf>
    <xf numFmtId="0" fontId="65" fillId="61" borderId="4" xfId="101" applyBorder="1">
      <alignment horizontal="center" vertical="center"/>
    </xf>
    <xf numFmtId="0" fontId="65" fillId="61" borderId="6" xfId="101" applyBorder="1" applyAlignment="1" applyProtection="1">
      <alignment horizontal="centerContinuous" vertical="center"/>
      <protection locked="0"/>
    </xf>
    <xf numFmtId="0" fontId="65" fillId="61" borderId="8" xfId="101" applyBorder="1" applyAlignment="1" applyProtection="1">
      <alignment horizontal="centerContinuous" vertical="center"/>
      <protection locked="0"/>
    </xf>
    <xf numFmtId="0" fontId="65" fillId="61" borderId="16" xfId="101" applyBorder="1" applyAlignment="1" applyProtection="1">
      <alignment horizontal="centerContinuous" vertical="center"/>
      <protection locked="0"/>
    </xf>
    <xf numFmtId="0" fontId="65" fillId="61" borderId="84" xfId="101" applyBorder="1" applyProtection="1">
      <alignment horizontal="center" vertical="center"/>
      <protection locked="0"/>
    </xf>
    <xf numFmtId="0" fontId="65" fillId="61" borderId="60" xfId="101" applyBorder="1" applyProtection="1">
      <alignment horizontal="center" vertical="center"/>
      <protection locked="0"/>
    </xf>
    <xf numFmtId="0" fontId="65" fillId="61" borderId="85" xfId="101" applyBorder="1" applyProtection="1">
      <alignment horizontal="center" vertical="center"/>
      <protection locked="0"/>
    </xf>
    <xf numFmtId="0" fontId="56" fillId="0" borderId="86" xfId="0" applyFont="1" applyFill="1" applyBorder="1" applyAlignment="1" applyProtection="1">
      <alignment horizontal="left" vertical="center"/>
      <protection locked="0"/>
    </xf>
    <xf numFmtId="0" fontId="56" fillId="0" borderId="83" xfId="0" applyFont="1" applyFill="1" applyBorder="1" applyAlignment="1" applyProtection="1">
      <alignment horizontal="left" vertical="center"/>
      <protection locked="0"/>
    </xf>
    <xf numFmtId="0" fontId="0" fillId="0" borderId="83" xfId="0" applyFont="1" applyFill="1" applyBorder="1" applyAlignment="1" applyProtection="1">
      <alignment vertical="center"/>
      <protection locked="0"/>
    </xf>
    <xf numFmtId="0" fontId="0" fillId="0" borderId="87" xfId="0" applyFont="1" applyFill="1" applyBorder="1" applyAlignment="1">
      <alignment vertical="center"/>
    </xf>
    <xf numFmtId="0" fontId="0" fillId="0" borderId="83" xfId="0" applyFont="1" applyFill="1" applyBorder="1" applyAlignment="1">
      <alignment vertical="center"/>
    </xf>
    <xf numFmtId="0" fontId="0" fillId="0" borderId="83" xfId="0" applyBorder="1">
      <alignment vertical="center"/>
    </xf>
    <xf numFmtId="0" fontId="0" fillId="0" borderId="87" xfId="0" applyBorder="1">
      <alignment vertical="center"/>
    </xf>
    <xf numFmtId="0" fontId="65" fillId="61" borderId="88" xfId="101" applyBorder="1" applyProtection="1">
      <alignment horizontal="center" vertical="center"/>
      <protection locked="0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9" xfId="0" applyFont="1" applyFill="1" applyBorder="1" applyAlignment="1" applyProtection="1">
      <alignment vertical="center" wrapText="1" shrinkToFit="1"/>
      <protection locked="0"/>
    </xf>
    <xf numFmtId="0" fontId="55" fillId="0" borderId="90" xfId="0" applyFont="1" applyFill="1" applyBorder="1" applyAlignment="1" applyProtection="1">
      <alignment vertical="center" shrinkToFit="1"/>
      <protection locked="0"/>
    </xf>
    <xf numFmtId="49" fontId="55" fillId="0" borderId="90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1" borderId="86" xfId="101" applyBorder="1" applyProtection="1">
      <alignment horizontal="center" vertical="center"/>
      <protection locked="0"/>
    </xf>
    <xf numFmtId="0" fontId="55" fillId="0" borderId="83" xfId="0" applyFont="1" applyFill="1" applyBorder="1" applyAlignment="1" applyProtection="1">
      <alignment vertical="center" shrinkToFit="1"/>
      <protection locked="0"/>
    </xf>
    <xf numFmtId="49" fontId="55" fillId="0" borderId="83" xfId="0" applyNumberFormat="1" applyFont="1" applyFill="1" applyBorder="1" applyAlignment="1" applyProtection="1">
      <alignment vertical="center" shrinkToFit="1"/>
      <protection locked="0"/>
    </xf>
    <xf numFmtId="49" fontId="55" fillId="0" borderId="83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3" xfId="0" applyFont="1" applyFill="1" applyBorder="1" applyAlignment="1" applyProtection="1">
      <alignment vertical="center" wrapText="1" shrinkToFit="1"/>
      <protection locked="0"/>
    </xf>
    <xf numFmtId="0" fontId="55" fillId="0" borderId="83" xfId="0" applyFont="1" applyFill="1" applyBorder="1" applyAlignment="1">
      <alignment vertical="center" shrinkToFit="1"/>
    </xf>
    <xf numFmtId="0" fontId="55" fillId="0" borderId="87" xfId="0" applyFont="1" applyFill="1" applyBorder="1" applyAlignment="1" applyProtection="1">
      <alignment vertical="center" shrinkToFit="1"/>
      <protection locked="0"/>
    </xf>
    <xf numFmtId="49" fontId="55" fillId="0" borderId="87" xfId="0" applyNumberFormat="1" applyFont="1" applyFill="1" applyBorder="1" applyAlignment="1" applyProtection="1">
      <alignment vertical="center" shrinkToFit="1"/>
      <protection locked="0"/>
    </xf>
    <xf numFmtId="0" fontId="55" fillId="58" borderId="89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3" xfId="0" applyFont="1" applyFill="1" applyBorder="1" applyAlignment="1" applyProtection="1">
      <alignment vertical="center"/>
      <protection locked="0"/>
    </xf>
    <xf numFmtId="0" fontId="56" fillId="0" borderId="87" xfId="0" applyFont="1" applyFill="1" applyBorder="1" applyAlignment="1" applyProtection="1">
      <alignment vertical="center"/>
      <protection locked="0"/>
    </xf>
    <xf numFmtId="0" fontId="56" fillId="0" borderId="87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79" fontId="55" fillId="0" borderId="83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0" xfId="0" applyNumberFormat="1" applyFont="1" applyFill="1" applyBorder="1" applyAlignment="1" applyProtection="1">
      <alignment horizontal="left"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49" fontId="8" fillId="0" borderId="15" xfId="0" applyNumberFormat="1" applyFont="1" applyFill="1" applyBorder="1" applyAlignment="1" applyProtection="1">
      <alignment horizontal="left" vertical="center"/>
      <protection locked="0"/>
    </xf>
    <xf numFmtId="0" fontId="8" fillId="0" borderId="19" xfId="0" applyFont="1" applyBorder="1" applyAlignment="1">
      <alignment vertical="center"/>
    </xf>
    <xf numFmtId="49" fontId="8" fillId="0" borderId="15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Fill="1" applyBorder="1" applyAlignment="1" applyProtection="1">
      <alignment horizontal="center" vertical="center" shrinkToFit="1"/>
      <protection locked="0"/>
    </xf>
    <xf numFmtId="0" fontId="8" fillId="0" borderId="23" xfId="0" applyFont="1" applyBorder="1" applyAlignment="1">
      <alignment vertical="center"/>
    </xf>
    <xf numFmtId="49" fontId="8" fillId="0" borderId="20" xfId="0" applyNumberFormat="1" applyFont="1" applyFill="1" applyBorder="1" applyAlignment="1" applyProtection="1">
      <alignment vertical="center"/>
      <protection locked="0"/>
    </xf>
    <xf numFmtId="0" fontId="8" fillId="0" borderId="21" xfId="0" applyFont="1" applyBorder="1" applyAlignment="1">
      <alignment vertical="center"/>
    </xf>
    <xf numFmtId="0" fontId="33" fillId="0" borderId="15" xfId="0" applyNumberFormat="1" applyFont="1" applyFill="1" applyBorder="1" applyAlignment="1" applyProtection="1">
      <alignment vertical="center"/>
      <protection locked="0"/>
    </xf>
    <xf numFmtId="0" fontId="61" fillId="0" borderId="25" xfId="0" applyNumberFormat="1" applyFont="1" applyFill="1" applyBorder="1" applyAlignment="1" applyProtection="1">
      <alignment vertical="center"/>
      <protection locked="0"/>
    </xf>
    <xf numFmtId="0" fontId="33" fillId="0" borderId="15" xfId="110" applyNumberFormat="1" applyFont="1" applyFill="1" applyBorder="1" applyAlignment="1" applyProtection="1">
      <alignment vertical="center"/>
      <protection locked="0"/>
    </xf>
    <xf numFmtId="0" fontId="8" fillId="0" borderId="25" xfId="0" applyNumberFormat="1" applyFont="1" applyFill="1" applyBorder="1" applyAlignment="1" applyProtection="1">
      <alignment vertical="center"/>
      <protection locked="0"/>
    </xf>
    <xf numFmtId="0" fontId="33" fillId="0" borderId="20" xfId="0" applyNumberFormat="1" applyFont="1" applyFill="1" applyBorder="1" applyAlignment="1" applyProtection="1">
      <alignment vertical="center"/>
      <protection locked="0"/>
    </xf>
    <xf numFmtId="0" fontId="33" fillId="0" borderId="27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1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8" fillId="0" borderId="15" xfId="0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vertical="center"/>
      <protection locked="0"/>
    </xf>
    <xf numFmtId="0" fontId="8" fillId="0" borderId="26" xfId="0" applyFont="1" applyFill="1" applyBorder="1" applyAlignment="1" applyProtection="1">
      <alignment vertical="center"/>
      <protection locked="0"/>
    </xf>
    <xf numFmtId="0" fontId="8" fillId="0" borderId="20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33" xfId="0" applyFont="1" applyFill="1" applyBorder="1" applyAlignment="1" applyProtection="1">
      <alignment vertical="center"/>
      <protection locked="0"/>
    </xf>
    <xf numFmtId="0" fontId="8" fillId="0" borderId="34" xfId="0" applyFont="1" applyFill="1" applyBorder="1" applyAlignment="1" applyProtection="1">
      <alignment vertical="center"/>
      <protection locked="0"/>
    </xf>
    <xf numFmtId="14" fontId="55" fillId="0" borderId="0" xfId="0" applyNumberFormat="1" applyFont="1" applyFill="1" applyProtection="1">
      <alignment vertical="center"/>
      <protection locked="0"/>
    </xf>
    <xf numFmtId="0" fontId="8" fillId="0" borderId="15" xfId="0" applyFont="1" applyFill="1" applyBorder="1" applyAlignment="1" applyProtection="1">
      <alignment vertical="center" wrapText="1"/>
      <protection locked="0"/>
    </xf>
    <xf numFmtId="0" fontId="8" fillId="0" borderId="20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65" fillId="61" borderId="3" xfId="101" applyBorder="1">
      <alignment horizontal="center" vertical="center"/>
    </xf>
    <xf numFmtId="0" fontId="65" fillId="61" borderId="32" xfId="101" applyBorder="1">
      <alignment horizontal="center" vertical="center"/>
    </xf>
    <xf numFmtId="0" fontId="8" fillId="0" borderId="15" xfId="0" applyFont="1" applyFill="1" applyBorder="1" applyAlignment="1">
      <alignment vertical="center"/>
    </xf>
    <xf numFmtId="0" fontId="8" fillId="0" borderId="19" xfId="0" applyFont="1" applyFill="1" applyBorder="1" applyAlignment="1">
      <alignment vertical="center"/>
    </xf>
    <xf numFmtId="0" fontId="8" fillId="0" borderId="15" xfId="0" applyFont="1" applyBorder="1" applyAlignment="1">
      <alignment vertical="center"/>
    </xf>
    <xf numFmtId="0" fontId="8" fillId="0" borderId="25" xfId="0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33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44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82" xfId="0" applyFont="1" applyBorder="1" applyAlignment="1">
      <alignment vertical="center"/>
    </xf>
    <xf numFmtId="0" fontId="8" fillId="0" borderId="20" xfId="0" applyNumberFormat="1" applyFont="1" applyFill="1" applyBorder="1" applyAlignment="1" applyProtection="1">
      <alignment horizontal="center" vertical="center"/>
    </xf>
    <xf numFmtId="0" fontId="65" fillId="61" borderId="21" xfId="101" applyBorder="1" applyProtection="1">
      <alignment horizontal="center" vertical="center"/>
    </xf>
    <xf numFmtId="176" fontId="8" fillId="0" borderId="28" xfId="0" applyNumberFormat="1" applyFont="1" applyFill="1" applyBorder="1" applyAlignment="1" applyProtection="1">
      <alignment horizontal="center" vertical="center"/>
    </xf>
    <xf numFmtId="0" fontId="8" fillId="0" borderId="34" xfId="0" applyFont="1" applyFill="1" applyBorder="1" applyAlignment="1" applyProtection="1">
      <alignment horizontal="center" vertical="center"/>
      <protection locked="0"/>
    </xf>
    <xf numFmtId="0" fontId="65" fillId="61" borderId="23" xfId="101" applyBorder="1" applyProtection="1">
      <alignment horizontal="center" vertical="center"/>
    </xf>
    <xf numFmtId="0" fontId="8" fillId="0" borderId="22" xfId="0" applyNumberFormat="1" applyFont="1" applyFill="1" applyBorder="1" applyAlignment="1" applyProtection="1">
      <alignment horizontal="center" vertical="center" shrinkToFit="1"/>
    </xf>
    <xf numFmtId="0" fontId="65" fillId="61" borderId="3" xfId="101" applyBorder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0" fontId="0" fillId="0" borderId="83" xfId="0" applyFont="1" applyFill="1" applyBorder="1" applyAlignment="1" applyProtection="1">
      <alignment vertical="center" shrinkToFit="1"/>
      <protection locked="0"/>
    </xf>
    <xf numFmtId="14" fontId="8" fillId="0" borderId="0" xfId="0" applyNumberFormat="1" applyFont="1" applyFill="1" applyAlignment="1" applyProtection="1">
      <alignment horizontal="left" vertical="center"/>
    </xf>
    <xf numFmtId="0" fontId="65" fillId="61" borderId="91" xfId="101" applyBorder="1" applyProtection="1">
      <alignment horizontal="center" vertical="center"/>
    </xf>
    <xf numFmtId="0" fontId="65" fillId="61" borderId="92" xfId="101" applyBorder="1" applyProtection="1">
      <alignment horizontal="center" vertical="center"/>
    </xf>
    <xf numFmtId="0" fontId="8" fillId="0" borderId="93" xfId="0" applyNumberFormat="1" applyFont="1" applyFill="1" applyBorder="1" applyAlignment="1" applyProtection="1">
      <alignment horizontal="center" vertical="center"/>
      <protection locked="0"/>
    </xf>
    <xf numFmtId="0" fontId="8" fillId="0" borderId="94" xfId="0" applyNumberFormat="1" applyFont="1" applyFill="1" applyBorder="1" applyAlignment="1" applyProtection="1">
      <alignment horizontal="center" vertical="center"/>
      <protection locked="0"/>
    </xf>
    <xf numFmtId="0" fontId="8" fillId="0" borderId="95" xfId="0" applyNumberFormat="1" applyFont="1" applyFill="1" applyBorder="1" applyAlignment="1" applyProtection="1">
      <alignment horizontal="center" vertical="center"/>
      <protection locked="0"/>
    </xf>
    <xf numFmtId="0" fontId="8" fillId="0" borderId="96" xfId="0" applyNumberFormat="1" applyFont="1" applyFill="1" applyBorder="1" applyAlignment="1" applyProtection="1">
      <alignment horizontal="center" vertical="center"/>
      <protection locked="0"/>
    </xf>
    <xf numFmtId="0" fontId="65" fillId="61" borderId="91" xfId="101" applyBorder="1">
      <alignment horizontal="center" vertical="center"/>
    </xf>
    <xf numFmtId="0" fontId="65" fillId="61" borderId="97" xfId="101" applyBorder="1">
      <alignment horizontal="center" vertical="center"/>
    </xf>
    <xf numFmtId="0" fontId="8" fillId="0" borderId="93" xfId="0" applyFont="1" applyFill="1" applyBorder="1" applyAlignment="1">
      <alignment vertical="center"/>
    </xf>
    <xf numFmtId="0" fontId="8" fillId="0" borderId="94" xfId="0" applyFont="1" applyFill="1" applyBorder="1" applyAlignment="1">
      <alignment vertical="center"/>
    </xf>
    <xf numFmtId="0" fontId="8" fillId="0" borderId="95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98" xfId="0" applyFont="1" applyFill="1" applyBorder="1" applyAlignment="1">
      <alignment vertical="center"/>
    </xf>
    <xf numFmtId="0" fontId="8" fillId="0" borderId="99" xfId="0" applyFont="1" applyFill="1" applyBorder="1" applyAlignment="1">
      <alignment vertical="center"/>
    </xf>
    <xf numFmtId="0" fontId="65" fillId="61" borderId="97" xfId="101" applyBorder="1" applyProtection="1">
      <alignment horizontal="center" vertical="center"/>
    </xf>
    <xf numFmtId="0" fontId="8" fillId="0" borderId="93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8" fillId="0" borderId="95" xfId="0" applyFont="1" applyFill="1" applyBorder="1" applyAlignment="1">
      <alignment horizontal="center" vertical="center"/>
    </xf>
    <xf numFmtId="0" fontId="8" fillId="0" borderId="96" xfId="0" applyFont="1" applyFill="1" applyBorder="1" applyAlignment="1">
      <alignment horizontal="center" vertical="center"/>
    </xf>
    <xf numFmtId="0" fontId="8" fillId="0" borderId="22" xfId="0" applyFont="1" applyFill="1" applyBorder="1" applyAlignment="1" applyProtection="1">
      <alignment horizontal="centerContinuous" vertical="center"/>
    </xf>
    <xf numFmtId="0" fontId="8" fillId="0" borderId="33" xfId="0" applyFont="1" applyFill="1" applyBorder="1" applyAlignment="1" applyProtection="1">
      <alignment horizontal="centerContinuous" vertical="center"/>
    </xf>
    <xf numFmtId="0" fontId="8" fillId="0" borderId="23" xfId="0" applyFont="1" applyFill="1" applyBorder="1" applyAlignment="1" applyProtection="1">
      <alignment horizontal="centerContinuous" vertical="center"/>
    </xf>
    <xf numFmtId="0" fontId="8" fillId="0" borderId="20" xfId="0" applyFont="1" applyFill="1" applyBorder="1" applyAlignment="1" applyProtection="1">
      <alignment horizontal="centerContinuous" vertical="center"/>
    </xf>
    <xf numFmtId="0" fontId="8" fillId="0" borderId="27" xfId="0" applyFont="1" applyFill="1" applyBorder="1" applyAlignment="1" applyProtection="1">
      <alignment horizontal="centerContinuous" vertical="center"/>
    </xf>
    <xf numFmtId="0" fontId="8" fillId="0" borderId="21" xfId="0" applyFont="1" applyFill="1" applyBorder="1" applyAlignment="1" applyProtection="1">
      <alignment horizontal="centerContinuous" vertical="center"/>
    </xf>
    <xf numFmtId="0" fontId="65" fillId="61" borderId="3" xfId="101" applyBorder="1" applyAlignment="1">
      <alignment horizontal="centerContinuous" vertical="center"/>
    </xf>
    <xf numFmtId="0" fontId="65" fillId="61" borderId="37" xfId="101" applyBorder="1" applyAlignment="1">
      <alignment horizontal="centerContinuous" vertical="center"/>
    </xf>
    <xf numFmtId="0" fontId="65" fillId="61" borderId="38" xfId="101" applyBorder="1" applyAlignment="1">
      <alignment horizontal="centerContinuous" vertical="center"/>
    </xf>
    <xf numFmtId="0" fontId="65" fillId="61" borderId="32" xfId="101" applyBorder="1" applyAlignment="1">
      <alignment horizontal="centerContinuous" vertical="center"/>
    </xf>
    <xf numFmtId="0" fontId="65" fillId="61" borderId="3" xfId="101" applyBorder="1" applyAlignment="1" applyProtection="1">
      <alignment horizontal="centerContinuous" vertical="center"/>
    </xf>
    <xf numFmtId="0" fontId="65" fillId="61" borderId="37" xfId="101" applyBorder="1" applyAlignment="1" applyProtection="1">
      <alignment horizontal="centerContinuous" vertical="center"/>
    </xf>
    <xf numFmtId="0" fontId="65" fillId="61" borderId="38" xfId="101" applyBorder="1" applyAlignment="1" applyProtection="1">
      <alignment horizontal="centerContinuous" vertical="center"/>
    </xf>
    <xf numFmtId="14" fontId="8" fillId="0" borderId="0" xfId="0" applyNumberFormat="1" applyFont="1" applyFill="1" applyAlignment="1" applyProtection="1">
      <alignment vertical="center"/>
    </xf>
    <xf numFmtId="0" fontId="0" fillId="0" borderId="0" xfId="0" applyAlignment="1">
      <alignment horizontal="center" vertical="center"/>
    </xf>
    <xf numFmtId="0" fontId="56" fillId="0" borderId="0" xfId="0" applyFont="1" applyFill="1" applyAlignment="1" applyProtection="1">
      <alignment horizontal="center" vertical="center" shrinkToFit="1"/>
    </xf>
    <xf numFmtId="0" fontId="56" fillId="0" borderId="0" xfId="0" applyFont="1" applyFill="1" applyAlignment="1" applyProtection="1">
      <alignment horizontal="center" vertical="center"/>
    </xf>
    <xf numFmtId="0" fontId="8" fillId="0" borderId="8" xfId="0" applyFont="1" applyFill="1" applyBorder="1" applyAlignment="1" applyProtection="1">
      <alignment horizontal="center" vertical="center"/>
    </xf>
    <xf numFmtId="14" fontId="8" fillId="0" borderId="8" xfId="0" quotePrefix="1" applyNumberFormat="1" applyFont="1" applyFill="1" applyBorder="1" applyAlignment="1" applyProtection="1">
      <alignment horizontal="center" vertical="center"/>
    </xf>
    <xf numFmtId="0" fontId="8" fillId="0" borderId="9" xfId="0" applyFont="1" applyFill="1" applyBorder="1" applyAlignment="1" applyProtection="1">
      <alignment horizontal="center" vertical="center"/>
    </xf>
    <xf numFmtId="14" fontId="8" fillId="0" borderId="9" xfId="0" applyNumberFormat="1" applyFont="1" applyFill="1" applyBorder="1" applyAlignment="1" applyProtection="1">
      <alignment horizontal="center" vertical="center"/>
    </xf>
    <xf numFmtId="22" fontId="0" fillId="0" borderId="0" xfId="0" applyNumberFormat="1">
      <alignment vertical="center"/>
    </xf>
    <xf numFmtId="0" fontId="0" fillId="0" borderId="83" xfId="0" applyFont="1" applyFill="1" applyBorder="1" applyAlignment="1">
      <alignment vertical="center" shrinkToFit="1"/>
    </xf>
    <xf numFmtId="0" fontId="0" fillId="0" borderId="87" xfId="0" applyFont="1" applyFill="1" applyBorder="1" applyAlignment="1">
      <alignment vertical="center" shrinkToFit="1"/>
    </xf>
    <xf numFmtId="0" fontId="65" fillId="61" borderId="3" xfId="101" applyBorder="1" applyProtection="1">
      <alignment horizontal="center" vertical="center"/>
    </xf>
    <xf numFmtId="0" fontId="65" fillId="61" borderId="37" xfId="101" applyBorder="1" applyProtection="1">
      <alignment horizontal="center" vertical="center"/>
    </xf>
    <xf numFmtId="0" fontId="54" fillId="0" borderId="25" xfId="110" applyNumberFormat="1" applyFont="1" applyFill="1" applyBorder="1" applyAlignment="1" applyProtection="1">
      <alignment vertical="center"/>
      <protection locked="0"/>
    </xf>
    <xf numFmtId="0" fontId="54" fillId="0" borderId="15" xfId="110" applyNumberFormat="1" applyFont="1" applyFill="1" applyBorder="1" applyAlignment="1" applyProtection="1">
      <alignment vertical="center"/>
      <protection locked="0"/>
    </xf>
    <xf numFmtId="0" fontId="0" fillId="2" borderId="15" xfId="0" applyFont="1" applyFill="1" applyBorder="1" applyAlignment="1">
      <alignment vertical="center"/>
    </xf>
    <xf numFmtId="0" fontId="0" fillId="2" borderId="19" xfId="0" applyFont="1" applyFill="1" applyBorder="1" applyAlignment="1">
      <alignment vertical="center"/>
    </xf>
    <xf numFmtId="0" fontId="65" fillId="61" borderId="35" xfId="101" applyBorder="1" applyProtection="1">
      <alignment horizontal="center" vertical="center"/>
    </xf>
    <xf numFmtId="0" fontId="65" fillId="61" borderId="21" xfId="101" applyBorder="1" applyProtection="1">
      <alignment horizontal="center" vertical="center"/>
    </xf>
    <xf numFmtId="0" fontId="8" fillId="0" borderId="37" xfId="0" applyFont="1" applyFill="1" applyBorder="1" applyAlignment="1" applyProtection="1">
      <alignment vertical="center"/>
    </xf>
    <xf numFmtId="0" fontId="66" fillId="61" borderId="10" xfId="101" applyFont="1" applyBorder="1" applyProtection="1">
      <alignment horizontal="center" vertical="center"/>
      <protection locked="0"/>
    </xf>
    <xf numFmtId="0" fontId="66" fillId="61" borderId="5" xfId="101" applyFont="1" applyBorder="1" applyProtection="1">
      <alignment horizontal="center" vertical="center"/>
      <protection locked="0"/>
    </xf>
    <xf numFmtId="0" fontId="66" fillId="61" borderId="100" xfId="101" applyFont="1" applyBorder="1" applyProtection="1">
      <alignment horizontal="center" vertical="center"/>
      <protection locked="0"/>
    </xf>
    <xf numFmtId="0" fontId="66" fillId="61" borderId="12" xfId="101" applyFont="1" applyBorder="1" applyProtection="1">
      <alignment horizontal="center" vertical="center"/>
      <protection locked="0"/>
    </xf>
    <xf numFmtId="0" fontId="66" fillId="61" borderId="13" xfId="101" applyFont="1" applyBorder="1" applyProtection="1">
      <alignment horizontal="center" vertical="center"/>
      <protection locked="0"/>
    </xf>
    <xf numFmtId="0" fontId="66" fillId="61" borderId="101" xfId="101" applyFont="1" applyBorder="1" applyProtection="1">
      <alignment horizontal="center" vertical="center"/>
      <protection locked="0"/>
    </xf>
    <xf numFmtId="0" fontId="65" fillId="61" borderId="36" xfId="101" applyBorder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8" fillId="0" borderId="20" xfId="0" applyFont="1" applyFill="1" applyBorder="1" applyAlignment="1" applyProtection="1">
      <alignment horizontal="left" vertical="center" indent="1"/>
    </xf>
    <xf numFmtId="0" fontId="8" fillId="0" borderId="27" xfId="0" applyFont="1" applyFill="1" applyBorder="1" applyAlignment="1" applyProtection="1">
      <alignment horizontal="left" vertical="center" indent="1"/>
    </xf>
    <xf numFmtId="0" fontId="10" fillId="0" borderId="0" xfId="0" applyNumberFormat="1" applyFont="1" applyFill="1" applyAlignment="1" applyProtection="1">
      <alignment horizontal="left" vertical="center"/>
    </xf>
    <xf numFmtId="182" fontId="8" fillId="0" borderId="0" xfId="0" applyNumberFormat="1" applyFont="1" applyFill="1" applyAlignment="1">
      <alignment horizontal="center" vertical="center"/>
    </xf>
    <xf numFmtId="0" fontId="11" fillId="34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0" fontId="8" fillId="0" borderId="20" xfId="0" applyFont="1" applyFill="1" applyBorder="1" applyAlignment="1" applyProtection="1">
      <alignment horizontal="center" vertical="center"/>
    </xf>
    <xf numFmtId="0" fontId="8" fillId="0" borderId="27" xfId="0" applyFont="1" applyFill="1" applyBorder="1" applyAlignment="1" applyProtection="1">
      <alignment horizontal="center" vertical="center"/>
    </xf>
    <xf numFmtId="0" fontId="8" fillId="0" borderId="21" xfId="0" applyFont="1" applyFill="1" applyBorder="1" applyAlignment="1" applyProtection="1">
      <alignment horizontal="center" vertical="center"/>
    </xf>
    <xf numFmtId="14" fontId="8" fillId="0" borderId="20" xfId="0" applyNumberFormat="1" applyFont="1" applyFill="1" applyBorder="1" applyAlignment="1" applyProtection="1">
      <alignment horizontal="center" vertical="center"/>
    </xf>
    <xf numFmtId="14" fontId="8" fillId="0" borderId="21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0" fontId="66" fillId="61" borderId="11" xfId="101" applyFont="1" applyBorder="1" applyProtection="1">
      <alignment horizontal="center" vertical="center"/>
      <protection locked="0"/>
    </xf>
    <xf numFmtId="0" fontId="66" fillId="61" borderId="14" xfId="101" applyFont="1" applyBorder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14" fontId="8" fillId="0" borderId="22" xfId="0" quotePrefix="1" applyNumberFormat="1" applyFont="1" applyFill="1" applyBorder="1" applyAlignment="1" applyProtection="1">
      <alignment horizontal="center" vertical="center"/>
    </xf>
    <xf numFmtId="14" fontId="8" fillId="0" borderId="23" xfId="0" quotePrefix="1" applyNumberFormat="1" applyFont="1" applyFill="1" applyBorder="1" applyAlignment="1" applyProtection="1">
      <alignment horizontal="center" vertical="center"/>
    </xf>
    <xf numFmtId="14" fontId="8" fillId="0" borderId="55" xfId="0" applyNumberFormat="1" applyFont="1" applyFill="1" applyBorder="1" applyAlignment="1">
      <alignment vertical="center"/>
    </xf>
    <xf numFmtId="14" fontId="8" fillId="0" borderId="54" xfId="0" applyNumberFormat="1" applyFont="1" applyBorder="1" applyAlignment="1">
      <alignment vertical="center"/>
    </xf>
    <xf numFmtId="14" fontId="8" fillId="0" borderId="53" xfId="0" applyNumberFormat="1" applyFont="1" applyBorder="1" applyAlignment="1">
      <alignment vertical="center"/>
    </xf>
    <xf numFmtId="0" fontId="65" fillId="61" borderId="58" xfId="101" applyBorder="1">
      <alignment horizontal="center" vertical="center"/>
    </xf>
    <xf numFmtId="0" fontId="65" fillId="61" borderId="5" xfId="101" applyBorder="1">
      <alignment horizontal="center" vertical="center"/>
    </xf>
    <xf numFmtId="0" fontId="65" fillId="61" borderId="11" xfId="101" applyBorder="1">
      <alignment horizontal="center" vertical="center"/>
    </xf>
    <xf numFmtId="0" fontId="8" fillId="0" borderId="51" xfId="0" applyFont="1" applyFill="1" applyBorder="1" applyAlignment="1">
      <alignment vertical="center" wrapText="1"/>
    </xf>
    <xf numFmtId="0" fontId="8" fillId="0" borderId="50" xfId="0" applyFont="1" applyBorder="1" applyAlignment="1">
      <alignment vertical="center" wrapText="1"/>
    </xf>
    <xf numFmtId="0" fontId="8" fillId="0" borderId="49" xfId="0" applyFont="1" applyBorder="1" applyAlignment="1">
      <alignment vertical="center" wrapText="1"/>
    </xf>
    <xf numFmtId="0" fontId="8" fillId="0" borderId="47" xfId="0" applyFont="1" applyFill="1" applyBorder="1" applyAlignment="1">
      <alignment vertical="center" wrapText="1"/>
    </xf>
    <xf numFmtId="0" fontId="8" fillId="0" borderId="46" xfId="0" applyFont="1" applyBorder="1" applyAlignment="1">
      <alignment vertical="center" wrapText="1"/>
    </xf>
    <xf numFmtId="0" fontId="8" fillId="0" borderId="45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65" fillId="61" borderId="10" xfId="101" applyBorder="1" applyProtection="1">
      <alignment horizontal="center" vertical="center"/>
      <protection locked="0"/>
    </xf>
    <xf numFmtId="0" fontId="65" fillId="61" borderId="100" xfId="101" applyBorder="1" applyProtection="1">
      <alignment horizontal="center" vertical="center"/>
      <protection locked="0"/>
    </xf>
    <xf numFmtId="0" fontId="65" fillId="61" borderId="12" xfId="101" applyBorder="1" applyProtection="1">
      <alignment horizontal="center" vertical="center"/>
      <protection locked="0"/>
    </xf>
    <xf numFmtId="0" fontId="65" fillId="61" borderId="101" xfId="101" applyBorder="1" applyProtection="1">
      <alignment horizontal="center" vertical="center"/>
      <protection locked="0"/>
    </xf>
    <xf numFmtId="0" fontId="65" fillId="61" borderId="111" xfId="101" applyBorder="1" applyProtection="1">
      <alignment horizontal="center" vertical="center"/>
    </xf>
    <xf numFmtId="0" fontId="65" fillId="61" borderId="5" xfId="101" applyBorder="1" applyProtection="1">
      <alignment horizontal="center" vertical="center"/>
    </xf>
    <xf numFmtId="0" fontId="65" fillId="61" borderId="11" xfId="101" applyBorder="1" applyProtection="1">
      <alignment horizontal="center" vertical="center"/>
    </xf>
    <xf numFmtId="0" fontId="0" fillId="0" borderId="105" xfId="0" applyFill="1" applyBorder="1">
      <alignment vertical="center"/>
    </xf>
    <xf numFmtId="0" fontId="0" fillId="0" borderId="102" xfId="0" applyFill="1" applyBorder="1">
      <alignment vertical="center"/>
    </xf>
    <xf numFmtId="0" fontId="0" fillId="0" borderId="112" xfId="0" applyFill="1" applyBorder="1">
      <alignment vertical="center"/>
    </xf>
    <xf numFmtId="0" fontId="0" fillId="0" borderId="106" xfId="0" applyFill="1" applyBorder="1">
      <alignment vertical="center"/>
    </xf>
    <xf numFmtId="0" fontId="0" fillId="0" borderId="103" xfId="0" applyFill="1" applyBorder="1">
      <alignment vertical="center"/>
    </xf>
    <xf numFmtId="0" fontId="0" fillId="0" borderId="113" xfId="0" applyFill="1" applyBorder="1">
      <alignment vertical="center"/>
    </xf>
    <xf numFmtId="0" fontId="12" fillId="0" borderId="108" xfId="110" applyNumberFormat="1" applyFill="1" applyBorder="1" applyAlignment="1" applyProtection="1">
      <alignment vertical="center" shrinkToFit="1"/>
      <protection locked="0"/>
    </xf>
    <xf numFmtId="0" fontId="12" fillId="0" borderId="25" xfId="110" applyNumberFormat="1" applyFill="1" applyBorder="1" applyAlignment="1" applyProtection="1">
      <alignment vertical="center" shrinkToFit="1"/>
      <protection locked="0"/>
    </xf>
    <xf numFmtId="0" fontId="12" fillId="0" borderId="26" xfId="110" applyNumberFormat="1" applyFill="1" applyBorder="1" applyAlignment="1" applyProtection="1">
      <alignment vertical="center" shrinkToFit="1"/>
      <protection locked="0"/>
    </xf>
    <xf numFmtId="0" fontId="8" fillId="0" borderId="15" xfId="0" applyNumberFormat="1" applyFont="1" applyFill="1" applyBorder="1" applyAlignment="1" applyProtection="1">
      <alignment vertical="center" shrinkToFit="1"/>
      <protection locked="0"/>
    </xf>
    <xf numFmtId="0" fontId="8" fillId="0" borderId="25" xfId="0" applyNumberFormat="1" applyFont="1" applyFill="1" applyBorder="1" applyAlignment="1" applyProtection="1">
      <alignment vertical="center" shrinkToFit="1"/>
      <protection locked="0"/>
    </xf>
    <xf numFmtId="0" fontId="8" fillId="0" borderId="26" xfId="0" applyNumberFormat="1" applyFont="1" applyFill="1" applyBorder="1" applyAlignment="1" applyProtection="1">
      <alignment vertical="center" shrinkToFit="1"/>
      <protection locked="0"/>
    </xf>
    <xf numFmtId="0" fontId="8" fillId="0" borderId="108" xfId="0" applyNumberFormat="1" applyFont="1" applyFill="1" applyBorder="1" applyAlignment="1" applyProtection="1">
      <alignment vertical="center" shrinkToFit="1"/>
      <protection locked="0"/>
    </xf>
    <xf numFmtId="0" fontId="8" fillId="0" borderId="109" xfId="0" applyNumberFormat="1" applyFont="1" applyFill="1" applyBorder="1" applyAlignment="1" applyProtection="1">
      <alignment vertical="center" shrinkToFit="1"/>
      <protection locked="0"/>
    </xf>
    <xf numFmtId="0" fontId="8" fillId="0" borderId="110" xfId="0" applyNumberFormat="1" applyFont="1" applyFill="1" applyBorder="1" applyAlignment="1" applyProtection="1">
      <alignment vertical="center" shrinkToFit="1"/>
      <protection locked="0"/>
    </xf>
    <xf numFmtId="0" fontId="8" fillId="0" borderId="115" xfId="0" applyNumberFormat="1" applyFont="1" applyFill="1" applyBorder="1" applyAlignment="1" applyProtection="1">
      <alignment vertical="center" shrinkToFit="1"/>
      <protection locked="0"/>
    </xf>
    <xf numFmtId="0" fontId="8" fillId="0" borderId="44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8" fillId="0" borderId="82" xfId="0" applyNumberFormat="1" applyFont="1" applyFill="1" applyBorder="1" applyAlignment="1" applyProtection="1">
      <alignment vertical="center" shrinkToFit="1"/>
      <protection locked="0"/>
    </xf>
    <xf numFmtId="0" fontId="0" fillId="0" borderId="107" xfId="0" applyFill="1" applyBorder="1">
      <alignment vertical="center"/>
    </xf>
    <xf numFmtId="0" fontId="0" fillId="0" borderId="104" xfId="0" applyFill="1" applyBorder="1">
      <alignment vertical="center"/>
    </xf>
    <xf numFmtId="0" fontId="0" fillId="0" borderId="114" xfId="0" applyFill="1" applyBorder="1">
      <alignment vertical="center"/>
    </xf>
    <xf numFmtId="0" fontId="8" fillId="0" borderId="20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</cellXfs>
  <cellStyles count="113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H_標準 2" xfId="11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標準 2" xfId="112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647700</xdr:colOff>
      <xdr:row>14</xdr:row>
      <xdr:rowOff>157611</xdr:rowOff>
    </xdr:from>
    <xdr:ext cx="2139873" cy="2661131"/>
    <xdr:grpSp>
      <xdr:nvGrpSpPr>
        <xdr:cNvPr id="12" name="ERImg"/>
        <xdr:cNvGrpSpPr/>
      </xdr:nvGrpSpPr>
      <xdr:grpSpPr>
        <a:xfrm>
          <a:off x="10123004" y="2824611"/>
          <a:ext cx="2139873" cy="2661131"/>
          <a:chOff x="2849342" y="1832665"/>
          <a:chExt cx="2139873" cy="2661131"/>
        </a:xfrm>
      </xdr:grpSpPr>
      <xdr:sp macro="" textlink="">
        <xdr:nvSpPr>
          <xdr:cNvPr id="13" name="ColumnList"/>
          <xdr:cNvSpPr/>
        </xdr:nvSpPr>
        <xdr:spPr>
          <a:xfrm>
            <a:off x="2853794" y="2150847"/>
            <a:ext cx="2135421" cy="2342949"/>
          </a:xfrm>
          <a:custGeom>
            <a:avLst/>
            <a:gdLst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24752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079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5421"/>
              <a:gd name="connsiteY0" fmla="*/ 0 h 2342949"/>
              <a:gd name="connsiteX1" fmla="*/ 2132336 w 2135421"/>
              <a:gd name="connsiteY1" fmla="*/ 0 h 2342949"/>
              <a:gd name="connsiteX2" fmla="*/ 2132079 w 2135421"/>
              <a:gd name="connsiteY2" fmla="*/ 125015 h 2342949"/>
              <a:gd name="connsiteX3" fmla="*/ 2132336 w 2135421"/>
              <a:gd name="connsiteY3" fmla="*/ 2342949 h 2342949"/>
              <a:gd name="connsiteX4" fmla="*/ 0 w 2135421"/>
              <a:gd name="connsiteY4" fmla="*/ 2342949 h 2342949"/>
              <a:gd name="connsiteX5" fmla="*/ 0 w 2135421"/>
              <a:gd name="connsiteY5" fmla="*/ 0 h 2342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135421" h="2342949">
                <a:moveTo>
                  <a:pt x="0" y="0"/>
                </a:moveTo>
                <a:lnTo>
                  <a:pt x="2132336" y="0"/>
                </a:lnTo>
                <a:cubicBezTo>
                  <a:pt x="2132250" y="41672"/>
                  <a:pt x="2124666" y="-13488"/>
                  <a:pt x="2132079" y="125015"/>
                </a:cubicBezTo>
                <a:cubicBezTo>
                  <a:pt x="2139492" y="263518"/>
                  <a:pt x="2132250" y="1603638"/>
                  <a:pt x="2132336" y="2342949"/>
                </a:cubicBezTo>
                <a:lnTo>
                  <a:pt x="0" y="2342949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spAutoFit/>
          </a:bodyPr>
          <a:lstStyle/>
          <a:p>
            <a:pPr algn="l"/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◆自動採番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ID
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　番号
　案件名
　課コード
　課名
　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OBPM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コード
　ＰＪ状況
　顧客コード
　顧客名称</a:t>
            </a:r>
          </a:p>
          <a:p>
            <a:pPr algn="l"/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　予定期間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(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自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  <xdr:sp macro="" textlink="">
        <xdr:nvSpPr>
          <xdr:cNvPr id="14" name="TableName"/>
          <xdr:cNvSpPr/>
        </xdr:nvSpPr>
        <xdr:spPr>
          <a:xfrm>
            <a:off x="2849342" y="1832665"/>
            <a:ext cx="2136478" cy="31739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SI_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案件一覧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2</a:t>
            </a:r>
            <a:endParaRPr kumimoji="1" lang="ja-JP" altLang="en-US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</xdr:grpSp>
    <xdr:clientData/>
  </xdr:oneCellAnchor>
  <xdr:twoCellAnchor editAs="oneCell">
    <xdr:from>
      <xdr:col>6</xdr:col>
      <xdr:colOff>161098</xdr:colOff>
      <xdr:row>17</xdr:row>
      <xdr:rowOff>86553</xdr:rowOff>
    </xdr:from>
    <xdr:to>
      <xdr:col>6</xdr:col>
      <xdr:colOff>380204</xdr:colOff>
      <xdr:row>18</xdr:row>
      <xdr:rowOff>115159</xdr:rowOff>
    </xdr:to>
    <xdr:pic>
      <xdr:nvPicPr>
        <xdr:cNvPr id="22" name="ERImg_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1098" y="3325053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6</xdr:col>
      <xdr:colOff>161098</xdr:colOff>
      <xdr:row>21</xdr:row>
      <xdr:rowOff>33131</xdr:rowOff>
    </xdr:from>
    <xdr:to>
      <xdr:col>6</xdr:col>
      <xdr:colOff>380204</xdr:colOff>
      <xdr:row>22</xdr:row>
      <xdr:rowOff>61737</xdr:rowOff>
    </xdr:to>
    <xdr:pic>
      <xdr:nvPicPr>
        <xdr:cNvPr id="24" name="ERImg_0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1098" y="4033631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6</xdr:col>
      <xdr:colOff>161098</xdr:colOff>
      <xdr:row>18</xdr:row>
      <xdr:rowOff>190499</xdr:rowOff>
    </xdr:from>
    <xdr:to>
      <xdr:col>6</xdr:col>
      <xdr:colOff>380204</xdr:colOff>
      <xdr:row>20</xdr:row>
      <xdr:rowOff>28605</xdr:rowOff>
    </xdr:to>
    <xdr:pic>
      <xdr:nvPicPr>
        <xdr:cNvPr id="26" name="ERImg_1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81098" y="3619499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6</xdr:col>
      <xdr:colOff>161098</xdr:colOff>
      <xdr:row>15</xdr:row>
      <xdr:rowOff>49695</xdr:rowOff>
    </xdr:from>
    <xdr:to>
      <xdr:col>6</xdr:col>
      <xdr:colOff>380204</xdr:colOff>
      <xdr:row>16</xdr:row>
      <xdr:rowOff>78301</xdr:rowOff>
    </xdr:to>
    <xdr:pic>
      <xdr:nvPicPr>
        <xdr:cNvPr id="28" name="ERImg_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81098" y="2907195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6</xdr:col>
      <xdr:colOff>161098</xdr:colOff>
      <xdr:row>13</xdr:row>
      <xdr:rowOff>24848</xdr:rowOff>
    </xdr:from>
    <xdr:to>
      <xdr:col>6</xdr:col>
      <xdr:colOff>380204</xdr:colOff>
      <xdr:row>14</xdr:row>
      <xdr:rowOff>53454</xdr:rowOff>
    </xdr:to>
    <xdr:pic>
      <xdr:nvPicPr>
        <xdr:cNvPr id="30" name="ERImg_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81098" y="2501348"/>
          <a:ext cx="219106" cy="219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90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V62"/>
  <sheetViews>
    <sheetView showGridLines="0" topLeftCell="A2" zoomScale="115" zoomScaleNormal="115" workbookViewId="0">
      <selection activeCell="D30" sqref="D30"/>
    </sheetView>
  </sheetViews>
  <sheetFormatPr defaultRowHeight="15" customHeight="1"/>
  <cols>
    <col min="1" max="1" width="25.7109375" style="76" customWidth="1"/>
    <col min="2" max="2" width="25.7109375" style="77" customWidth="1"/>
    <col min="3" max="3" width="5.7109375" style="76" customWidth="1"/>
    <col min="4" max="4" width="25.7109375" style="76" customWidth="1"/>
    <col min="5" max="5" width="25.7109375" style="77" customWidth="1"/>
    <col min="6" max="6" width="5.7109375" style="76" customWidth="1"/>
    <col min="7" max="7" width="27.85546875" style="65" customWidth="1"/>
    <col min="8" max="8" width="13.42578125" style="65" customWidth="1"/>
    <col min="9" max="9" width="31.28515625" style="65" bestFit="1" customWidth="1"/>
    <col min="10" max="10" width="26.85546875" style="65" customWidth="1"/>
    <col min="11" max="11" width="57.28515625" style="65" bestFit="1" customWidth="1"/>
    <col min="12" max="12" width="7.42578125" customWidth="1"/>
    <col min="13" max="13" width="9.5703125" style="65" customWidth="1"/>
    <col min="14" max="15" width="26.85546875" style="65" customWidth="1"/>
    <col min="16" max="17" width="15.7109375" customWidth="1"/>
    <col min="18" max="18" width="16.42578125" style="65" customWidth="1"/>
    <col min="19" max="19" width="34.7109375" style="65" customWidth="1"/>
    <col min="20" max="20" width="5.7109375" style="63" customWidth="1"/>
    <col min="21" max="21" width="22.85546875" style="65" customWidth="1"/>
    <col min="22" max="22" width="40.28515625" style="65" customWidth="1"/>
    <col min="23" max="16384" width="9.140625" style="65"/>
  </cols>
  <sheetData>
    <row r="1" spans="1:22" s="62" customFormat="1" ht="15" customHeight="1">
      <c r="A1" s="145">
        <f>COLUMN()</f>
        <v>1</v>
      </c>
      <c r="B1" s="146">
        <f>COLUMN()</f>
        <v>2</v>
      </c>
      <c r="C1" s="145">
        <f>COLUMN()</f>
        <v>3</v>
      </c>
      <c r="D1" s="145">
        <f>COLUMN()</f>
        <v>4</v>
      </c>
      <c r="E1" s="146">
        <f>COLUMN()</f>
        <v>5</v>
      </c>
      <c r="F1" s="145">
        <f>COLUMN()</f>
        <v>6</v>
      </c>
      <c r="G1" s="62">
        <f>COLUMN()</f>
        <v>7</v>
      </c>
      <c r="H1" s="62">
        <f>COLUMN()</f>
        <v>8</v>
      </c>
      <c r="I1" s="62">
        <f>COLUMN()</f>
        <v>9</v>
      </c>
      <c r="J1" s="62">
        <f>COLUMN()</f>
        <v>10</v>
      </c>
      <c r="K1" s="62">
        <f>COLUMN()</f>
        <v>11</v>
      </c>
      <c r="L1" s="248">
        <f>COLUMN()</f>
        <v>12</v>
      </c>
      <c r="M1" s="62">
        <f>COLUMN()</f>
        <v>13</v>
      </c>
      <c r="N1" s="62">
        <f>COLUMN()</f>
        <v>14</v>
      </c>
      <c r="O1" s="62">
        <f>COLUMN()</f>
        <v>15</v>
      </c>
      <c r="P1" s="248">
        <f>COLUMN()</f>
        <v>16</v>
      </c>
      <c r="Q1" s="248">
        <f>COLUMN()</f>
        <v>17</v>
      </c>
      <c r="R1" s="62">
        <f>COLUMN()</f>
        <v>18</v>
      </c>
      <c r="S1" s="62">
        <f>COLUMN()</f>
        <v>19</v>
      </c>
      <c r="T1" s="62">
        <f>COLUMN()</f>
        <v>20</v>
      </c>
      <c r="U1" s="62">
        <f>COLUMN()</f>
        <v>21</v>
      </c>
      <c r="V1" s="62">
        <f>COLUMN()</f>
        <v>22</v>
      </c>
    </row>
    <row r="3" spans="1:22" ht="15" customHeight="1">
      <c r="A3" s="134" t="s">
        <v>250</v>
      </c>
      <c r="B3" s="135"/>
      <c r="D3" s="74" t="s">
        <v>251</v>
      </c>
      <c r="E3" s="75"/>
      <c r="G3" s="134" t="s">
        <v>262</v>
      </c>
      <c r="K3"/>
      <c r="M3" s="153" t="s">
        <v>352</v>
      </c>
      <c r="R3" s="61" t="s">
        <v>145</v>
      </c>
      <c r="S3" s="62"/>
      <c r="U3" s="61" t="s">
        <v>109</v>
      </c>
      <c r="V3" s="64" t="s">
        <v>433</v>
      </c>
    </row>
    <row r="4" spans="1:22" ht="15" customHeight="1">
      <c r="A4" s="136" t="s">
        <v>110</v>
      </c>
      <c r="B4" s="136" t="s">
        <v>111</v>
      </c>
      <c r="D4" s="127" t="s">
        <v>110</v>
      </c>
      <c r="E4" s="127" t="s">
        <v>111</v>
      </c>
      <c r="G4" s="136" t="s">
        <v>309</v>
      </c>
      <c r="H4" s="136" t="s">
        <v>306</v>
      </c>
      <c r="I4" s="136" t="s">
        <v>307</v>
      </c>
      <c r="J4" s="136" t="s">
        <v>308</v>
      </c>
      <c r="K4" s="136" t="s">
        <v>508</v>
      </c>
      <c r="M4" s="136" t="s">
        <v>316</v>
      </c>
      <c r="N4" s="136" t="s">
        <v>317</v>
      </c>
      <c r="O4"/>
      <c r="R4" s="66" t="s">
        <v>110</v>
      </c>
      <c r="S4" s="66" t="s">
        <v>111</v>
      </c>
      <c r="U4" s="66" t="s">
        <v>110</v>
      </c>
      <c r="V4" s="66" t="s">
        <v>111</v>
      </c>
    </row>
    <row r="5" spans="1:22" ht="15" customHeight="1">
      <c r="A5" s="137" t="s">
        <v>252</v>
      </c>
      <c r="B5" s="138" t="s">
        <v>253</v>
      </c>
      <c r="D5" s="144" t="s">
        <v>254</v>
      </c>
      <c r="E5" s="144" t="s">
        <v>255</v>
      </c>
      <c r="G5" s="122" t="s">
        <v>142</v>
      </c>
      <c r="H5" s="122" t="s">
        <v>305</v>
      </c>
      <c r="I5" s="124" t="s">
        <v>244</v>
      </c>
      <c r="J5" s="124" t="s">
        <v>227</v>
      </c>
      <c r="K5" s="256" t="s">
        <v>510</v>
      </c>
      <c r="M5" s="124">
        <v>2</v>
      </c>
      <c r="N5" s="124" t="s">
        <v>318</v>
      </c>
      <c r="O5"/>
      <c r="P5" s="84"/>
      <c r="Q5" s="84"/>
      <c r="R5" s="85" t="s">
        <v>221</v>
      </c>
      <c r="S5" s="70" t="s">
        <v>222</v>
      </c>
      <c r="T5" s="65"/>
      <c r="U5" s="86" t="s">
        <v>69</v>
      </c>
      <c r="V5" s="87" t="s">
        <v>239</v>
      </c>
    </row>
    <row r="6" spans="1:22" ht="15" customHeight="1">
      <c r="A6" s="137" t="s">
        <v>256</v>
      </c>
      <c r="B6" s="139" t="b">
        <v>1</v>
      </c>
      <c r="D6" s="128" t="s">
        <v>252</v>
      </c>
      <c r="E6" s="129" t="s">
        <v>253</v>
      </c>
      <c r="G6" s="122" t="s">
        <v>205</v>
      </c>
      <c r="H6" s="122" t="s">
        <v>303</v>
      </c>
      <c r="I6" s="124" t="s">
        <v>243</v>
      </c>
      <c r="J6" s="124" t="s">
        <v>370</v>
      </c>
      <c r="K6" s="256" t="s">
        <v>509</v>
      </c>
      <c r="M6" s="124">
        <v>3</v>
      </c>
      <c r="N6" s="124" t="s">
        <v>374</v>
      </c>
      <c r="O6" s="71"/>
      <c r="P6" s="84"/>
      <c r="Q6" s="84"/>
      <c r="R6" s="85" t="s">
        <v>225</v>
      </c>
      <c r="S6" s="70" t="s">
        <v>247</v>
      </c>
      <c r="T6" s="65"/>
      <c r="U6" s="86" t="s">
        <v>4</v>
      </c>
      <c r="V6" s="88">
        <v>43634</v>
      </c>
    </row>
    <row r="7" spans="1:22" ht="15" customHeight="1">
      <c r="A7" s="137" t="s">
        <v>257</v>
      </c>
      <c r="B7" s="139" t="b">
        <v>1</v>
      </c>
      <c r="D7" s="128" t="s">
        <v>256</v>
      </c>
      <c r="E7" s="130" t="b">
        <v>1</v>
      </c>
      <c r="G7" s="122" t="s">
        <v>207</v>
      </c>
      <c r="H7" s="122" t="s">
        <v>304</v>
      </c>
      <c r="I7" s="124" t="s">
        <v>223</v>
      </c>
      <c r="J7" s="124" t="s">
        <v>229</v>
      </c>
      <c r="K7" s="256" t="s">
        <v>511</v>
      </c>
      <c r="M7" s="124">
        <v>4</v>
      </c>
      <c r="N7" s="124" t="s">
        <v>319</v>
      </c>
      <c r="O7" s="71"/>
      <c r="P7" s="84"/>
      <c r="Q7" s="84"/>
      <c r="R7" s="85" t="s">
        <v>265</v>
      </c>
      <c r="S7" s="89" t="s">
        <v>248</v>
      </c>
      <c r="T7" s="65"/>
      <c r="U7" s="86" t="s">
        <v>146</v>
      </c>
      <c r="V7" s="90" t="s">
        <v>240</v>
      </c>
    </row>
    <row r="8" spans="1:22" ht="15" customHeight="1">
      <c r="A8" s="137" t="s">
        <v>258</v>
      </c>
      <c r="B8" s="138" t="s">
        <v>259</v>
      </c>
      <c r="D8" s="128" t="s">
        <v>257</v>
      </c>
      <c r="E8" s="130" t="b">
        <v>1</v>
      </c>
      <c r="G8" s="122" t="s">
        <v>245</v>
      </c>
      <c r="H8" s="122" t="s">
        <v>222</v>
      </c>
      <c r="I8" s="124"/>
      <c r="J8" s="124" t="s">
        <v>228</v>
      </c>
      <c r="K8" s="256"/>
      <c r="M8" s="124">
        <v>5</v>
      </c>
      <c r="N8" s="124" t="s">
        <v>320</v>
      </c>
      <c r="O8" s="71"/>
      <c r="P8" s="84"/>
      <c r="Q8" s="84"/>
      <c r="R8" s="85" t="s">
        <v>236</v>
      </c>
      <c r="S8" s="91"/>
      <c r="T8" s="65"/>
      <c r="U8" s="86" t="s">
        <v>7</v>
      </c>
      <c r="V8" s="83">
        <v>43634</v>
      </c>
    </row>
    <row r="9" spans="1:22" ht="15" customHeight="1">
      <c r="A9" s="137" t="s">
        <v>260</v>
      </c>
      <c r="B9" s="138" t="s">
        <v>261</v>
      </c>
      <c r="D9" s="128" t="s">
        <v>258</v>
      </c>
      <c r="E9" s="129" t="s">
        <v>259</v>
      </c>
      <c r="G9" s="122" t="s">
        <v>143</v>
      </c>
      <c r="H9" s="122"/>
      <c r="I9" s="124"/>
      <c r="J9" s="124"/>
      <c r="K9" s="256"/>
      <c r="M9" s="124">
        <v>6</v>
      </c>
      <c r="N9" s="124" t="s">
        <v>405</v>
      </c>
      <c r="O9" s="71"/>
      <c r="P9" s="84"/>
      <c r="Q9" s="84"/>
      <c r="R9" s="85" t="s">
        <v>237</v>
      </c>
      <c r="S9" s="91"/>
      <c r="T9" s="65"/>
      <c r="U9" s="86" t="s">
        <v>6</v>
      </c>
      <c r="V9" s="83" t="s">
        <v>246</v>
      </c>
    </row>
    <row r="10" spans="1:22" ht="15" customHeight="1">
      <c r="A10" s="137"/>
      <c r="B10" s="138"/>
      <c r="D10" s="128"/>
      <c r="E10" s="129"/>
      <c r="G10" s="124" t="s">
        <v>351</v>
      </c>
      <c r="H10" s="122"/>
      <c r="I10" s="124"/>
      <c r="J10" s="124"/>
      <c r="K10" s="256"/>
      <c r="M10" s="124">
        <v>7</v>
      </c>
      <c r="N10" s="124" t="s">
        <v>375</v>
      </c>
      <c r="O10" s="71"/>
      <c r="P10" s="84"/>
      <c r="Q10" s="84"/>
      <c r="R10" s="85"/>
      <c r="S10" s="91"/>
      <c r="T10" s="65"/>
      <c r="U10" s="86"/>
      <c r="V10" s="83"/>
    </row>
    <row r="11" spans="1:22" ht="15" customHeight="1">
      <c r="A11" s="137" t="s">
        <v>358</v>
      </c>
      <c r="B11" s="122" t="s">
        <v>303</v>
      </c>
      <c r="D11" s="128"/>
      <c r="E11" s="129"/>
      <c r="G11" s="124"/>
      <c r="H11" s="125"/>
      <c r="I11" s="124"/>
      <c r="J11" s="124"/>
      <c r="K11" s="256"/>
      <c r="M11" s="124">
        <v>8</v>
      </c>
      <c r="N11" s="124" t="s">
        <v>321</v>
      </c>
      <c r="O11" s="71"/>
      <c r="P11" s="84"/>
      <c r="Q11" s="84"/>
      <c r="R11" s="85" t="s">
        <v>226</v>
      </c>
      <c r="S11" s="91"/>
      <c r="T11" s="65"/>
      <c r="U11" s="86"/>
      <c r="V11" s="83"/>
    </row>
    <row r="12" spans="1:22" ht="15" customHeight="1">
      <c r="A12" s="137" t="s">
        <v>263</v>
      </c>
      <c r="B12" s="213" t="s">
        <v>354</v>
      </c>
      <c r="D12" s="128"/>
      <c r="E12" s="129"/>
      <c r="G12" s="123"/>
      <c r="H12" s="126"/>
      <c r="I12" s="123"/>
      <c r="J12" s="123"/>
      <c r="K12" s="257"/>
      <c r="M12" s="124">
        <v>9</v>
      </c>
      <c r="N12" s="124" t="s">
        <v>322</v>
      </c>
      <c r="O12" s="71"/>
      <c r="P12" s="84"/>
      <c r="Q12" s="84"/>
      <c r="R12" s="85" t="s">
        <v>119</v>
      </c>
      <c r="S12" s="91"/>
      <c r="T12" s="65"/>
      <c r="U12" s="86"/>
      <c r="V12" s="92" t="e">
        <f>プロジェクト名 &amp; IF(システム名="",""," ["&amp;システム名&amp;"]") &amp; "DB設計書"</f>
        <v>#NAME?</v>
      </c>
    </row>
    <row r="13" spans="1:22" ht="15" customHeight="1">
      <c r="A13" s="137" t="s">
        <v>264</v>
      </c>
      <c r="B13" s="138" t="s">
        <v>355</v>
      </c>
      <c r="D13" s="128"/>
      <c r="E13" s="129"/>
      <c r="H13"/>
      <c r="M13" s="124">
        <v>10</v>
      </c>
      <c r="N13" s="124" t="s">
        <v>323</v>
      </c>
      <c r="P13" s="84"/>
      <c r="Q13" s="84"/>
      <c r="R13" s="85" t="s">
        <v>141</v>
      </c>
      <c r="S13" s="91"/>
      <c r="T13" s="65"/>
    </row>
    <row r="14" spans="1:22" ht="15" customHeight="1">
      <c r="A14" s="137" t="s">
        <v>266</v>
      </c>
      <c r="B14" s="138" t="s">
        <v>461</v>
      </c>
      <c r="D14" s="128"/>
      <c r="E14" s="129"/>
      <c r="H14"/>
      <c r="M14" s="124">
        <v>11</v>
      </c>
      <c r="N14" s="148" t="s">
        <v>397</v>
      </c>
      <c r="P14" s="84"/>
      <c r="Q14" s="84"/>
      <c r="R14" s="85" t="s">
        <v>230</v>
      </c>
      <c r="S14" s="91"/>
      <c r="T14" s="65"/>
      <c r="U14" s="68"/>
      <c r="V14" s="68"/>
    </row>
    <row r="15" spans="1:22" ht="15" customHeight="1">
      <c r="A15" s="137" t="s">
        <v>353</v>
      </c>
      <c r="B15" s="138" t="s">
        <v>359</v>
      </c>
      <c r="D15" s="128"/>
      <c r="E15" s="129"/>
      <c r="H15"/>
      <c r="M15" s="124">
        <v>12</v>
      </c>
      <c r="N15" s="124" t="s">
        <v>324</v>
      </c>
      <c r="P15" s="84"/>
      <c r="Q15" s="84"/>
      <c r="R15" s="85" t="s">
        <v>231</v>
      </c>
      <c r="S15" s="70" t="s">
        <v>241</v>
      </c>
      <c r="T15" s="65"/>
      <c r="U15" s="68"/>
      <c r="V15" s="68"/>
    </row>
    <row r="16" spans="1:22" ht="15" customHeight="1">
      <c r="A16" s="140" t="s">
        <v>350</v>
      </c>
      <c r="B16" s="138"/>
      <c r="D16" s="128"/>
      <c r="E16" s="129"/>
      <c r="H16"/>
      <c r="M16" s="124">
        <v>13</v>
      </c>
      <c r="N16" s="124" t="s">
        <v>325</v>
      </c>
      <c r="P16" s="84"/>
      <c r="Q16" s="84"/>
      <c r="R16" s="85" t="s">
        <v>232</v>
      </c>
      <c r="S16" s="70" t="s">
        <v>242</v>
      </c>
      <c r="T16" s="65"/>
      <c r="U16" s="68"/>
      <c r="V16" s="68"/>
    </row>
    <row r="17" spans="1:22" ht="15" customHeight="1">
      <c r="A17" s="140" t="s">
        <v>349</v>
      </c>
      <c r="B17" s="138"/>
      <c r="D17" s="144"/>
      <c r="E17" s="144"/>
      <c r="M17" s="124">
        <v>14</v>
      </c>
      <c r="N17" s="124" t="s">
        <v>326</v>
      </c>
      <c r="P17" s="84"/>
      <c r="Q17" s="84"/>
      <c r="R17" s="85"/>
      <c r="S17" s="70"/>
      <c r="T17" s="65"/>
      <c r="U17" s="68"/>
      <c r="V17" s="68"/>
    </row>
    <row r="18" spans="1:22" ht="15" customHeight="1">
      <c r="A18" s="137" t="s">
        <v>275</v>
      </c>
      <c r="B18" s="138" t="s">
        <v>356</v>
      </c>
      <c r="D18" s="131"/>
      <c r="E18" s="129"/>
      <c r="M18" s="124">
        <v>16</v>
      </c>
      <c r="N18" s="124" t="s">
        <v>327</v>
      </c>
      <c r="P18" s="84"/>
      <c r="Q18" s="84"/>
      <c r="T18" s="65"/>
      <c r="U18" s="68"/>
      <c r="V18" s="68"/>
    </row>
    <row r="19" spans="1:22" ht="15" customHeight="1">
      <c r="A19" s="137" t="s">
        <v>276</v>
      </c>
      <c r="B19" s="138" t="s">
        <v>357</v>
      </c>
      <c r="D19" s="131"/>
      <c r="E19" s="129"/>
      <c r="H19" s="93"/>
      <c r="M19" s="124">
        <v>17</v>
      </c>
      <c r="N19" s="124" t="s">
        <v>328</v>
      </c>
      <c r="P19" s="84"/>
      <c r="Q19" s="84"/>
      <c r="R19" s="262" t="s">
        <v>112</v>
      </c>
      <c r="S19" s="263"/>
      <c r="T19" s="65"/>
      <c r="U19" s="68"/>
      <c r="V19" s="68"/>
    </row>
    <row r="20" spans="1:22" ht="15" customHeight="1">
      <c r="A20" s="137"/>
      <c r="B20" s="138"/>
      <c r="D20" s="131"/>
      <c r="E20" s="129"/>
      <c r="H20" s="93"/>
      <c r="M20" s="124">
        <v>18</v>
      </c>
      <c r="N20" s="124" t="s">
        <v>329</v>
      </c>
      <c r="P20" s="84"/>
      <c r="Q20" s="84"/>
      <c r="R20" s="69" t="s">
        <v>233</v>
      </c>
      <c r="S20" s="70">
        <v>10</v>
      </c>
      <c r="T20" s="65"/>
      <c r="U20" s="68"/>
      <c r="V20" s="68"/>
    </row>
    <row r="21" spans="1:22" ht="15" customHeight="1">
      <c r="A21" s="137" t="s">
        <v>483</v>
      </c>
      <c r="B21" s="141" t="s">
        <v>484</v>
      </c>
      <c r="D21" s="131"/>
      <c r="E21" s="129"/>
      <c r="H21" s="93"/>
      <c r="M21" s="124">
        <v>19</v>
      </c>
      <c r="N21" s="124" t="s">
        <v>330</v>
      </c>
      <c r="P21" s="84"/>
      <c r="Q21" s="84"/>
      <c r="R21" s="69" t="s">
        <v>72</v>
      </c>
      <c r="S21" s="70">
        <v>8192</v>
      </c>
      <c r="T21" s="65"/>
      <c r="U21" s="68"/>
      <c r="V21" s="68"/>
    </row>
    <row r="22" spans="1:22" ht="15" customHeight="1">
      <c r="A22" s="140" t="s">
        <v>277</v>
      </c>
      <c r="B22" s="141" t="s">
        <v>300</v>
      </c>
      <c r="D22" s="128"/>
      <c r="E22" s="129"/>
      <c r="H22" s="93"/>
      <c r="M22" s="124">
        <v>20</v>
      </c>
      <c r="N22" s="124" t="s">
        <v>331</v>
      </c>
      <c r="P22" s="84"/>
      <c r="Q22" s="84"/>
      <c r="R22" s="69"/>
      <c r="S22" s="70"/>
      <c r="T22" s="65"/>
      <c r="U22" s="68"/>
      <c r="V22" s="68"/>
    </row>
    <row r="23" spans="1:22" ht="15" customHeight="1">
      <c r="A23" s="140" t="s">
        <v>278</v>
      </c>
      <c r="B23" s="138" t="s">
        <v>301</v>
      </c>
      <c r="D23" s="131"/>
      <c r="E23" s="129"/>
      <c r="H23" s="93"/>
      <c r="M23" s="124">
        <v>21</v>
      </c>
      <c r="N23" s="124" t="s">
        <v>332</v>
      </c>
      <c r="P23" s="84"/>
      <c r="Q23" s="84"/>
      <c r="T23" s="65"/>
      <c r="U23" s="68"/>
      <c r="V23" s="68"/>
    </row>
    <row r="24" spans="1:22" ht="15" customHeight="1">
      <c r="A24" s="137" t="s">
        <v>280</v>
      </c>
      <c r="B24" s="138" t="s">
        <v>302</v>
      </c>
      <c r="D24" s="131"/>
      <c r="E24" s="129"/>
      <c r="H24" s="93"/>
      <c r="M24" s="124">
        <v>64</v>
      </c>
      <c r="N24" s="124" t="s">
        <v>333</v>
      </c>
      <c r="P24" s="84"/>
      <c r="Q24" s="84"/>
      <c r="R24" s="262"/>
      <c r="S24" s="263"/>
      <c r="T24" s="65"/>
      <c r="U24" s="68"/>
      <c r="V24" s="68"/>
    </row>
    <row r="25" spans="1:22" ht="15" customHeight="1">
      <c r="A25" s="137" t="s">
        <v>281</v>
      </c>
      <c r="B25" s="152">
        <v>44287</v>
      </c>
      <c r="D25" s="128"/>
      <c r="E25" s="129"/>
      <c r="H25" s="93"/>
      <c r="M25" s="124">
        <v>72</v>
      </c>
      <c r="N25" s="124" t="s">
        <v>334</v>
      </c>
      <c r="P25" s="84"/>
      <c r="Q25" s="84"/>
      <c r="R25" s="69"/>
      <c r="S25" s="70"/>
      <c r="T25" s="65"/>
    </row>
    <row r="26" spans="1:22" ht="15" customHeight="1">
      <c r="A26" s="137"/>
      <c r="B26" s="138"/>
      <c r="D26" s="128"/>
      <c r="E26" s="129"/>
      <c r="H26" s="93"/>
      <c r="M26" s="124">
        <v>128</v>
      </c>
      <c r="N26" s="124" t="s">
        <v>335</v>
      </c>
      <c r="P26" s="84"/>
      <c r="Q26" s="84"/>
      <c r="R26" s="69" t="s">
        <v>72</v>
      </c>
      <c r="S26" s="70">
        <v>8192</v>
      </c>
      <c r="T26" s="65"/>
      <c r="U26" s="68"/>
      <c r="V26" s="68"/>
    </row>
    <row r="27" spans="1:22" ht="15" customHeight="1">
      <c r="A27" s="137" t="s">
        <v>479</v>
      </c>
      <c r="B27" s="138" t="s">
        <v>480</v>
      </c>
      <c r="D27" s="128"/>
      <c r="E27" s="129"/>
      <c r="H27" s="93"/>
      <c r="M27" s="124">
        <v>129</v>
      </c>
      <c r="N27" s="124" t="s">
        <v>336</v>
      </c>
      <c r="P27" s="84"/>
      <c r="Q27" s="84"/>
      <c r="R27" s="69" t="s">
        <v>234</v>
      </c>
      <c r="S27" s="70">
        <v>1</v>
      </c>
      <c r="T27" s="65"/>
      <c r="U27" s="68"/>
      <c r="V27" s="68"/>
    </row>
    <row r="28" spans="1:22" ht="15" customHeight="1">
      <c r="A28" s="137" t="s">
        <v>481</v>
      </c>
      <c r="B28" s="138" t="s">
        <v>482</v>
      </c>
      <c r="D28" s="128"/>
      <c r="E28" s="129"/>
      <c r="H28" s="71"/>
      <c r="M28" s="124">
        <v>130</v>
      </c>
      <c r="N28" s="124" t="s">
        <v>337</v>
      </c>
      <c r="P28" s="84"/>
      <c r="Q28" s="84"/>
      <c r="T28" s="65"/>
      <c r="U28" s="68"/>
      <c r="V28" s="68"/>
    </row>
    <row r="29" spans="1:22" ht="15" customHeight="1">
      <c r="A29" s="137"/>
      <c r="B29" s="138"/>
      <c r="D29" s="128"/>
      <c r="E29" s="129"/>
      <c r="H29" s="71"/>
      <c r="M29" s="124">
        <v>131</v>
      </c>
      <c r="N29" s="124" t="s">
        <v>338</v>
      </c>
      <c r="P29" s="84"/>
      <c r="Q29" s="84"/>
      <c r="T29" s="65"/>
    </row>
    <row r="30" spans="1:22" ht="15" customHeight="1">
      <c r="A30" s="137"/>
      <c r="B30" s="138"/>
      <c r="D30" s="128"/>
      <c r="E30" s="129"/>
      <c r="H30" s="71"/>
      <c r="M30" s="124">
        <v>132</v>
      </c>
      <c r="N30" s="124" t="s">
        <v>339</v>
      </c>
      <c r="P30" s="84"/>
      <c r="Q30" s="84"/>
      <c r="T30" s="65"/>
    </row>
    <row r="31" spans="1:22" ht="15" customHeight="1">
      <c r="A31" s="137" t="s">
        <v>429</v>
      </c>
      <c r="B31" s="138" t="s">
        <v>430</v>
      </c>
      <c r="D31" s="128"/>
      <c r="E31" s="129"/>
      <c r="H31" s="71"/>
      <c r="M31" s="124">
        <v>133</v>
      </c>
      <c r="N31" s="124" t="s">
        <v>340</v>
      </c>
      <c r="P31" s="84"/>
      <c r="Q31" s="84"/>
      <c r="T31" s="65"/>
    </row>
    <row r="32" spans="1:22" ht="15" customHeight="1">
      <c r="A32" s="137" t="s">
        <v>425</v>
      </c>
      <c r="B32" s="138" t="s">
        <v>427</v>
      </c>
      <c r="D32" s="128"/>
      <c r="E32" s="129"/>
      <c r="H32" s="71"/>
      <c r="M32" s="124">
        <v>134</v>
      </c>
      <c r="N32" s="124" t="s">
        <v>341</v>
      </c>
      <c r="P32" s="84"/>
      <c r="Q32" s="84"/>
      <c r="T32" s="65"/>
    </row>
    <row r="33" spans="1:20" ht="15" customHeight="1">
      <c r="A33" s="137" t="s">
        <v>426</v>
      </c>
      <c r="B33" s="138" t="s">
        <v>428</v>
      </c>
      <c r="D33" s="128"/>
      <c r="E33" s="129"/>
      <c r="H33" s="71"/>
      <c r="M33" s="124">
        <v>135</v>
      </c>
      <c r="N33" s="124" t="s">
        <v>342</v>
      </c>
      <c r="P33" s="84"/>
      <c r="Q33" s="84"/>
      <c r="T33" s="65"/>
    </row>
    <row r="34" spans="1:20" ht="15" customHeight="1">
      <c r="A34" s="137" t="s">
        <v>432</v>
      </c>
      <c r="B34" s="138" t="s">
        <v>431</v>
      </c>
      <c r="D34" s="128"/>
      <c r="E34" s="129"/>
      <c r="H34" s="71"/>
      <c r="M34" s="124">
        <v>136</v>
      </c>
      <c r="N34" s="124" t="s">
        <v>343</v>
      </c>
      <c r="P34" s="84"/>
      <c r="Q34" s="84"/>
      <c r="T34" s="65"/>
    </row>
    <row r="35" spans="1:20" ht="15" customHeight="1">
      <c r="A35" s="137" t="s">
        <v>470</v>
      </c>
      <c r="B35" s="138" t="s">
        <v>477</v>
      </c>
      <c r="D35" s="128"/>
      <c r="E35" s="129"/>
      <c r="H35" s="71"/>
      <c r="M35" s="124">
        <v>138</v>
      </c>
      <c r="N35" s="124" t="s">
        <v>344</v>
      </c>
      <c r="P35" s="84"/>
      <c r="Q35" s="84"/>
      <c r="T35" s="65"/>
    </row>
    <row r="36" spans="1:20" ht="15" customHeight="1">
      <c r="A36" s="137" t="s">
        <v>467</v>
      </c>
      <c r="B36" s="138" t="s">
        <v>478</v>
      </c>
      <c r="D36" s="128"/>
      <c r="E36" s="129"/>
      <c r="H36" s="71"/>
      <c r="M36" s="124">
        <v>139</v>
      </c>
      <c r="N36" s="124" t="s">
        <v>345</v>
      </c>
      <c r="P36" s="84"/>
      <c r="Q36" s="84"/>
      <c r="T36" s="65"/>
    </row>
    <row r="37" spans="1:20" ht="15" customHeight="1">
      <c r="A37" s="137" t="s">
        <v>471</v>
      </c>
      <c r="B37" s="138" t="s">
        <v>468</v>
      </c>
      <c r="D37" s="128"/>
      <c r="E37" s="129"/>
      <c r="H37" s="71"/>
      <c r="M37" s="124">
        <v>200</v>
      </c>
      <c r="N37" s="124" t="s">
        <v>346</v>
      </c>
      <c r="P37" s="84"/>
      <c r="Q37" s="84"/>
      <c r="T37" s="65"/>
    </row>
    <row r="38" spans="1:20" ht="15" customHeight="1">
      <c r="A38" s="137" t="s">
        <v>469</v>
      </c>
      <c r="B38" s="138" t="s">
        <v>472</v>
      </c>
      <c r="D38" s="128"/>
      <c r="E38" s="129"/>
      <c r="H38" s="71"/>
      <c r="M38" s="124">
        <v>201</v>
      </c>
      <c r="N38" s="124" t="s">
        <v>347</v>
      </c>
      <c r="P38" s="84"/>
      <c r="Q38" s="84"/>
      <c r="T38" s="65"/>
    </row>
    <row r="39" spans="1:20" ht="15" customHeight="1">
      <c r="A39" s="137"/>
      <c r="B39" s="138"/>
      <c r="D39" s="128"/>
      <c r="E39" s="129"/>
      <c r="H39" s="71"/>
      <c r="M39" s="124">
        <v>202</v>
      </c>
      <c r="N39" s="124" t="s">
        <v>401</v>
      </c>
      <c r="P39" s="84"/>
      <c r="Q39" s="84"/>
      <c r="T39" s="65"/>
    </row>
    <row r="40" spans="1:20" ht="15" customHeight="1">
      <c r="A40" s="137" t="s">
        <v>408</v>
      </c>
      <c r="B40" s="138" t="s">
        <v>409</v>
      </c>
      <c r="D40" s="128"/>
      <c r="E40" s="129"/>
      <c r="H40" s="71"/>
      <c r="M40" s="124">
        <v>203</v>
      </c>
      <c r="N40" s="124" t="s">
        <v>404</v>
      </c>
      <c r="P40" s="84"/>
      <c r="Q40" s="84"/>
      <c r="T40" s="65"/>
    </row>
    <row r="41" spans="1:20" ht="15" customHeight="1">
      <c r="A41" s="137" t="s">
        <v>407</v>
      </c>
      <c r="B41" s="138" t="s">
        <v>410</v>
      </c>
      <c r="D41" s="128"/>
      <c r="E41" s="129"/>
      <c r="H41" s="71"/>
      <c r="M41" s="124">
        <v>204</v>
      </c>
      <c r="N41" s="124" t="s">
        <v>348</v>
      </c>
      <c r="P41" s="84"/>
      <c r="Q41" s="84"/>
      <c r="T41" s="65"/>
    </row>
    <row r="42" spans="1:20" ht="15" customHeight="1">
      <c r="A42" s="137" t="s">
        <v>411</v>
      </c>
      <c r="B42" s="138" t="s">
        <v>412</v>
      </c>
      <c r="D42" s="128"/>
      <c r="E42" s="129"/>
      <c r="H42" s="71"/>
      <c r="M42" s="123">
        <v>205</v>
      </c>
      <c r="N42" s="123" t="s">
        <v>406</v>
      </c>
      <c r="P42" s="84"/>
      <c r="Q42" s="84"/>
      <c r="T42" s="65"/>
    </row>
    <row r="43" spans="1:20" ht="15" customHeight="1">
      <c r="A43" s="137" t="s">
        <v>413</v>
      </c>
      <c r="B43" s="138" t="s">
        <v>414</v>
      </c>
      <c r="D43" s="128"/>
      <c r="E43" s="129"/>
      <c r="H43" s="71"/>
      <c r="P43" s="84"/>
      <c r="Q43" s="84"/>
      <c r="T43" s="65"/>
    </row>
    <row r="44" spans="1:20" ht="15" customHeight="1">
      <c r="A44" s="137" t="s">
        <v>415</v>
      </c>
      <c r="B44" s="138" t="s">
        <v>466</v>
      </c>
      <c r="D44" s="128"/>
      <c r="E44" s="129"/>
      <c r="H44" s="71"/>
      <c r="P44" s="84"/>
      <c r="Q44" s="84"/>
      <c r="T44" s="65"/>
    </row>
    <row r="45" spans="1:20" ht="15" customHeight="1">
      <c r="A45" s="137" t="s">
        <v>416</v>
      </c>
      <c r="B45" s="138" t="s">
        <v>417</v>
      </c>
      <c r="D45" s="128"/>
      <c r="E45" s="129"/>
      <c r="H45" s="71"/>
      <c r="P45" s="84"/>
      <c r="Q45" s="84"/>
      <c r="T45" s="65"/>
    </row>
    <row r="46" spans="1:20" ht="15" customHeight="1">
      <c r="A46" s="137" t="s">
        <v>419</v>
      </c>
      <c r="B46" s="138" t="s">
        <v>473</v>
      </c>
      <c r="D46" s="128"/>
      <c r="E46" s="129"/>
      <c r="H46" s="71"/>
      <c r="P46" s="84"/>
      <c r="Q46" s="84"/>
      <c r="T46" s="65"/>
    </row>
    <row r="47" spans="1:20" ht="15" customHeight="1">
      <c r="A47" s="137" t="s">
        <v>420</v>
      </c>
      <c r="B47" s="138" t="s">
        <v>422</v>
      </c>
      <c r="D47" s="128"/>
      <c r="E47" s="129"/>
      <c r="H47" s="71"/>
      <c r="P47" s="84"/>
      <c r="Q47" s="84"/>
      <c r="T47" s="65"/>
    </row>
    <row r="48" spans="1:20" ht="15" customHeight="1">
      <c r="A48" s="137" t="s">
        <v>421</v>
      </c>
      <c r="B48" s="138" t="s">
        <v>423</v>
      </c>
      <c r="D48" s="128"/>
      <c r="E48" s="129"/>
      <c r="H48" s="71"/>
      <c r="P48" s="84"/>
      <c r="Q48" s="84"/>
      <c r="T48" s="65"/>
    </row>
    <row r="49" spans="1:22" ht="15" customHeight="1">
      <c r="A49" s="137"/>
      <c r="B49" s="138"/>
      <c r="D49" s="128"/>
      <c r="E49" s="129"/>
      <c r="H49" s="71"/>
      <c r="P49" s="84"/>
      <c r="Q49" s="84"/>
      <c r="T49" s="65"/>
    </row>
    <row r="50" spans="1:22" ht="15" customHeight="1">
      <c r="A50" s="137" t="s">
        <v>465</v>
      </c>
      <c r="B50" s="138" t="s">
        <v>474</v>
      </c>
      <c r="D50" s="128"/>
      <c r="E50" s="129"/>
      <c r="H50" s="71"/>
      <c r="P50" s="84"/>
      <c r="Q50" s="84"/>
      <c r="T50" s="65"/>
    </row>
    <row r="51" spans="1:22" ht="15" customHeight="1">
      <c r="A51" s="137" t="s">
        <v>475</v>
      </c>
      <c r="B51" s="138" t="s">
        <v>476</v>
      </c>
      <c r="D51" s="128"/>
      <c r="E51" s="129"/>
      <c r="H51" s="71"/>
      <c r="P51" s="84"/>
      <c r="Q51" s="84"/>
      <c r="T51" s="65"/>
    </row>
    <row r="52" spans="1:22" ht="15" customHeight="1">
      <c r="A52" s="137"/>
      <c r="B52" s="138"/>
      <c r="D52" s="128"/>
      <c r="E52" s="129"/>
      <c r="H52" s="71"/>
      <c r="P52" s="84"/>
      <c r="Q52" s="84"/>
      <c r="T52" s="65"/>
      <c r="U52" s="68"/>
      <c r="V52" s="68"/>
    </row>
    <row r="53" spans="1:22" ht="15" customHeight="1">
      <c r="A53" s="137" t="s">
        <v>502</v>
      </c>
      <c r="B53" s="138" t="s">
        <v>506</v>
      </c>
      <c r="D53" s="128"/>
      <c r="E53" s="129"/>
      <c r="H53" s="71"/>
      <c r="P53" s="84"/>
      <c r="Q53" s="84"/>
      <c r="T53" s="65"/>
      <c r="U53" s="68"/>
      <c r="V53" s="68"/>
    </row>
    <row r="54" spans="1:22" ht="15" customHeight="1">
      <c r="A54" s="137" t="s">
        <v>503</v>
      </c>
      <c r="B54" s="138" t="s">
        <v>505</v>
      </c>
      <c r="D54" s="128"/>
      <c r="E54" s="129"/>
      <c r="H54" s="71"/>
      <c r="P54" s="84"/>
      <c r="Q54" s="84"/>
      <c r="T54" s="65"/>
      <c r="U54" s="68"/>
      <c r="V54" s="68"/>
    </row>
    <row r="55" spans="1:22" ht="15" customHeight="1">
      <c r="A55" s="137" t="s">
        <v>504</v>
      </c>
      <c r="B55" s="138" t="s">
        <v>505</v>
      </c>
      <c r="D55" s="128"/>
      <c r="E55" s="129"/>
      <c r="H55" s="71"/>
      <c r="P55" s="84"/>
      <c r="Q55" s="84"/>
      <c r="T55" s="65"/>
    </row>
    <row r="56" spans="1:22" ht="15" customHeight="1">
      <c r="A56" s="137"/>
      <c r="B56" s="138"/>
      <c r="D56" s="128"/>
      <c r="E56" s="129"/>
      <c r="H56" s="71"/>
      <c r="P56" s="84"/>
      <c r="Q56" s="84"/>
      <c r="T56" s="65"/>
    </row>
    <row r="57" spans="1:22" ht="15" customHeight="1">
      <c r="A57" s="137"/>
      <c r="B57" s="138"/>
      <c r="D57" s="128"/>
      <c r="E57" s="129"/>
      <c r="H57" s="71"/>
      <c r="P57" s="84"/>
      <c r="Q57" s="84"/>
      <c r="T57" s="65"/>
    </row>
    <row r="58" spans="1:22" ht="15" customHeight="1">
      <c r="A58" s="137"/>
      <c r="B58" s="138"/>
      <c r="D58" s="128"/>
      <c r="E58" s="129"/>
      <c r="H58" s="71"/>
      <c r="P58" s="84"/>
      <c r="Q58" s="84"/>
      <c r="T58" s="65"/>
    </row>
    <row r="59" spans="1:22" ht="15" customHeight="1">
      <c r="A59" s="137"/>
      <c r="B59" s="138"/>
      <c r="D59" s="128"/>
      <c r="E59" s="129"/>
      <c r="H59" s="71"/>
      <c r="P59" s="84"/>
      <c r="Q59" s="84"/>
      <c r="T59" s="65"/>
    </row>
    <row r="60" spans="1:22" ht="15" customHeight="1">
      <c r="A60" s="137"/>
      <c r="B60" s="138"/>
      <c r="D60" s="128"/>
      <c r="E60" s="129"/>
      <c r="H60" s="71"/>
      <c r="P60" s="84"/>
      <c r="Q60" s="84"/>
      <c r="T60" s="65"/>
    </row>
    <row r="61" spans="1:22" ht="15" customHeight="1">
      <c r="A61" s="137"/>
      <c r="B61" s="138"/>
      <c r="D61" s="128"/>
      <c r="E61" s="129"/>
      <c r="H61" s="71"/>
      <c r="P61" s="84"/>
      <c r="Q61" s="84"/>
      <c r="T61" s="65"/>
    </row>
    <row r="62" spans="1:22" ht="15" customHeight="1">
      <c r="A62" s="142"/>
      <c r="B62" s="143"/>
      <c r="D62" s="132"/>
      <c r="E62" s="133"/>
      <c r="H62" s="71"/>
      <c r="P62" s="84"/>
      <c r="Q62" s="84"/>
      <c r="T62" s="65"/>
    </row>
  </sheetData>
  <sheetProtection selectLockedCells="1"/>
  <mergeCells count="2">
    <mergeCell ref="R19:S19"/>
    <mergeCell ref="R24:S24"/>
  </mergeCells>
  <phoneticPr fontId="4"/>
  <dataValidations count="11">
    <dataValidation type="list" allowBlank="1" showErrorMessage="1" prompt="利用DB" sqref="B11">
      <formula1>DBList</formula1>
    </dataValidation>
    <dataValidation type="list" allowBlank="1" showErrorMessage="1" prompt="利用DB" sqref="B12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E7:E8 B6:B7 E30:E33">
      <formula1>"TRUE,FALSE"</formula1>
    </dataValidation>
    <dataValidation type="list" showInputMessage="1" showErrorMessage="1" sqref="S17">
      <formula1>"Laravel"</formula1>
    </dataValidation>
    <dataValidation type="list" showInputMessage="1" showErrorMessage="1" sqref="S16">
      <formula1>"CRLF,CR,LF"</formula1>
    </dataValidation>
    <dataValidation type="list" showInputMessage="1" showErrorMessage="1" sqref="S15">
      <formula1>"Shift-JIS,EUC-JP,UTF-8"</formula1>
    </dataValidation>
    <dataValidation showInputMessage="1" showErrorMessage="1" sqref="S14"/>
    <dataValidation imeMode="off" allowBlank="1" showInputMessage="1" showErrorMessage="1" sqref="S8"/>
    <dataValidation imeMode="disabled" allowBlank="1" showInputMessage="1" showErrorMessage="1" sqref="S6:S7 S9:S13"/>
    <dataValidation type="list" allowBlank="1" showErrorMessage="1" prompt="利用DB" sqref="S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G12" sqref="G12"/>
    </sheetView>
  </sheetViews>
  <sheetFormatPr defaultRowHeight="15" customHeight="1"/>
  <cols>
    <col min="1" max="1" width="25.7109375" style="76" customWidth="1"/>
    <col min="2" max="2" width="25.7109375" style="77" customWidth="1"/>
    <col min="3" max="3" width="5.7109375" style="76" customWidth="1"/>
    <col min="4" max="4" width="25.7109375" style="76" customWidth="1"/>
    <col min="5" max="5" width="25.7109375" style="77" customWidth="1"/>
    <col min="6" max="6" width="5.7109375" style="76" customWidth="1"/>
    <col min="7" max="7" width="27.85546875" style="65" customWidth="1"/>
    <col min="8" max="8" width="13.42578125" style="65" customWidth="1"/>
    <col min="9" max="9" width="34.7109375" style="65" customWidth="1"/>
    <col min="10" max="10" width="26.85546875" style="65" customWidth="1"/>
    <col min="11" max="11" width="7.42578125" customWidth="1"/>
    <col min="12" max="12" width="9.5703125" style="65" customWidth="1"/>
    <col min="13" max="14" width="26.85546875" style="65" customWidth="1"/>
    <col min="15" max="16" width="15.7109375" customWidth="1"/>
    <col min="17" max="17" width="16.42578125" style="65" customWidth="1"/>
    <col min="18" max="18" width="34.7109375" style="65" customWidth="1"/>
    <col min="19" max="19" width="5.7109375" style="63" customWidth="1"/>
    <col min="20" max="20" width="22.85546875" style="65" customWidth="1"/>
    <col min="21" max="21" width="40.28515625" style="65" customWidth="1"/>
    <col min="22" max="22" width="5.7109375" style="63" customWidth="1"/>
    <col min="23" max="16384" width="9.140625" style="65"/>
  </cols>
  <sheetData>
    <row r="1" spans="1:24" ht="15" customHeight="1">
      <c r="A1" s="145">
        <v>1</v>
      </c>
      <c r="B1" s="146">
        <v>2</v>
      </c>
      <c r="C1" s="145">
        <v>3</v>
      </c>
      <c r="D1" s="145">
        <v>4</v>
      </c>
      <c r="E1" s="146">
        <v>5</v>
      </c>
      <c r="F1" s="145">
        <v>6</v>
      </c>
      <c r="G1" s="62">
        <v>7</v>
      </c>
      <c r="H1" s="62">
        <v>8</v>
      </c>
      <c r="I1" s="62">
        <v>9</v>
      </c>
      <c r="J1" s="62">
        <v>10</v>
      </c>
      <c r="K1">
        <v>11</v>
      </c>
      <c r="L1" s="62">
        <v>12</v>
      </c>
      <c r="M1" s="62">
        <v>13</v>
      </c>
      <c r="N1" s="62">
        <v>14</v>
      </c>
      <c r="O1">
        <v>15</v>
      </c>
      <c r="P1">
        <v>16</v>
      </c>
      <c r="Q1" s="65">
        <v>17</v>
      </c>
      <c r="R1" s="65">
        <v>18</v>
      </c>
    </row>
    <row r="3" spans="1:24" ht="15" customHeight="1">
      <c r="A3" s="134" t="s">
        <v>250</v>
      </c>
      <c r="B3" s="135"/>
      <c r="D3" s="74" t="s">
        <v>251</v>
      </c>
      <c r="E3" s="75"/>
      <c r="G3" s="134" t="s">
        <v>262</v>
      </c>
      <c r="L3" s="153" t="s">
        <v>352</v>
      </c>
      <c r="Q3" s="61" t="s">
        <v>145</v>
      </c>
      <c r="R3" s="62"/>
      <c r="T3" s="61" t="s">
        <v>109</v>
      </c>
      <c r="U3" s="64"/>
    </row>
    <row r="4" spans="1:24" ht="15" customHeight="1">
      <c r="A4" s="136" t="s">
        <v>110</v>
      </c>
      <c r="B4" s="136" t="s">
        <v>111</v>
      </c>
      <c r="D4" s="127" t="s">
        <v>110</v>
      </c>
      <c r="E4" s="127" t="s">
        <v>111</v>
      </c>
      <c r="G4" s="136" t="s">
        <v>309</v>
      </c>
      <c r="H4" s="136" t="s">
        <v>306</v>
      </c>
      <c r="I4" s="136" t="s">
        <v>307</v>
      </c>
      <c r="J4" s="136" t="s">
        <v>308</v>
      </c>
      <c r="L4" s="136" t="s">
        <v>316</v>
      </c>
      <c r="M4" s="136" t="s">
        <v>317</v>
      </c>
      <c r="N4"/>
      <c r="Q4" s="66" t="s">
        <v>110</v>
      </c>
      <c r="R4" s="66" t="s">
        <v>111</v>
      </c>
      <c r="T4" s="66" t="s">
        <v>110</v>
      </c>
      <c r="U4" s="66" t="s">
        <v>111</v>
      </c>
    </row>
    <row r="5" spans="1:24" ht="15" customHeight="1">
      <c r="A5" s="137" t="s">
        <v>252</v>
      </c>
      <c r="B5" s="138" t="s">
        <v>253</v>
      </c>
      <c r="D5" s="144" t="s">
        <v>254</v>
      </c>
      <c r="E5" s="144" t="s">
        <v>255</v>
      </c>
      <c r="G5" s="122" t="s">
        <v>142</v>
      </c>
      <c r="H5" s="122" t="s">
        <v>305</v>
      </c>
      <c r="I5" s="124" t="s">
        <v>244</v>
      </c>
      <c r="J5" s="124" t="s">
        <v>227</v>
      </c>
      <c r="L5" s="124">
        <v>2</v>
      </c>
      <c r="M5" s="124" t="s">
        <v>318</v>
      </c>
      <c r="N5"/>
      <c r="O5" s="84"/>
      <c r="P5" s="84"/>
      <c r="Q5" s="85" t="s">
        <v>221</v>
      </c>
      <c r="R5" s="70" t="s">
        <v>222</v>
      </c>
      <c r="S5" s="65"/>
      <c r="T5" s="86" t="s">
        <v>69</v>
      </c>
      <c r="U5" s="87" t="s">
        <v>239</v>
      </c>
      <c r="V5" s="65"/>
    </row>
    <row r="6" spans="1:24" ht="15" customHeight="1">
      <c r="A6" s="137" t="s">
        <v>256</v>
      </c>
      <c r="B6" s="139" t="b">
        <v>1</v>
      </c>
      <c r="D6" s="128" t="s">
        <v>252</v>
      </c>
      <c r="E6" s="129" t="s">
        <v>253</v>
      </c>
      <c r="G6" s="122" t="s">
        <v>205</v>
      </c>
      <c r="H6" s="122" t="s">
        <v>303</v>
      </c>
      <c r="I6" s="124" t="s">
        <v>243</v>
      </c>
      <c r="J6" s="124" t="s">
        <v>370</v>
      </c>
      <c r="L6" s="124">
        <v>3</v>
      </c>
      <c r="M6" s="124" t="s">
        <v>374</v>
      </c>
      <c r="N6" s="71"/>
      <c r="O6" s="84"/>
      <c r="P6" s="84"/>
      <c r="Q6" s="85" t="s">
        <v>225</v>
      </c>
      <c r="R6" s="70" t="s">
        <v>247</v>
      </c>
      <c r="S6" s="65"/>
      <c r="T6" s="86" t="s">
        <v>4</v>
      </c>
      <c r="U6" s="88">
        <v>43634</v>
      </c>
      <c r="V6" s="65"/>
    </row>
    <row r="7" spans="1:24" ht="15" customHeight="1">
      <c r="A7" s="137" t="s">
        <v>257</v>
      </c>
      <c r="B7" s="139" t="b">
        <v>1</v>
      </c>
      <c r="D7" s="128" t="s">
        <v>256</v>
      </c>
      <c r="E7" s="130" t="b">
        <v>1</v>
      </c>
      <c r="G7" s="122" t="s">
        <v>207</v>
      </c>
      <c r="H7" s="122" t="s">
        <v>304</v>
      </c>
      <c r="I7" s="124" t="s">
        <v>223</v>
      </c>
      <c r="J7" s="124" t="s">
        <v>229</v>
      </c>
      <c r="L7" s="124">
        <v>4</v>
      </c>
      <c r="M7" s="124" t="s">
        <v>319</v>
      </c>
      <c r="N7" s="71"/>
      <c r="O7" s="84"/>
      <c r="P7" s="84"/>
      <c r="Q7" s="85" t="s">
        <v>265</v>
      </c>
      <c r="R7" s="89" t="s">
        <v>248</v>
      </c>
      <c r="S7" s="65"/>
      <c r="T7" s="86" t="s">
        <v>146</v>
      </c>
      <c r="U7" s="90" t="s">
        <v>240</v>
      </c>
      <c r="V7" s="65"/>
      <c r="X7" s="65" t="s">
        <v>283</v>
      </c>
    </row>
    <row r="8" spans="1:24" ht="15" customHeight="1">
      <c r="A8" s="137" t="s">
        <v>258</v>
      </c>
      <c r="B8" s="138" t="s">
        <v>259</v>
      </c>
      <c r="D8" s="128" t="s">
        <v>257</v>
      </c>
      <c r="E8" s="130" t="b">
        <v>1</v>
      </c>
      <c r="G8" s="122" t="s">
        <v>245</v>
      </c>
      <c r="H8" s="122" t="s">
        <v>222</v>
      </c>
      <c r="I8" s="124"/>
      <c r="J8" s="124" t="s">
        <v>228</v>
      </c>
      <c r="L8" s="124">
        <v>5</v>
      </c>
      <c r="M8" s="124" t="s">
        <v>320</v>
      </c>
      <c r="N8" s="71"/>
      <c r="O8" s="84"/>
      <c r="P8" s="84"/>
      <c r="Q8" s="85" t="s">
        <v>236</v>
      </c>
      <c r="R8" s="91"/>
      <c r="S8" s="65"/>
      <c r="T8" s="86" t="s">
        <v>7</v>
      </c>
      <c r="U8" s="83">
        <v>43634</v>
      </c>
      <c r="V8" s="65"/>
    </row>
    <row r="9" spans="1:24" ht="15" customHeight="1">
      <c r="A9" s="137" t="s">
        <v>260</v>
      </c>
      <c r="B9" s="138" t="s">
        <v>261</v>
      </c>
      <c r="D9" s="128" t="s">
        <v>258</v>
      </c>
      <c r="E9" s="129" t="s">
        <v>259</v>
      </c>
      <c r="G9" s="122" t="s">
        <v>143</v>
      </c>
      <c r="H9" s="122"/>
      <c r="I9" s="124"/>
      <c r="J9" s="124"/>
      <c r="L9" s="124">
        <v>6</v>
      </c>
      <c r="M9" s="124" t="s">
        <v>405</v>
      </c>
      <c r="N9" s="71"/>
      <c r="O9" s="84"/>
      <c r="P9" s="84"/>
      <c r="Q9" s="85" t="s">
        <v>237</v>
      </c>
      <c r="R9" s="91"/>
      <c r="S9" s="65"/>
      <c r="T9" s="86" t="s">
        <v>6</v>
      </c>
      <c r="U9" s="83" t="s">
        <v>246</v>
      </c>
      <c r="V9" s="65"/>
    </row>
    <row r="10" spans="1:24" ht="15" customHeight="1">
      <c r="A10" s="137"/>
      <c r="B10" s="138"/>
      <c r="D10" s="128"/>
      <c r="E10" s="129"/>
      <c r="G10" s="124" t="s">
        <v>351</v>
      </c>
      <c r="H10" s="122"/>
      <c r="I10" s="124"/>
      <c r="J10" s="124"/>
      <c r="L10" s="124">
        <v>7</v>
      </c>
      <c r="M10" s="124" t="s">
        <v>375</v>
      </c>
      <c r="N10" s="71"/>
      <c r="O10" s="84"/>
      <c r="P10" s="84"/>
      <c r="Q10" s="85"/>
      <c r="R10" s="91"/>
      <c r="S10" s="65"/>
      <c r="T10" s="86"/>
      <c r="U10" s="83"/>
      <c r="V10" s="65"/>
    </row>
    <row r="11" spans="1:24" ht="15" customHeight="1">
      <c r="A11" s="137" t="s">
        <v>358</v>
      </c>
      <c r="B11" s="122" t="s">
        <v>305</v>
      </c>
      <c r="D11" s="128"/>
      <c r="E11" s="129"/>
      <c r="G11" s="124"/>
      <c r="H11" s="125"/>
      <c r="I11" s="124"/>
      <c r="J11" s="124"/>
      <c r="L11" s="124">
        <v>8</v>
      </c>
      <c r="M11" s="124" t="s">
        <v>321</v>
      </c>
      <c r="N11" s="71"/>
      <c r="O11" s="84"/>
      <c r="P11" s="84"/>
      <c r="Q11" s="85" t="s">
        <v>226</v>
      </c>
      <c r="R11" s="91"/>
      <c r="S11" s="65"/>
      <c r="T11" s="86"/>
      <c r="U11" s="83"/>
      <c r="V11" s="65"/>
    </row>
    <row r="12" spans="1:24" ht="15" customHeight="1">
      <c r="A12" s="137" t="s">
        <v>263</v>
      </c>
      <c r="B12" s="122" t="s">
        <v>305</v>
      </c>
      <c r="D12" s="128"/>
      <c r="E12" s="129"/>
      <c r="G12" s="123"/>
      <c r="H12" s="126"/>
      <c r="I12" s="123"/>
      <c r="J12" s="123"/>
      <c r="L12" s="124">
        <v>9</v>
      </c>
      <c r="M12" s="124" t="s">
        <v>322</v>
      </c>
      <c r="N12" s="71"/>
      <c r="O12" s="84"/>
      <c r="P12" s="84"/>
      <c r="Q12" s="85" t="s">
        <v>119</v>
      </c>
      <c r="R12" s="91"/>
      <c r="S12" s="65"/>
      <c r="T12" s="86"/>
      <c r="U12" s="92" t="e">
        <f>プロジェクト名 &amp; IF(システム名="",""," ["&amp;システム名&amp;"]") &amp; "DB設計書"</f>
        <v>#NAME?</v>
      </c>
      <c r="V12" s="65"/>
    </row>
    <row r="13" spans="1:24" ht="15" customHeight="1">
      <c r="A13" s="137" t="s">
        <v>264</v>
      </c>
      <c r="B13" s="138" t="s">
        <v>372</v>
      </c>
      <c r="D13" s="128"/>
      <c r="E13" s="129"/>
      <c r="H13"/>
      <c r="L13" s="124">
        <v>10</v>
      </c>
      <c r="M13" s="124" t="s">
        <v>323</v>
      </c>
      <c r="O13" s="84"/>
      <c r="P13" s="84"/>
      <c r="Q13" s="85" t="s">
        <v>141</v>
      </c>
      <c r="R13" s="91"/>
      <c r="S13" s="65"/>
      <c r="V13" s="65"/>
    </row>
    <row r="14" spans="1:24" ht="15" customHeight="1">
      <c r="A14" s="137" t="s">
        <v>266</v>
      </c>
      <c r="B14" s="138" t="s">
        <v>373</v>
      </c>
      <c r="D14" s="128"/>
      <c r="E14" s="129"/>
      <c r="H14"/>
      <c r="L14" s="124">
        <v>11</v>
      </c>
      <c r="M14" s="148" t="s">
        <v>397</v>
      </c>
      <c r="O14" s="84"/>
      <c r="P14" s="84"/>
      <c r="Q14" s="85" t="s">
        <v>230</v>
      </c>
      <c r="R14" s="91"/>
      <c r="S14" s="65"/>
      <c r="T14" s="68"/>
      <c r="U14" s="68"/>
      <c r="V14" s="65"/>
    </row>
    <row r="15" spans="1:24" ht="15" customHeight="1">
      <c r="A15" s="137" t="s">
        <v>353</v>
      </c>
      <c r="B15" s="138"/>
      <c r="D15" s="128"/>
      <c r="E15" s="129"/>
      <c r="H15"/>
      <c r="L15" s="124">
        <v>12</v>
      </c>
      <c r="M15" s="124" t="s">
        <v>324</v>
      </c>
      <c r="O15" s="84"/>
      <c r="P15" s="84"/>
      <c r="Q15" s="85" t="s">
        <v>231</v>
      </c>
      <c r="R15" s="70" t="s">
        <v>241</v>
      </c>
      <c r="S15" s="65"/>
      <c r="T15" s="68"/>
      <c r="U15" s="68"/>
      <c r="V15" s="65"/>
    </row>
    <row r="16" spans="1:24" ht="15" customHeight="1">
      <c r="A16" s="140" t="s">
        <v>350</v>
      </c>
      <c r="B16" s="138"/>
      <c r="D16" s="128"/>
      <c r="E16" s="129"/>
      <c r="H16"/>
      <c r="L16" s="124">
        <v>13</v>
      </c>
      <c r="M16" s="124" t="s">
        <v>325</v>
      </c>
      <c r="O16" s="84"/>
      <c r="P16" s="84"/>
      <c r="Q16" s="85" t="s">
        <v>232</v>
      </c>
      <c r="R16" s="70" t="s">
        <v>242</v>
      </c>
      <c r="S16" s="65"/>
      <c r="T16" s="68"/>
      <c r="U16" s="68"/>
      <c r="V16" s="65"/>
    </row>
    <row r="17" spans="1:22" ht="15" customHeight="1">
      <c r="A17" s="140" t="s">
        <v>349</v>
      </c>
      <c r="B17" s="138"/>
      <c r="D17" s="144"/>
      <c r="E17" s="144"/>
      <c r="L17" s="124">
        <v>14</v>
      </c>
      <c r="M17" s="124" t="s">
        <v>326</v>
      </c>
      <c r="O17" s="84"/>
      <c r="P17" s="84"/>
      <c r="Q17" s="85"/>
      <c r="R17" s="70"/>
      <c r="S17" s="65"/>
      <c r="T17" s="68"/>
      <c r="U17" s="68"/>
      <c r="V17" s="65"/>
    </row>
    <row r="18" spans="1:22" ht="15" customHeight="1">
      <c r="A18" s="137" t="s">
        <v>275</v>
      </c>
      <c r="B18" s="138"/>
      <c r="D18" s="131"/>
      <c r="E18" s="129"/>
      <c r="L18" s="124">
        <v>16</v>
      </c>
      <c r="M18" s="124" t="s">
        <v>327</v>
      </c>
      <c r="O18" s="84"/>
      <c r="P18" s="84"/>
      <c r="S18" s="65"/>
      <c r="T18" s="68"/>
      <c r="U18" s="68"/>
      <c r="V18" s="65"/>
    </row>
    <row r="19" spans="1:22" ht="15" customHeight="1">
      <c r="A19" s="137" t="s">
        <v>276</v>
      </c>
      <c r="B19" s="138"/>
      <c r="D19" s="131"/>
      <c r="E19" s="129"/>
      <c r="H19" s="93"/>
      <c r="L19" s="124">
        <v>17</v>
      </c>
      <c r="M19" s="124" t="s">
        <v>328</v>
      </c>
      <c r="O19" s="84"/>
      <c r="P19" s="84"/>
      <c r="Q19" s="262" t="s">
        <v>112</v>
      </c>
      <c r="R19" s="263"/>
      <c r="S19" s="65"/>
      <c r="T19" s="68"/>
      <c r="U19" s="68"/>
      <c r="V19" s="65"/>
    </row>
    <row r="20" spans="1:22" ht="15" customHeight="1">
      <c r="A20" s="137"/>
      <c r="B20" s="138"/>
      <c r="D20" s="131"/>
      <c r="E20" s="129"/>
      <c r="H20" s="93"/>
      <c r="L20" s="124">
        <v>18</v>
      </c>
      <c r="M20" s="124" t="s">
        <v>329</v>
      </c>
      <c r="O20" s="84"/>
      <c r="P20" s="84"/>
      <c r="Q20" s="69" t="s">
        <v>233</v>
      </c>
      <c r="R20" s="70">
        <v>10</v>
      </c>
      <c r="S20" s="65"/>
      <c r="T20" s="68"/>
      <c r="U20" s="68"/>
      <c r="V20" s="65"/>
    </row>
    <row r="21" spans="1:22" ht="15" customHeight="1">
      <c r="A21" s="140" t="s">
        <v>277</v>
      </c>
      <c r="B21" s="141" t="s">
        <v>300</v>
      </c>
      <c r="D21" s="131"/>
      <c r="E21" s="129"/>
      <c r="H21" s="93"/>
      <c r="L21" s="124">
        <v>19</v>
      </c>
      <c r="M21" s="124" t="s">
        <v>330</v>
      </c>
      <c r="O21" s="84"/>
      <c r="P21" s="84"/>
      <c r="Q21" s="69" t="s">
        <v>72</v>
      </c>
      <c r="R21" s="70">
        <v>8192</v>
      </c>
      <c r="S21" s="65"/>
      <c r="T21" s="68"/>
      <c r="U21" s="68"/>
      <c r="V21" s="65"/>
    </row>
    <row r="22" spans="1:22" ht="15" customHeight="1">
      <c r="A22" s="140" t="s">
        <v>278</v>
      </c>
      <c r="B22" s="138" t="s">
        <v>301</v>
      </c>
      <c r="D22" s="128"/>
      <c r="E22" s="129"/>
      <c r="H22" s="93"/>
      <c r="L22" s="124">
        <v>20</v>
      </c>
      <c r="M22" s="124" t="s">
        <v>331</v>
      </c>
      <c r="O22" s="84"/>
      <c r="P22" s="84"/>
      <c r="Q22" s="69"/>
      <c r="R22" s="70"/>
      <c r="S22" s="65"/>
      <c r="T22" s="68"/>
      <c r="U22" s="68"/>
      <c r="V22" s="65"/>
    </row>
    <row r="23" spans="1:22" ht="15" customHeight="1">
      <c r="A23" s="137" t="s">
        <v>280</v>
      </c>
      <c r="B23" s="138" t="s">
        <v>302</v>
      </c>
      <c r="D23" s="131"/>
      <c r="E23" s="129"/>
      <c r="H23" s="93"/>
      <c r="L23" s="124">
        <v>21</v>
      </c>
      <c r="M23" s="124" t="s">
        <v>332</v>
      </c>
      <c r="O23" s="84"/>
      <c r="P23" s="84"/>
      <c r="S23" s="65"/>
      <c r="T23" s="68"/>
      <c r="U23" s="68"/>
      <c r="V23" s="65"/>
    </row>
    <row r="24" spans="1:22" ht="15" customHeight="1">
      <c r="A24" s="137" t="s">
        <v>281</v>
      </c>
      <c r="B24" s="152">
        <v>44287</v>
      </c>
      <c r="D24" s="131"/>
      <c r="E24" s="129"/>
      <c r="H24" s="93"/>
      <c r="L24" s="124">
        <v>64</v>
      </c>
      <c r="M24" s="124" t="s">
        <v>333</v>
      </c>
      <c r="O24" s="84"/>
      <c r="P24" s="84"/>
      <c r="Q24" s="262"/>
      <c r="R24" s="263"/>
      <c r="S24" s="65"/>
      <c r="T24" s="68"/>
      <c r="U24" s="68"/>
      <c r="V24" s="65"/>
    </row>
    <row r="25" spans="1:22" ht="15" customHeight="1">
      <c r="A25" s="137"/>
      <c r="B25" s="138"/>
      <c r="D25" s="128"/>
      <c r="E25" s="129"/>
      <c r="H25" s="93"/>
      <c r="L25" s="124">
        <v>72</v>
      </c>
      <c r="M25" s="124" t="s">
        <v>334</v>
      </c>
      <c r="O25" s="84"/>
      <c r="P25" s="84"/>
      <c r="Q25" s="69"/>
      <c r="R25" s="70"/>
      <c r="S25" s="65"/>
      <c r="V25" s="65"/>
    </row>
    <row r="26" spans="1:22" ht="15" customHeight="1">
      <c r="A26" s="137"/>
      <c r="B26" s="138"/>
      <c r="D26" s="128"/>
      <c r="E26" s="129"/>
      <c r="H26" s="93"/>
      <c r="L26" s="124">
        <v>128</v>
      </c>
      <c r="M26" s="124" t="s">
        <v>335</v>
      </c>
      <c r="O26" s="84"/>
      <c r="P26" s="84"/>
      <c r="Q26" s="69" t="s">
        <v>72</v>
      </c>
      <c r="R26" s="70">
        <v>8192</v>
      </c>
      <c r="S26" s="65"/>
      <c r="T26" s="68"/>
      <c r="U26" s="68"/>
      <c r="V26" s="65"/>
    </row>
    <row r="27" spans="1:22" ht="15" customHeight="1">
      <c r="A27" s="137" t="s">
        <v>289</v>
      </c>
      <c r="B27" s="138">
        <v>289</v>
      </c>
      <c r="D27" s="128"/>
      <c r="E27" s="129"/>
      <c r="H27" s="93"/>
      <c r="L27" s="124">
        <v>129</v>
      </c>
      <c r="M27" s="124" t="s">
        <v>336</v>
      </c>
      <c r="O27" s="84"/>
      <c r="P27" s="84"/>
      <c r="Q27" s="69" t="s">
        <v>234</v>
      </c>
      <c r="R27" s="70">
        <v>1</v>
      </c>
      <c r="S27" s="65"/>
      <c r="T27" s="68"/>
      <c r="U27" s="68"/>
      <c r="V27" s="65"/>
    </row>
    <row r="28" spans="1:22" ht="15" customHeight="1">
      <c r="A28" s="137" t="s">
        <v>290</v>
      </c>
      <c r="B28" s="138">
        <v>1852</v>
      </c>
      <c r="D28" s="128"/>
      <c r="E28" s="129"/>
      <c r="H28" s="71"/>
      <c r="L28" s="124">
        <v>130</v>
      </c>
      <c r="M28" s="124" t="s">
        <v>337</v>
      </c>
      <c r="O28" s="84"/>
      <c r="P28" s="84"/>
      <c r="S28" s="65"/>
      <c r="T28" s="68"/>
      <c r="U28" s="68"/>
      <c r="V28" s="65"/>
    </row>
    <row r="29" spans="1:22" ht="15" customHeight="1">
      <c r="A29" s="137"/>
      <c r="B29" s="138"/>
      <c r="D29" s="128"/>
      <c r="E29" s="129"/>
      <c r="H29" s="71"/>
      <c r="L29" s="124">
        <v>131</v>
      </c>
      <c r="M29" s="124" t="s">
        <v>338</v>
      </c>
      <c r="O29" s="84"/>
      <c r="P29" s="84"/>
      <c r="S29" s="65"/>
      <c r="V29" s="65"/>
    </row>
    <row r="30" spans="1:22" ht="15" customHeight="1">
      <c r="A30" s="137" t="s">
        <v>429</v>
      </c>
      <c r="B30" s="138" t="s">
        <v>430</v>
      </c>
      <c r="D30" s="128"/>
      <c r="E30" s="129"/>
      <c r="H30" s="71"/>
      <c r="L30" s="124">
        <v>132</v>
      </c>
      <c r="M30" s="124" t="s">
        <v>339</v>
      </c>
      <c r="O30" s="84"/>
      <c r="P30" s="84"/>
      <c r="S30" s="65"/>
      <c r="V30" s="65"/>
    </row>
    <row r="31" spans="1:22" ht="15" customHeight="1">
      <c r="A31" s="137" t="s">
        <v>425</v>
      </c>
      <c r="B31" s="138" t="s">
        <v>427</v>
      </c>
      <c r="D31" s="128"/>
      <c r="E31" s="129"/>
      <c r="H31" s="71"/>
      <c r="L31" s="124">
        <v>133</v>
      </c>
      <c r="M31" s="124" t="s">
        <v>340</v>
      </c>
      <c r="O31" s="84"/>
      <c r="P31" s="84"/>
      <c r="S31" s="65"/>
      <c r="V31" s="65"/>
    </row>
    <row r="32" spans="1:22" ht="15" customHeight="1">
      <c r="A32" s="137" t="s">
        <v>426</v>
      </c>
      <c r="B32" s="138" t="s">
        <v>428</v>
      </c>
      <c r="D32" s="128"/>
      <c r="E32" s="129"/>
      <c r="H32" s="71"/>
      <c r="L32" s="124">
        <v>134</v>
      </c>
      <c r="M32" s="124" t="s">
        <v>341</v>
      </c>
      <c r="O32" s="84"/>
      <c r="P32" s="84"/>
      <c r="S32" s="65"/>
      <c r="V32" s="65"/>
    </row>
    <row r="33" spans="1:22" ht="15" customHeight="1">
      <c r="A33" s="137"/>
      <c r="B33" s="138"/>
      <c r="D33" s="128"/>
      <c r="E33" s="129"/>
      <c r="H33" s="71"/>
      <c r="L33" s="124">
        <v>135</v>
      </c>
      <c r="M33" s="124" t="s">
        <v>342</v>
      </c>
      <c r="O33" s="84"/>
      <c r="P33" s="84"/>
      <c r="S33" s="65"/>
      <c r="V33" s="65"/>
    </row>
    <row r="34" spans="1:22" ht="15" customHeight="1">
      <c r="A34" s="137" t="s">
        <v>408</v>
      </c>
      <c r="B34" s="138" t="s">
        <v>409</v>
      </c>
      <c r="D34" s="128"/>
      <c r="E34" s="129"/>
      <c r="H34" s="71"/>
      <c r="L34" s="124">
        <v>136</v>
      </c>
      <c r="M34" s="124" t="s">
        <v>343</v>
      </c>
      <c r="O34" s="84"/>
      <c r="P34" s="84"/>
      <c r="S34" s="65"/>
      <c r="V34" s="65"/>
    </row>
    <row r="35" spans="1:22" ht="15" customHeight="1">
      <c r="A35" s="137" t="s">
        <v>407</v>
      </c>
      <c r="B35" s="138" t="s">
        <v>410</v>
      </c>
      <c r="D35" s="128"/>
      <c r="E35" s="129"/>
      <c r="H35" s="71"/>
      <c r="L35" s="124">
        <v>138</v>
      </c>
      <c r="M35" s="124" t="s">
        <v>344</v>
      </c>
      <c r="O35" s="84"/>
      <c r="P35" s="84"/>
      <c r="S35" s="65"/>
      <c r="V35" s="65"/>
    </row>
    <row r="36" spans="1:22" ht="15" customHeight="1">
      <c r="A36" s="137" t="s">
        <v>411</v>
      </c>
      <c r="B36" s="138" t="s">
        <v>412</v>
      </c>
      <c r="D36" s="128"/>
      <c r="E36" s="129"/>
      <c r="H36" s="71"/>
      <c r="L36" s="124">
        <v>139</v>
      </c>
      <c r="M36" s="124" t="s">
        <v>345</v>
      </c>
      <c r="O36" s="84"/>
      <c r="P36" s="84"/>
      <c r="S36" s="65"/>
      <c r="V36" s="65"/>
    </row>
    <row r="37" spans="1:22" ht="15" customHeight="1">
      <c r="A37" s="137" t="s">
        <v>413</v>
      </c>
      <c r="B37" s="138" t="s">
        <v>414</v>
      </c>
      <c r="D37" s="128"/>
      <c r="E37" s="129"/>
      <c r="H37" s="71"/>
      <c r="L37" s="124">
        <v>200</v>
      </c>
      <c r="M37" s="124" t="s">
        <v>346</v>
      </c>
      <c r="O37" s="84"/>
      <c r="P37" s="84"/>
      <c r="S37" s="65"/>
      <c r="V37" s="65"/>
    </row>
    <row r="38" spans="1:22" ht="15" customHeight="1">
      <c r="A38" s="137" t="s">
        <v>415</v>
      </c>
      <c r="B38" s="138" t="s">
        <v>417</v>
      </c>
      <c r="D38" s="128"/>
      <c r="E38" s="129"/>
      <c r="H38" s="71"/>
      <c r="L38" s="124">
        <v>201</v>
      </c>
      <c r="M38" s="124" t="s">
        <v>347</v>
      </c>
      <c r="O38" s="84"/>
      <c r="P38" s="84"/>
      <c r="S38" s="65"/>
      <c r="V38" s="65"/>
    </row>
    <row r="39" spans="1:22" ht="15" customHeight="1">
      <c r="A39" s="137" t="s">
        <v>416</v>
      </c>
      <c r="B39" s="138" t="s">
        <v>418</v>
      </c>
      <c r="D39" s="128"/>
      <c r="E39" s="129"/>
      <c r="H39" s="71"/>
      <c r="L39" s="124">
        <v>202</v>
      </c>
      <c r="M39" s="124" t="s">
        <v>403</v>
      </c>
      <c r="O39" s="84"/>
      <c r="P39" s="84"/>
      <c r="S39" s="65"/>
      <c r="V39" s="65"/>
    </row>
    <row r="40" spans="1:22" ht="15" customHeight="1">
      <c r="A40" s="137" t="s">
        <v>419</v>
      </c>
      <c r="B40" s="138" t="s">
        <v>422</v>
      </c>
      <c r="D40" s="128"/>
      <c r="E40" s="129"/>
      <c r="H40" s="71"/>
      <c r="L40" s="124">
        <v>203</v>
      </c>
      <c r="M40" s="124" t="s">
        <v>404</v>
      </c>
      <c r="O40" s="84"/>
      <c r="P40" s="84"/>
      <c r="S40" s="65"/>
      <c r="V40" s="65"/>
    </row>
    <row r="41" spans="1:22" ht="15" customHeight="1">
      <c r="A41" s="137" t="s">
        <v>420</v>
      </c>
      <c r="B41" s="138" t="s">
        <v>423</v>
      </c>
      <c r="D41" s="128"/>
      <c r="E41" s="129"/>
      <c r="H41" s="71"/>
      <c r="L41" s="124">
        <v>204</v>
      </c>
      <c r="M41" s="124" t="s">
        <v>348</v>
      </c>
      <c r="O41" s="84"/>
      <c r="P41" s="84"/>
      <c r="S41" s="65"/>
      <c r="V41" s="65"/>
    </row>
    <row r="42" spans="1:22" ht="15" customHeight="1">
      <c r="A42" s="137" t="s">
        <v>421</v>
      </c>
      <c r="B42" s="138" t="s">
        <v>424</v>
      </c>
      <c r="D42" s="128"/>
      <c r="E42" s="129"/>
      <c r="H42" s="71"/>
      <c r="L42" s="123">
        <v>205</v>
      </c>
      <c r="M42" s="123" t="s">
        <v>406</v>
      </c>
      <c r="O42" s="84"/>
      <c r="P42" s="84"/>
      <c r="S42" s="65"/>
      <c r="V42" s="65"/>
    </row>
    <row r="43" spans="1:22" ht="15" customHeight="1">
      <c r="A43" s="137"/>
      <c r="B43" s="138"/>
      <c r="D43" s="128"/>
      <c r="E43" s="129"/>
      <c r="H43" s="71"/>
      <c r="O43" s="84"/>
      <c r="P43" s="84"/>
      <c r="S43" s="65"/>
      <c r="V43" s="65"/>
    </row>
    <row r="44" spans="1:22" ht="15" customHeight="1">
      <c r="A44" s="137"/>
      <c r="B44" s="138"/>
      <c r="D44" s="128"/>
      <c r="E44" s="129"/>
      <c r="H44" s="71"/>
      <c r="O44" s="84"/>
      <c r="P44" s="84"/>
      <c r="S44" s="65"/>
      <c r="V44" s="65"/>
    </row>
    <row r="45" spans="1:22" ht="15" customHeight="1">
      <c r="A45" s="137"/>
      <c r="B45" s="138"/>
      <c r="D45" s="128"/>
      <c r="E45" s="129"/>
      <c r="H45" s="71"/>
      <c r="O45" s="84"/>
      <c r="P45" s="84"/>
      <c r="S45" s="65"/>
      <c r="V45" s="65"/>
    </row>
    <row r="46" spans="1:22" ht="15" customHeight="1">
      <c r="A46" s="137"/>
      <c r="B46" s="138"/>
      <c r="D46" s="128"/>
      <c r="E46" s="129"/>
      <c r="H46" s="71"/>
      <c r="O46" s="84"/>
      <c r="P46" s="84"/>
      <c r="S46" s="65"/>
      <c r="V46" s="65"/>
    </row>
    <row r="47" spans="1:22" ht="15" customHeight="1">
      <c r="A47" s="137"/>
      <c r="B47" s="138"/>
      <c r="D47" s="128"/>
      <c r="E47" s="129"/>
      <c r="H47" s="71"/>
      <c r="O47" s="84"/>
      <c r="P47" s="84"/>
      <c r="S47" s="65"/>
      <c r="V47" s="65"/>
    </row>
    <row r="48" spans="1:22" ht="15" customHeight="1">
      <c r="A48" s="137"/>
      <c r="B48" s="138"/>
      <c r="D48" s="128"/>
      <c r="E48" s="129"/>
      <c r="H48" s="71"/>
      <c r="O48" s="84"/>
      <c r="P48" s="84"/>
      <c r="S48" s="65"/>
      <c r="V48" s="65"/>
    </row>
    <row r="49" spans="1:22" ht="15" customHeight="1">
      <c r="A49" s="137"/>
      <c r="B49" s="138"/>
      <c r="D49" s="128"/>
      <c r="E49" s="129"/>
      <c r="H49" s="71"/>
      <c r="O49" s="84"/>
      <c r="P49" s="84"/>
      <c r="S49" s="65"/>
      <c r="V49" s="65"/>
    </row>
    <row r="50" spans="1:22" ht="15" customHeight="1">
      <c r="A50" s="137"/>
      <c r="B50" s="138"/>
      <c r="D50" s="128"/>
      <c r="E50" s="129"/>
      <c r="H50" s="71"/>
      <c r="O50" s="84"/>
      <c r="P50" s="84"/>
      <c r="S50" s="65"/>
      <c r="V50" s="65"/>
    </row>
    <row r="51" spans="1:22" ht="15" customHeight="1">
      <c r="A51" s="137"/>
      <c r="B51" s="138"/>
      <c r="D51" s="128"/>
      <c r="E51" s="129"/>
      <c r="H51" s="71"/>
      <c r="O51" s="84"/>
      <c r="P51" s="84"/>
      <c r="S51" s="65"/>
      <c r="V51" s="65"/>
    </row>
    <row r="52" spans="1:22" ht="15" customHeight="1">
      <c r="A52" s="137"/>
      <c r="B52" s="138"/>
      <c r="D52" s="128"/>
      <c r="E52" s="129"/>
      <c r="H52" s="71"/>
      <c r="O52" s="84"/>
      <c r="P52" s="84"/>
      <c r="S52" s="65"/>
      <c r="T52" s="68"/>
      <c r="U52" s="68"/>
      <c r="V52" s="65"/>
    </row>
    <row r="53" spans="1:22" ht="15" customHeight="1">
      <c r="A53" s="137"/>
      <c r="B53" s="138"/>
      <c r="D53" s="128"/>
      <c r="E53" s="129"/>
      <c r="H53" s="71"/>
      <c r="O53" s="84"/>
      <c r="P53" s="84"/>
      <c r="S53" s="65"/>
      <c r="T53" s="68"/>
      <c r="U53" s="68"/>
      <c r="V53" s="65"/>
    </row>
    <row r="54" spans="1:22" ht="15" customHeight="1">
      <c r="A54" s="137"/>
      <c r="B54" s="138"/>
      <c r="D54" s="128"/>
      <c r="E54" s="129"/>
      <c r="H54" s="71"/>
      <c r="O54" s="84"/>
      <c r="P54" s="84"/>
      <c r="S54" s="65"/>
      <c r="T54" s="68"/>
      <c r="U54" s="68"/>
      <c r="V54" s="65"/>
    </row>
    <row r="55" spans="1:22" ht="15" customHeight="1">
      <c r="A55" s="137"/>
      <c r="B55" s="138"/>
      <c r="D55" s="128"/>
      <c r="E55" s="129"/>
      <c r="H55" s="71"/>
      <c r="O55" s="84"/>
      <c r="P55" s="84"/>
      <c r="S55" s="65"/>
      <c r="V55" s="65"/>
    </row>
    <row r="56" spans="1:22" ht="15" customHeight="1">
      <c r="A56" s="137"/>
      <c r="B56" s="138"/>
      <c r="D56" s="128"/>
      <c r="E56" s="129"/>
      <c r="H56" s="71"/>
      <c r="O56" s="84"/>
      <c r="P56" s="84"/>
      <c r="S56" s="65"/>
      <c r="V56" s="65"/>
    </row>
    <row r="57" spans="1:22" ht="15" customHeight="1">
      <c r="A57" s="137"/>
      <c r="B57" s="138"/>
      <c r="D57" s="128"/>
      <c r="E57" s="129"/>
      <c r="H57" s="71"/>
      <c r="O57" s="84"/>
      <c r="P57" s="84"/>
      <c r="S57" s="65"/>
      <c r="V57" s="65"/>
    </row>
    <row r="58" spans="1:22" ht="15" customHeight="1">
      <c r="A58" s="137"/>
      <c r="B58" s="138"/>
      <c r="D58" s="128"/>
      <c r="E58" s="129"/>
      <c r="H58" s="71"/>
      <c r="O58" s="84"/>
      <c r="P58" s="84"/>
      <c r="S58" s="65"/>
      <c r="V58" s="65"/>
    </row>
    <row r="59" spans="1:22" ht="15" customHeight="1">
      <c r="A59" s="137"/>
      <c r="B59" s="138"/>
      <c r="D59" s="128"/>
      <c r="E59" s="129"/>
      <c r="H59" s="71"/>
      <c r="O59" s="84"/>
      <c r="P59" s="84"/>
      <c r="S59" s="65"/>
      <c r="V59" s="65"/>
    </row>
    <row r="60" spans="1:22" ht="15" customHeight="1">
      <c r="A60" s="137"/>
      <c r="B60" s="138"/>
      <c r="D60" s="128"/>
      <c r="E60" s="129"/>
      <c r="H60" s="71"/>
      <c r="O60" s="84"/>
      <c r="P60" s="84"/>
      <c r="S60" s="65"/>
      <c r="V60" s="65"/>
    </row>
    <row r="61" spans="1:22" ht="15" customHeight="1">
      <c r="A61" s="137"/>
      <c r="B61" s="138"/>
      <c r="D61" s="128"/>
      <c r="E61" s="129"/>
      <c r="H61" s="71"/>
      <c r="O61" s="84"/>
      <c r="P61" s="84"/>
      <c r="S61" s="65"/>
      <c r="V61" s="65"/>
    </row>
    <row r="62" spans="1:22" ht="15" customHeight="1">
      <c r="A62" s="137"/>
      <c r="B62" s="138"/>
      <c r="D62" s="132"/>
      <c r="E62" s="133"/>
      <c r="H62" s="71"/>
      <c r="O62" s="84"/>
      <c r="P62" s="84"/>
      <c r="S62" s="65"/>
      <c r="V62" s="65"/>
    </row>
    <row r="63" spans="1:22" ht="15" customHeight="1">
      <c r="A63" s="137"/>
      <c r="B63" s="143"/>
      <c r="H63" s="71"/>
    </row>
    <row r="64" spans="1:22" ht="15" customHeight="1">
      <c r="A64" s="137"/>
      <c r="H64" s="71"/>
    </row>
    <row r="65" spans="1:8" ht="15" customHeight="1">
      <c r="A65" s="142"/>
      <c r="H65" s="71"/>
    </row>
    <row r="66" spans="1:8" ht="15" customHeight="1">
      <c r="H66" s="71"/>
    </row>
    <row r="67" spans="1:8" ht="15" customHeight="1">
      <c r="H67" s="71"/>
    </row>
    <row r="68" spans="1:8" ht="15" customHeight="1">
      <c r="H68" s="71"/>
    </row>
    <row r="69" spans="1:8" ht="15" customHeight="1">
      <c r="H69" s="71"/>
    </row>
    <row r="70" spans="1:8" ht="15" customHeight="1">
      <c r="H70" s="71"/>
    </row>
    <row r="71" spans="1:8" ht="15" customHeight="1">
      <c r="H71" s="71"/>
    </row>
    <row r="72" spans="1:8" ht="15" customHeight="1">
      <c r="H72" s="71"/>
    </row>
    <row r="73" spans="1:8" ht="15" customHeight="1">
      <c r="H73" s="71"/>
    </row>
    <row r="74" spans="1:8" ht="15" customHeight="1">
      <c r="H74" s="71"/>
    </row>
    <row r="75" spans="1:8" ht="15" customHeight="1">
      <c r="H75" s="71"/>
    </row>
    <row r="76" spans="1:8" ht="15" customHeight="1">
      <c r="H76" s="71"/>
    </row>
    <row r="77" spans="1:8" ht="15" customHeight="1">
      <c r="H77" s="71"/>
    </row>
    <row r="78" spans="1:8" ht="15" customHeight="1">
      <c r="H78" s="71"/>
    </row>
    <row r="79" spans="1:8" ht="15" customHeight="1">
      <c r="H79" s="71"/>
    </row>
    <row r="80" spans="1:8" ht="15" customHeight="1">
      <c r="H80" s="71"/>
    </row>
    <row r="81" spans="8:8" ht="15" customHeight="1">
      <c r="H81" s="71"/>
    </row>
    <row r="82" spans="8:8" ht="15" customHeight="1">
      <c r="H82" s="71"/>
    </row>
    <row r="83" spans="8:8" ht="15" customHeight="1">
      <c r="H83" s="71"/>
    </row>
    <row r="84" spans="8:8" ht="15" customHeight="1">
      <c r="H84" s="71"/>
    </row>
    <row r="85" spans="8:8" ht="15" customHeight="1">
      <c r="H85" s="71"/>
    </row>
    <row r="86" spans="8:8" ht="15" customHeight="1">
      <c r="H86" s="71"/>
    </row>
    <row r="87" spans="8:8" ht="15" customHeight="1">
      <c r="H87" s="71"/>
    </row>
    <row r="88" spans="8:8" ht="15" customHeight="1">
      <c r="H88" s="71"/>
    </row>
    <row r="89" spans="8:8" ht="15" customHeight="1">
      <c r="H89" s="71"/>
    </row>
    <row r="90" spans="8:8" ht="15" customHeight="1">
      <c r="H90" s="71"/>
    </row>
    <row r="91" spans="8:8" ht="15" customHeight="1">
      <c r="H91" s="71"/>
    </row>
    <row r="92" spans="8:8" ht="15" customHeight="1">
      <c r="H92" s="71"/>
    </row>
    <row r="93" spans="8:8" ht="15" customHeight="1">
      <c r="H93" s="71"/>
    </row>
    <row r="94" spans="8:8" ht="15" customHeight="1">
      <c r="H94" s="71"/>
    </row>
    <row r="95" spans="8:8" ht="15" customHeight="1">
      <c r="H95" s="71"/>
    </row>
    <row r="96" spans="8:8" ht="15" customHeight="1">
      <c r="H96" s="71"/>
    </row>
    <row r="97" spans="8:8" ht="15" customHeight="1">
      <c r="H97" s="71"/>
    </row>
    <row r="98" spans="8:8" ht="15" customHeight="1">
      <c r="H98" s="71"/>
    </row>
    <row r="99" spans="8:8" ht="15" customHeight="1">
      <c r="H99" s="71"/>
    </row>
    <row r="100" spans="8:8" ht="15" customHeight="1">
      <c r="H100" s="71"/>
    </row>
    <row r="101" spans="8:8" ht="15" customHeight="1">
      <c r="H101" s="71"/>
    </row>
    <row r="102" spans="8:8" ht="15" customHeight="1">
      <c r="H102" s="71"/>
    </row>
    <row r="103" spans="8:8" ht="15" customHeight="1">
      <c r="H103" s="72"/>
    </row>
    <row r="104" spans="8:8" ht="15" customHeight="1">
      <c r="H104" s="73"/>
    </row>
    <row r="105" spans="8:8" ht="15" customHeight="1">
      <c r="H105" s="73"/>
    </row>
    <row r="106" spans="8:8" ht="15" customHeight="1">
      <c r="H106" s="73"/>
    </row>
    <row r="107" spans="8:8" ht="15" customHeight="1">
      <c r="H107" s="73"/>
    </row>
    <row r="108" spans="8:8" ht="15" customHeight="1">
      <c r="H108" s="73"/>
    </row>
    <row r="109" spans="8:8" ht="15" customHeight="1">
      <c r="H109" s="73"/>
    </row>
    <row r="110" spans="8:8" ht="15" customHeight="1">
      <c r="H110" s="73"/>
    </row>
    <row r="111" spans="8:8" ht="15" customHeight="1">
      <c r="H111" s="73"/>
    </row>
    <row r="112" spans="8:8" ht="15" customHeight="1">
      <c r="H112" s="73"/>
    </row>
    <row r="113" spans="8:8" ht="15" customHeight="1">
      <c r="H113" s="73"/>
    </row>
    <row r="114" spans="8:8" ht="15" customHeight="1">
      <c r="H114" s="73"/>
    </row>
    <row r="115" spans="8:8" ht="15" customHeight="1">
      <c r="H115" s="73"/>
    </row>
    <row r="116" spans="8:8" ht="15" customHeight="1">
      <c r="H116" s="73"/>
    </row>
    <row r="117" spans="8:8" ht="15" customHeight="1">
      <c r="H117" s="73"/>
    </row>
    <row r="118" spans="8:8" ht="15" customHeight="1">
      <c r="H118" s="73"/>
    </row>
    <row r="119" spans="8:8" ht="15" customHeight="1">
      <c r="H119" s="73"/>
    </row>
    <row r="120" spans="8:8" ht="15" customHeight="1">
      <c r="H120" s="73"/>
    </row>
    <row r="121" spans="8:8" ht="15" customHeight="1">
      <c r="H121" s="73"/>
    </row>
    <row r="122" spans="8:8" ht="15" customHeight="1">
      <c r="H122" s="73"/>
    </row>
    <row r="123" spans="8:8" ht="15" customHeight="1">
      <c r="H123" s="73"/>
    </row>
    <row r="124" spans="8:8" ht="15" customHeight="1">
      <c r="H124" s="73"/>
    </row>
    <row r="125" spans="8:8" ht="15" customHeight="1">
      <c r="H125" s="73"/>
    </row>
    <row r="126" spans="8:8" ht="15" customHeight="1">
      <c r="H126" s="73"/>
    </row>
    <row r="127" spans="8:8" ht="15" customHeight="1">
      <c r="H127" s="73"/>
    </row>
    <row r="128" spans="8:8" ht="15" customHeight="1">
      <c r="H128" s="73"/>
    </row>
    <row r="129" spans="8:8" ht="15" customHeight="1">
      <c r="H129" s="73"/>
    </row>
    <row r="130" spans="8:8" ht="15" customHeight="1">
      <c r="H130" s="73"/>
    </row>
    <row r="131" spans="8:8" ht="15" customHeight="1">
      <c r="H131" s="73"/>
    </row>
    <row r="132" spans="8:8" ht="15" customHeight="1">
      <c r="H132" s="73"/>
    </row>
    <row r="133" spans="8:8" ht="15" customHeight="1">
      <c r="H133" s="73"/>
    </row>
    <row r="134" spans="8:8" ht="15" customHeight="1">
      <c r="H134" s="73"/>
    </row>
    <row r="135" spans="8:8" ht="15" customHeight="1">
      <c r="H135" s="73"/>
    </row>
    <row r="136" spans="8:8" ht="15" customHeight="1">
      <c r="H136" s="73"/>
    </row>
    <row r="137" spans="8:8" ht="15" customHeight="1">
      <c r="H137" s="73"/>
    </row>
    <row r="138" spans="8:8" ht="15" customHeight="1">
      <c r="H138" s="73"/>
    </row>
    <row r="139" spans="8:8" ht="15" customHeight="1">
      <c r="H139" s="73"/>
    </row>
    <row r="140" spans="8:8" ht="15" customHeight="1">
      <c r="H140" s="73"/>
    </row>
    <row r="141" spans="8:8" ht="15" customHeight="1">
      <c r="H141" s="73"/>
    </row>
    <row r="142" spans="8:8" ht="15" customHeight="1">
      <c r="H142" s="73"/>
    </row>
    <row r="143" spans="8:8" ht="15" customHeight="1">
      <c r="H143" s="73"/>
    </row>
    <row r="144" spans="8:8" ht="15" customHeight="1">
      <c r="H144" s="73"/>
    </row>
    <row r="145" spans="8:8" ht="15" customHeight="1">
      <c r="H145" s="73"/>
    </row>
    <row r="146" spans="8:8" ht="15" customHeight="1">
      <c r="H146" s="73"/>
    </row>
    <row r="147" spans="8:8" ht="15" customHeight="1">
      <c r="H147" s="73"/>
    </row>
    <row r="148" spans="8:8" ht="15" customHeight="1">
      <c r="H148" s="73"/>
    </row>
    <row r="149" spans="8:8" ht="15" customHeight="1">
      <c r="H149" s="73"/>
    </row>
    <row r="150" spans="8:8" ht="15" customHeight="1">
      <c r="H150" s="73"/>
    </row>
    <row r="151" spans="8:8" ht="15" customHeight="1">
      <c r="H151" s="73"/>
    </row>
    <row r="152" spans="8:8" ht="15" customHeight="1">
      <c r="H152" s="73"/>
    </row>
    <row r="153" spans="8:8" ht="15" customHeight="1">
      <c r="H153" s="73"/>
    </row>
    <row r="154" spans="8:8" ht="15" customHeight="1">
      <c r="H154" s="73"/>
    </row>
    <row r="155" spans="8:8" ht="15" customHeight="1">
      <c r="H155" s="73"/>
    </row>
    <row r="156" spans="8:8" ht="15" customHeight="1">
      <c r="H156" s="73"/>
    </row>
    <row r="157" spans="8:8" ht="15" customHeight="1">
      <c r="H157" s="73"/>
    </row>
    <row r="158" spans="8:8" ht="15" customHeight="1">
      <c r="H158" s="73"/>
    </row>
    <row r="159" spans="8:8" ht="15" customHeight="1">
      <c r="H159" s="73"/>
    </row>
    <row r="160" spans="8:8" ht="15" customHeight="1">
      <c r="H160" s="73"/>
    </row>
    <row r="161" spans="8:8" ht="15" customHeight="1">
      <c r="H161" s="73"/>
    </row>
    <row r="162" spans="8:8" ht="15" customHeight="1">
      <c r="H162" s="73"/>
    </row>
    <row r="163" spans="8:8" ht="15" customHeight="1">
      <c r="H163" s="73"/>
    </row>
    <row r="164" spans="8:8" ht="15" customHeight="1">
      <c r="H164" s="73"/>
    </row>
    <row r="165" spans="8:8" ht="15" customHeight="1">
      <c r="H165" s="73"/>
    </row>
    <row r="166" spans="8:8" ht="15" customHeight="1">
      <c r="H166" s="73"/>
    </row>
    <row r="167" spans="8:8" ht="15" customHeight="1">
      <c r="H167" s="73"/>
    </row>
    <row r="168" spans="8:8" ht="15" customHeight="1">
      <c r="H168" s="73"/>
    </row>
    <row r="169" spans="8:8" ht="15" customHeight="1">
      <c r="H169" s="73"/>
    </row>
    <row r="170" spans="8:8" ht="15" customHeight="1">
      <c r="H170" s="73"/>
    </row>
    <row r="171" spans="8:8" ht="15" customHeight="1">
      <c r="H171" s="73"/>
    </row>
    <row r="172" spans="8:8" ht="15" customHeight="1">
      <c r="H172" s="73"/>
    </row>
    <row r="173" spans="8:8" ht="15" customHeight="1">
      <c r="H173" s="73"/>
    </row>
    <row r="174" spans="8:8" ht="15" customHeight="1">
      <c r="H174" s="73"/>
    </row>
    <row r="175" spans="8:8" ht="15" customHeight="1">
      <c r="H175" s="73"/>
    </row>
    <row r="176" spans="8:8" ht="15" customHeight="1">
      <c r="H176" s="73"/>
    </row>
    <row r="177" spans="8:8" ht="15" customHeight="1">
      <c r="H177" s="73"/>
    </row>
    <row r="178" spans="8:8" ht="15" customHeight="1">
      <c r="H178" s="73"/>
    </row>
    <row r="179" spans="8:8" ht="15" customHeight="1">
      <c r="H179" s="73"/>
    </row>
    <row r="180" spans="8:8" ht="15" customHeight="1">
      <c r="H180" s="73"/>
    </row>
    <row r="181" spans="8:8" ht="15" customHeight="1">
      <c r="H181" s="73"/>
    </row>
    <row r="182" spans="8:8" ht="15" customHeight="1">
      <c r="H182" s="73"/>
    </row>
    <row r="183" spans="8:8" ht="15" customHeight="1">
      <c r="H183" s="67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Q73"/>
  <sheetViews>
    <sheetView showGridLines="0" zoomScaleNormal="100" workbookViewId="0">
      <pane ySplit="2" topLeftCell="A3" activePane="bottomLeft" state="frozen"/>
      <selection activeCell="A9" sqref="A9"/>
      <selection pane="bottomLeft" activeCell="C17" sqref="C17"/>
    </sheetView>
  </sheetViews>
  <sheetFormatPr defaultRowHeight="20.100000000000001" customHeight="1"/>
  <cols>
    <col min="1" max="1" width="23.42578125" style="96" customWidth="1"/>
    <col min="2" max="2" width="31.28515625" style="96" customWidth="1"/>
    <col min="3" max="3" width="64.42578125" style="96" customWidth="1"/>
    <col min="4" max="4" width="23.42578125" style="96" customWidth="1"/>
    <col min="5" max="5" width="31.28515625" style="96" customWidth="1"/>
    <col min="6" max="6" width="64.42578125" style="96" customWidth="1"/>
    <col min="7" max="7" width="23.42578125" style="96" customWidth="1"/>
    <col min="8" max="8" width="31.28515625" style="96" customWidth="1"/>
    <col min="9" max="9" width="64.42578125" style="96" customWidth="1"/>
    <col min="10" max="10" width="23.42578125" style="96" customWidth="1"/>
    <col min="11" max="11" width="31.28515625" style="96" customWidth="1"/>
    <col min="12" max="12" width="64.42578125" style="96" customWidth="1"/>
    <col min="13" max="13" width="23.42578125" style="96" customWidth="1"/>
    <col min="14" max="14" width="31.28515625" style="96" customWidth="1"/>
    <col min="15" max="15" width="64.42578125" style="96" customWidth="1"/>
    <col min="18" max="16384" width="9.140625" style="96"/>
  </cols>
  <sheetData>
    <row r="1" spans="1:15" ht="20.100000000000001" customHeight="1">
      <c r="A1" s="114" t="s">
        <v>128</v>
      </c>
      <c r="B1" s="115"/>
      <c r="C1" s="116"/>
      <c r="D1" s="114" t="s">
        <v>130</v>
      </c>
      <c r="E1" s="115"/>
      <c r="F1" s="116"/>
      <c r="G1" s="114" t="s">
        <v>133</v>
      </c>
      <c r="H1" s="115"/>
      <c r="I1" s="116"/>
      <c r="J1" s="114" t="s">
        <v>279</v>
      </c>
      <c r="K1" s="115"/>
      <c r="L1" s="116"/>
      <c r="M1" s="114" t="s">
        <v>244</v>
      </c>
      <c r="N1" s="115"/>
      <c r="O1" s="116"/>
    </row>
    <row r="2" spans="1:15" ht="20.100000000000001" customHeight="1">
      <c r="A2" s="117" t="s">
        <v>117</v>
      </c>
      <c r="B2" s="118" t="s">
        <v>273</v>
      </c>
      <c r="C2" s="119" t="s">
        <v>274</v>
      </c>
      <c r="D2" s="117" t="s">
        <v>117</v>
      </c>
      <c r="E2" s="118" t="s">
        <v>273</v>
      </c>
      <c r="F2" s="119" t="s">
        <v>274</v>
      </c>
      <c r="G2" s="117" t="s">
        <v>117</v>
      </c>
      <c r="H2" s="118" t="s">
        <v>273</v>
      </c>
      <c r="I2" s="119" t="s">
        <v>274</v>
      </c>
      <c r="J2" s="117" t="s">
        <v>117</v>
      </c>
      <c r="K2" s="118" t="s">
        <v>273</v>
      </c>
      <c r="L2" s="119" t="s">
        <v>274</v>
      </c>
      <c r="M2" s="117" t="s">
        <v>117</v>
      </c>
      <c r="N2" s="118" t="s">
        <v>273</v>
      </c>
      <c r="O2" s="119" t="s">
        <v>274</v>
      </c>
    </row>
    <row r="3" spans="1:15" ht="20.100000000000001" customHeight="1">
      <c r="A3" s="120" t="s">
        <v>59</v>
      </c>
      <c r="B3" s="120" t="s">
        <v>59</v>
      </c>
      <c r="C3" s="120" t="s">
        <v>73</v>
      </c>
      <c r="D3" s="120" t="s">
        <v>507</v>
      </c>
      <c r="E3" s="120"/>
      <c r="F3" s="120" t="s">
        <v>131</v>
      </c>
      <c r="G3" s="120" t="s">
        <v>134</v>
      </c>
      <c r="H3" s="120" t="s">
        <v>59</v>
      </c>
      <c r="I3" s="120" t="s">
        <v>135</v>
      </c>
      <c r="J3" s="120" t="s">
        <v>213</v>
      </c>
      <c r="K3" s="120" t="s">
        <v>213</v>
      </c>
      <c r="L3" s="120" t="s">
        <v>212</v>
      </c>
      <c r="M3" s="120" t="s">
        <v>401</v>
      </c>
      <c r="N3" s="120" t="s">
        <v>376</v>
      </c>
      <c r="O3" s="120"/>
    </row>
    <row r="4" spans="1:15" ht="20.100000000000001" customHeight="1">
      <c r="A4" s="121" t="s">
        <v>74</v>
      </c>
      <c r="B4" s="121" t="s">
        <v>37</v>
      </c>
      <c r="C4" s="121" t="s">
        <v>38</v>
      </c>
      <c r="D4" s="121" t="s">
        <v>75</v>
      </c>
      <c r="E4" s="121" t="s">
        <v>104</v>
      </c>
      <c r="F4" s="121" t="s">
        <v>24</v>
      </c>
      <c r="G4" s="121" t="s">
        <v>74</v>
      </c>
      <c r="H4" s="121" t="s">
        <v>37</v>
      </c>
      <c r="I4" s="121" t="s">
        <v>38</v>
      </c>
      <c r="J4" s="148" t="s">
        <v>9</v>
      </c>
      <c r="K4" s="148" t="s">
        <v>9</v>
      </c>
      <c r="L4" s="121" t="s">
        <v>152</v>
      </c>
      <c r="M4" s="148" t="s">
        <v>378</v>
      </c>
      <c r="N4" s="148" t="s">
        <v>377</v>
      </c>
      <c r="O4" s="148"/>
    </row>
    <row r="5" spans="1:15" ht="20.100000000000001" customHeight="1">
      <c r="A5" s="121" t="s">
        <v>75</v>
      </c>
      <c r="B5" s="121" t="s">
        <v>76</v>
      </c>
      <c r="C5" s="121" t="s">
        <v>24</v>
      </c>
      <c r="D5" s="121" t="s">
        <v>74</v>
      </c>
      <c r="E5" s="121" t="s">
        <v>95</v>
      </c>
      <c r="F5" s="121" t="s">
        <v>0</v>
      </c>
      <c r="G5" s="121" t="s">
        <v>75</v>
      </c>
      <c r="H5" s="121" t="s">
        <v>76</v>
      </c>
      <c r="I5" s="121" t="s">
        <v>136</v>
      </c>
      <c r="J5" s="121" t="s">
        <v>202</v>
      </c>
      <c r="K5" s="121" t="s">
        <v>179</v>
      </c>
      <c r="L5" s="121" t="s">
        <v>180</v>
      </c>
      <c r="M5" s="121" t="s">
        <v>380</v>
      </c>
      <c r="N5" s="121" t="s">
        <v>379</v>
      </c>
      <c r="O5" s="121"/>
    </row>
    <row r="6" spans="1:15" ht="20.100000000000001" customHeight="1">
      <c r="A6" s="121" t="s">
        <v>30</v>
      </c>
      <c r="B6" s="121" t="s">
        <v>30</v>
      </c>
      <c r="C6" s="121" t="s">
        <v>31</v>
      </c>
      <c r="D6" s="121" t="s">
        <v>30</v>
      </c>
      <c r="E6" s="121" t="s">
        <v>96</v>
      </c>
      <c r="F6" s="121" t="s">
        <v>132</v>
      </c>
      <c r="G6" s="121" t="s">
        <v>137</v>
      </c>
      <c r="H6" s="121" t="s">
        <v>138</v>
      </c>
      <c r="I6" s="121" t="s">
        <v>139</v>
      </c>
      <c r="J6" s="121" t="s">
        <v>14</v>
      </c>
      <c r="K6" s="121" t="s">
        <v>14</v>
      </c>
      <c r="L6" s="121" t="s">
        <v>185</v>
      </c>
      <c r="M6" s="121" t="s">
        <v>459</v>
      </c>
      <c r="N6" s="121" t="s">
        <v>381</v>
      </c>
      <c r="O6" s="121"/>
    </row>
    <row r="7" spans="1:15" ht="20.100000000000001" customHeight="1">
      <c r="A7" s="121" t="s">
        <v>129</v>
      </c>
      <c r="B7" s="121" t="s">
        <v>78</v>
      </c>
      <c r="C7" s="121" t="s">
        <v>65</v>
      </c>
      <c r="D7" s="121" t="s">
        <v>144</v>
      </c>
      <c r="E7" s="121" t="s">
        <v>93</v>
      </c>
      <c r="F7" s="121" t="s">
        <v>209</v>
      </c>
      <c r="G7" s="121" t="s">
        <v>147</v>
      </c>
      <c r="H7" s="121" t="s">
        <v>30</v>
      </c>
      <c r="I7" s="121" t="s">
        <v>31</v>
      </c>
      <c r="J7" s="121" t="s">
        <v>198</v>
      </c>
      <c r="K7" s="121" t="s">
        <v>81</v>
      </c>
      <c r="L7" s="121" t="s">
        <v>160</v>
      </c>
      <c r="M7" s="121" t="s">
        <v>383</v>
      </c>
      <c r="N7" s="121" t="s">
        <v>382</v>
      </c>
      <c r="O7" s="121"/>
    </row>
    <row r="8" spans="1:15" ht="20.100000000000001" customHeight="1">
      <c r="A8" s="121" t="s">
        <v>64</v>
      </c>
      <c r="B8" s="121" t="s">
        <v>78</v>
      </c>
      <c r="C8" s="121" t="s">
        <v>65</v>
      </c>
      <c r="D8" s="121" t="s">
        <v>64</v>
      </c>
      <c r="E8" s="121" t="s">
        <v>95</v>
      </c>
      <c r="F8" s="121" t="s">
        <v>108</v>
      </c>
      <c r="G8" s="121" t="s">
        <v>64</v>
      </c>
      <c r="H8" s="121" t="s">
        <v>78</v>
      </c>
      <c r="I8" s="121" t="s">
        <v>65</v>
      </c>
      <c r="J8" s="121" t="s">
        <v>30</v>
      </c>
      <c r="K8" s="121" t="s">
        <v>30</v>
      </c>
      <c r="L8" s="121" t="s">
        <v>170</v>
      </c>
      <c r="M8" s="121" t="s">
        <v>385</v>
      </c>
      <c r="N8" s="121" t="s">
        <v>384</v>
      </c>
      <c r="O8" s="121"/>
    </row>
    <row r="9" spans="1:15" ht="20.100000000000001" customHeight="1">
      <c r="A9" s="121" t="s">
        <v>79</v>
      </c>
      <c r="B9" s="121" t="s">
        <v>80</v>
      </c>
      <c r="C9" s="121" t="s">
        <v>25</v>
      </c>
      <c r="D9" s="121" t="s">
        <v>89</v>
      </c>
      <c r="E9" s="121" t="s">
        <v>96</v>
      </c>
      <c r="F9" s="121" t="s">
        <v>210</v>
      </c>
      <c r="G9" s="121" t="s">
        <v>79</v>
      </c>
      <c r="H9" s="121" t="s">
        <v>80</v>
      </c>
      <c r="I9" s="121" t="s">
        <v>25</v>
      </c>
      <c r="J9" s="121" t="s">
        <v>144</v>
      </c>
      <c r="K9" s="121" t="s">
        <v>144</v>
      </c>
      <c r="L9" s="121" t="s">
        <v>169</v>
      </c>
      <c r="M9" s="121" t="s">
        <v>387</v>
      </c>
      <c r="N9" s="121" t="s">
        <v>386</v>
      </c>
      <c r="O9" s="121"/>
    </row>
    <row r="10" spans="1:15" ht="20.100000000000001" customHeight="1">
      <c r="A10" s="121" t="s">
        <v>60</v>
      </c>
      <c r="B10" s="121" t="s">
        <v>60</v>
      </c>
      <c r="C10" s="121" t="s">
        <v>24</v>
      </c>
      <c r="D10" s="121" t="s">
        <v>60</v>
      </c>
      <c r="E10" s="121" t="s">
        <v>105</v>
      </c>
      <c r="F10" s="121"/>
      <c r="G10" s="121" t="s">
        <v>60</v>
      </c>
      <c r="H10" s="121" t="s">
        <v>60</v>
      </c>
      <c r="I10" s="121" t="s">
        <v>24</v>
      </c>
      <c r="J10" s="121" t="s">
        <v>172</v>
      </c>
      <c r="K10" s="121" t="s">
        <v>172</v>
      </c>
      <c r="L10" s="121" t="s">
        <v>173</v>
      </c>
      <c r="M10" s="121" t="s">
        <v>389</v>
      </c>
      <c r="N10" s="121" t="s">
        <v>388</v>
      </c>
      <c r="O10" s="121"/>
    </row>
    <row r="11" spans="1:15" ht="20.100000000000001" customHeight="1">
      <c r="A11" s="121" t="s">
        <v>32</v>
      </c>
      <c r="B11" s="121" t="s">
        <v>33</v>
      </c>
      <c r="C11" s="121" t="s">
        <v>34</v>
      </c>
      <c r="D11" s="121" t="s">
        <v>215</v>
      </c>
      <c r="E11" s="121" t="s">
        <v>93</v>
      </c>
      <c r="F11" s="121" t="s">
        <v>94</v>
      </c>
      <c r="G11" s="121" t="s">
        <v>140</v>
      </c>
      <c r="H11" s="121"/>
      <c r="I11" s="121"/>
      <c r="J11" s="121" t="s">
        <v>174</v>
      </c>
      <c r="K11" s="121" t="s">
        <v>174</v>
      </c>
      <c r="L11" s="121" t="s">
        <v>175</v>
      </c>
      <c r="M11" s="121" t="s">
        <v>391</v>
      </c>
      <c r="N11" s="121" t="s">
        <v>390</v>
      </c>
      <c r="O11" s="121"/>
    </row>
    <row r="12" spans="1:15" ht="20.100000000000001" customHeight="1">
      <c r="A12" s="121" t="s">
        <v>17</v>
      </c>
      <c r="B12" s="121" t="s">
        <v>18</v>
      </c>
      <c r="C12" s="121" t="s">
        <v>19</v>
      </c>
      <c r="D12" s="121" t="s">
        <v>216</v>
      </c>
      <c r="E12" s="121" t="s">
        <v>95</v>
      </c>
      <c r="F12" s="121" t="s">
        <v>102</v>
      </c>
      <c r="G12" s="121"/>
      <c r="H12" s="121"/>
      <c r="I12" s="121"/>
      <c r="J12" s="121" t="s">
        <v>195</v>
      </c>
      <c r="K12" s="121" t="s">
        <v>153</v>
      </c>
      <c r="L12" s="121" t="s">
        <v>154</v>
      </c>
      <c r="M12" s="121" t="s">
        <v>393</v>
      </c>
      <c r="N12" s="121" t="s">
        <v>392</v>
      </c>
      <c r="O12" s="121"/>
    </row>
    <row r="13" spans="1:15" ht="20.100000000000001" customHeight="1">
      <c r="A13" s="121" t="s">
        <v>57</v>
      </c>
      <c r="B13" s="121" t="s">
        <v>57</v>
      </c>
      <c r="C13" s="121" t="s">
        <v>58</v>
      </c>
      <c r="D13" s="121" t="s">
        <v>9</v>
      </c>
      <c r="E13" s="121" t="s">
        <v>93</v>
      </c>
      <c r="F13" s="121" t="s">
        <v>103</v>
      </c>
      <c r="G13" s="121"/>
      <c r="H13" s="121"/>
      <c r="I13" s="121"/>
      <c r="J13" s="121" t="s">
        <v>197</v>
      </c>
      <c r="K13" s="121" t="s">
        <v>157</v>
      </c>
      <c r="L13" s="121" t="s">
        <v>158</v>
      </c>
      <c r="M13" s="121" t="s">
        <v>395</v>
      </c>
      <c r="N13" s="121" t="s">
        <v>394</v>
      </c>
      <c r="O13" s="121"/>
    </row>
    <row r="14" spans="1:15" ht="20.100000000000001" customHeight="1">
      <c r="A14" s="121" t="s">
        <v>14</v>
      </c>
      <c r="B14" s="121" t="s">
        <v>14</v>
      </c>
      <c r="C14" s="121" t="s">
        <v>15</v>
      </c>
      <c r="D14" s="121" t="s">
        <v>217</v>
      </c>
      <c r="E14" s="121" t="s">
        <v>96</v>
      </c>
      <c r="F14" s="121" t="s">
        <v>97</v>
      </c>
      <c r="G14" s="121"/>
      <c r="H14" s="121"/>
      <c r="I14" s="121"/>
      <c r="J14" s="148" t="s">
        <v>74</v>
      </c>
      <c r="K14" s="148" t="s">
        <v>74</v>
      </c>
      <c r="L14" s="121" t="s">
        <v>151</v>
      </c>
      <c r="M14" s="148" t="s">
        <v>460</v>
      </c>
      <c r="N14" s="148" t="s">
        <v>396</v>
      </c>
      <c r="O14" s="148"/>
    </row>
    <row r="15" spans="1:15" ht="20.100000000000001" customHeight="1">
      <c r="A15" s="121" t="s">
        <v>12</v>
      </c>
      <c r="B15" s="121" t="s">
        <v>13</v>
      </c>
      <c r="C15" s="121" t="s">
        <v>82</v>
      </c>
      <c r="D15" s="121" t="s">
        <v>57</v>
      </c>
      <c r="E15" s="121" t="s">
        <v>98</v>
      </c>
      <c r="F15" s="121" t="s">
        <v>99</v>
      </c>
      <c r="G15" s="121"/>
      <c r="H15" s="121"/>
      <c r="I15" s="121"/>
      <c r="J15" s="121" t="s">
        <v>46</v>
      </c>
      <c r="K15" s="121" t="s">
        <v>46</v>
      </c>
      <c r="L15" s="121" t="s">
        <v>178</v>
      </c>
      <c r="M15" s="121" t="s">
        <v>399</v>
      </c>
      <c r="N15" s="121" t="s">
        <v>398</v>
      </c>
      <c r="O15" s="121"/>
    </row>
    <row r="16" spans="1:15" ht="20.100000000000001" customHeight="1">
      <c r="A16" s="121" t="s">
        <v>10</v>
      </c>
      <c r="B16" s="121" t="s">
        <v>9</v>
      </c>
      <c r="C16" s="121" t="s">
        <v>11</v>
      </c>
      <c r="D16" s="121" t="s">
        <v>148</v>
      </c>
      <c r="E16" s="121" t="s">
        <v>100</v>
      </c>
      <c r="F16" s="121" t="s">
        <v>101</v>
      </c>
      <c r="G16" s="121"/>
      <c r="H16" s="121"/>
      <c r="I16" s="121"/>
      <c r="J16" s="121" t="s">
        <v>200</v>
      </c>
      <c r="K16" s="121" t="s">
        <v>162</v>
      </c>
      <c r="L16" s="121" t="s">
        <v>163</v>
      </c>
      <c r="M16" s="121" t="s">
        <v>402</v>
      </c>
      <c r="N16" s="121" t="s">
        <v>400</v>
      </c>
      <c r="O16" s="121"/>
    </row>
    <row r="17" spans="1:15" ht="20.100000000000001" customHeight="1">
      <c r="A17" s="121" t="s">
        <v>26</v>
      </c>
      <c r="B17" s="121" t="s">
        <v>26</v>
      </c>
      <c r="C17" s="121" t="s">
        <v>27</v>
      </c>
      <c r="D17" s="121" t="s">
        <v>79</v>
      </c>
      <c r="E17" s="121" t="s">
        <v>104</v>
      </c>
      <c r="F17" s="121"/>
      <c r="G17" s="121"/>
      <c r="H17" s="121"/>
      <c r="I17" s="121"/>
      <c r="J17" s="121" t="s">
        <v>166</v>
      </c>
      <c r="K17" s="121" t="s">
        <v>166</v>
      </c>
      <c r="L17" s="121"/>
      <c r="M17" s="121"/>
      <c r="N17" s="121"/>
      <c r="O17" s="121"/>
    </row>
    <row r="18" spans="1:15" ht="20.100000000000001" customHeight="1">
      <c r="A18" s="121" t="s">
        <v>35</v>
      </c>
      <c r="B18" s="121" t="s">
        <v>35</v>
      </c>
      <c r="C18" s="121" t="s">
        <v>36</v>
      </c>
      <c r="D18" s="121" t="s">
        <v>218</v>
      </c>
      <c r="E18" s="121" t="s">
        <v>104</v>
      </c>
      <c r="F18" s="121"/>
      <c r="G18" s="121"/>
      <c r="H18" s="121"/>
      <c r="I18" s="121"/>
      <c r="J18" s="121" t="s">
        <v>196</v>
      </c>
      <c r="K18" s="121" t="s">
        <v>155</v>
      </c>
      <c r="L18" s="121" t="s">
        <v>156</v>
      </c>
      <c r="M18" s="121"/>
      <c r="N18" s="121"/>
      <c r="O18" s="121"/>
    </row>
    <row r="19" spans="1:15" ht="20.100000000000001" customHeight="1">
      <c r="A19" s="121" t="s">
        <v>44</v>
      </c>
      <c r="B19" s="121" t="s">
        <v>44</v>
      </c>
      <c r="C19" s="121" t="s">
        <v>45</v>
      </c>
      <c r="D19" s="121" t="s">
        <v>219</v>
      </c>
      <c r="E19" s="121" t="s">
        <v>106</v>
      </c>
      <c r="F19" s="121"/>
      <c r="G19" s="121"/>
      <c r="H19" s="121"/>
      <c r="I19" s="121"/>
      <c r="J19" s="121" t="s">
        <v>201</v>
      </c>
      <c r="K19" s="121" t="s">
        <v>164</v>
      </c>
      <c r="L19" s="121" t="s">
        <v>165</v>
      </c>
      <c r="M19" s="121"/>
      <c r="N19" s="121"/>
      <c r="O19" s="121"/>
    </row>
    <row r="20" spans="1:15" ht="20.100000000000001" customHeight="1">
      <c r="A20" s="121" t="s">
        <v>22</v>
      </c>
      <c r="B20" s="121" t="s">
        <v>22</v>
      </c>
      <c r="C20" s="121" t="s">
        <v>23</v>
      </c>
      <c r="D20" s="121" t="s">
        <v>220</v>
      </c>
      <c r="E20" s="121" t="s">
        <v>107</v>
      </c>
      <c r="F20" s="121"/>
      <c r="G20" s="121"/>
      <c r="H20" s="121"/>
      <c r="I20" s="121"/>
      <c r="J20" s="121" t="s">
        <v>55</v>
      </c>
      <c r="K20" s="121" t="s">
        <v>55</v>
      </c>
      <c r="L20" s="121" t="s">
        <v>159</v>
      </c>
      <c r="M20" s="121"/>
      <c r="N20" s="121"/>
      <c r="O20" s="121"/>
    </row>
    <row r="21" spans="1:15" ht="20.100000000000001" customHeight="1">
      <c r="A21" s="121" t="s">
        <v>83</v>
      </c>
      <c r="B21" s="121" t="s">
        <v>84</v>
      </c>
      <c r="C21" s="121" t="s">
        <v>16</v>
      </c>
      <c r="D21" s="121"/>
      <c r="E21" s="121"/>
      <c r="F21" s="121"/>
      <c r="G21" s="121"/>
      <c r="H21" s="121"/>
      <c r="I21" s="121"/>
      <c r="J21" s="121" t="s">
        <v>167</v>
      </c>
      <c r="K21" s="121" t="s">
        <v>167</v>
      </c>
      <c r="L21" s="121" t="s">
        <v>168</v>
      </c>
      <c r="M21" s="121"/>
      <c r="N21" s="121"/>
      <c r="O21" s="121"/>
    </row>
    <row r="22" spans="1:15" ht="20.100000000000001" customHeight="1">
      <c r="A22" s="121" t="s">
        <v>46</v>
      </c>
      <c r="B22" s="121" t="s">
        <v>46</v>
      </c>
      <c r="C22" s="121" t="s">
        <v>47</v>
      </c>
      <c r="D22" s="121"/>
      <c r="E22" s="121"/>
      <c r="F22" s="121"/>
      <c r="G22" s="121"/>
      <c r="H22" s="121"/>
      <c r="I22" s="121"/>
      <c r="J22" s="121" t="s">
        <v>57</v>
      </c>
      <c r="K22" s="121" t="s">
        <v>57</v>
      </c>
      <c r="L22" s="121" t="s">
        <v>150</v>
      </c>
      <c r="M22" s="121"/>
      <c r="N22" s="121"/>
      <c r="O22" s="121"/>
    </row>
    <row r="23" spans="1:15" ht="20.100000000000001" customHeight="1">
      <c r="A23" s="121" t="s">
        <v>85</v>
      </c>
      <c r="B23" s="121" t="s">
        <v>86</v>
      </c>
      <c r="C23" s="121" t="s">
        <v>39</v>
      </c>
      <c r="D23" s="121"/>
      <c r="E23" s="121"/>
      <c r="F23" s="121"/>
      <c r="G23" s="121"/>
      <c r="H23" s="121"/>
      <c r="I23" s="121"/>
      <c r="J23" s="121" t="s">
        <v>176</v>
      </c>
      <c r="K23" s="121" t="s">
        <v>176</v>
      </c>
      <c r="L23" s="121" t="s">
        <v>177</v>
      </c>
      <c r="M23" s="121"/>
      <c r="N23" s="121"/>
      <c r="O23" s="121"/>
    </row>
    <row r="24" spans="1:15" ht="20.100000000000001" customHeight="1">
      <c r="A24" s="121" t="s">
        <v>62</v>
      </c>
      <c r="B24" s="121" t="s">
        <v>87</v>
      </c>
      <c r="C24" s="121" t="s">
        <v>63</v>
      </c>
      <c r="D24" s="121"/>
      <c r="E24" s="121"/>
      <c r="F24" s="121"/>
      <c r="G24" s="121"/>
      <c r="H24" s="121"/>
      <c r="I24" s="121"/>
      <c r="J24" s="121" t="s">
        <v>193</v>
      </c>
      <c r="K24" s="121" t="s">
        <v>193</v>
      </c>
      <c r="L24" s="121" t="s">
        <v>194</v>
      </c>
      <c r="M24" s="121"/>
      <c r="N24" s="121"/>
      <c r="O24" s="121"/>
    </row>
    <row r="25" spans="1:15" ht="20.100000000000001" customHeight="1">
      <c r="A25" s="121" t="s">
        <v>66</v>
      </c>
      <c r="B25" s="121" t="s">
        <v>88</v>
      </c>
      <c r="C25" s="121" t="s">
        <v>67</v>
      </c>
      <c r="D25" s="121"/>
      <c r="E25" s="121"/>
      <c r="F25" s="121"/>
      <c r="G25" s="121"/>
      <c r="H25" s="121"/>
      <c r="I25" s="121"/>
      <c r="J25" s="121" t="s">
        <v>186</v>
      </c>
      <c r="K25" s="121" t="s">
        <v>186</v>
      </c>
      <c r="L25" s="121" t="s">
        <v>187</v>
      </c>
      <c r="M25" s="121"/>
      <c r="N25" s="121"/>
      <c r="O25" s="121"/>
    </row>
    <row r="26" spans="1:15" ht="20.100000000000001" customHeight="1">
      <c r="A26" s="121" t="s">
        <v>89</v>
      </c>
      <c r="B26" s="121" t="s">
        <v>90</v>
      </c>
      <c r="C26" s="121" t="s">
        <v>61</v>
      </c>
      <c r="D26" s="121"/>
      <c r="E26" s="121"/>
      <c r="F26" s="121"/>
      <c r="G26" s="121"/>
      <c r="H26" s="121"/>
      <c r="I26" s="121"/>
      <c r="J26" s="121" t="s">
        <v>60</v>
      </c>
      <c r="K26" s="121" t="s">
        <v>60</v>
      </c>
      <c r="L26" s="121"/>
      <c r="M26" s="121"/>
      <c r="N26" s="121"/>
      <c r="O26" s="121"/>
    </row>
    <row r="27" spans="1:15" ht="20.100000000000001" customHeight="1">
      <c r="A27" s="121" t="s">
        <v>91</v>
      </c>
      <c r="B27" s="121" t="s">
        <v>92</v>
      </c>
      <c r="C27" s="121" t="s">
        <v>48</v>
      </c>
      <c r="D27" s="121"/>
      <c r="E27" s="121"/>
      <c r="F27" s="121"/>
      <c r="G27" s="121"/>
      <c r="H27" s="121"/>
      <c r="I27" s="121"/>
      <c r="J27" s="121" t="s">
        <v>89</v>
      </c>
      <c r="K27" s="121" t="s">
        <v>89</v>
      </c>
      <c r="L27" s="121" t="s">
        <v>171</v>
      </c>
      <c r="M27" s="121"/>
      <c r="N27" s="121"/>
      <c r="O27" s="121"/>
    </row>
    <row r="28" spans="1:15" ht="20.100000000000001" customHeight="1">
      <c r="A28" s="121" t="s">
        <v>55</v>
      </c>
      <c r="B28" s="121" t="s">
        <v>55</v>
      </c>
      <c r="C28" s="121" t="s">
        <v>56</v>
      </c>
      <c r="D28" s="121"/>
      <c r="E28" s="121"/>
      <c r="F28" s="121"/>
      <c r="G28" s="121"/>
      <c r="H28" s="121"/>
      <c r="I28" s="121"/>
      <c r="J28" s="121" t="s">
        <v>64</v>
      </c>
      <c r="K28" s="121" t="s">
        <v>64</v>
      </c>
      <c r="L28" s="121" t="s">
        <v>192</v>
      </c>
      <c r="M28" s="121"/>
      <c r="N28" s="121"/>
      <c r="O28" s="121"/>
    </row>
    <row r="29" spans="1:15" ht="20.100000000000001" customHeight="1">
      <c r="A29" s="121" t="s">
        <v>28</v>
      </c>
      <c r="B29" s="121" t="s">
        <v>28</v>
      </c>
      <c r="C29" s="121" t="s">
        <v>29</v>
      </c>
      <c r="D29" s="121"/>
      <c r="E29" s="121"/>
      <c r="F29" s="121"/>
      <c r="G29" s="121"/>
      <c r="H29" s="121"/>
      <c r="I29" s="121"/>
      <c r="J29" s="121" t="s">
        <v>148</v>
      </c>
      <c r="K29" s="121" t="s">
        <v>148</v>
      </c>
      <c r="L29" s="121" t="s">
        <v>149</v>
      </c>
      <c r="M29" s="121"/>
      <c r="N29" s="121"/>
      <c r="O29" s="121"/>
    </row>
    <row r="30" spans="1:15" ht="20.100000000000001" customHeight="1">
      <c r="A30" s="121" t="s">
        <v>51</v>
      </c>
      <c r="B30" s="121" t="s">
        <v>51</v>
      </c>
      <c r="C30" s="121" t="s">
        <v>52</v>
      </c>
      <c r="D30" s="121"/>
      <c r="E30" s="121"/>
      <c r="F30" s="121"/>
      <c r="G30" s="121"/>
      <c r="H30" s="121"/>
      <c r="I30" s="121"/>
      <c r="J30" s="121" t="s">
        <v>190</v>
      </c>
      <c r="K30" s="121" t="s">
        <v>190</v>
      </c>
      <c r="L30" s="121" t="s">
        <v>191</v>
      </c>
      <c r="M30" s="121"/>
      <c r="N30" s="121"/>
      <c r="O30" s="121"/>
    </row>
    <row r="31" spans="1:15" ht="20.100000000000001" customHeight="1">
      <c r="A31" s="121" t="s">
        <v>20</v>
      </c>
      <c r="B31" s="121" t="s">
        <v>20</v>
      </c>
      <c r="C31" s="121" t="s">
        <v>21</v>
      </c>
      <c r="D31" s="121"/>
      <c r="E31" s="121"/>
      <c r="F31" s="121"/>
      <c r="G31" s="121"/>
      <c r="H31" s="121"/>
      <c r="I31" s="121"/>
      <c r="J31" s="121" t="s">
        <v>203</v>
      </c>
      <c r="K31" s="121" t="s">
        <v>181</v>
      </c>
      <c r="L31" s="121" t="s">
        <v>182</v>
      </c>
      <c r="M31" s="121"/>
      <c r="N31" s="121"/>
      <c r="O31" s="121"/>
    </row>
    <row r="32" spans="1:15" ht="20.100000000000001" customHeight="1">
      <c r="A32" s="121" t="s">
        <v>49</v>
      </c>
      <c r="B32" s="121" t="s">
        <v>49</v>
      </c>
      <c r="C32" s="121" t="s">
        <v>50</v>
      </c>
      <c r="D32" s="121"/>
      <c r="E32" s="121"/>
      <c r="F32" s="121"/>
      <c r="G32" s="121"/>
      <c r="H32" s="121"/>
      <c r="I32" s="121"/>
      <c r="J32" s="121" t="s">
        <v>199</v>
      </c>
      <c r="K32" s="121" t="s">
        <v>77</v>
      </c>
      <c r="L32" s="121" t="s">
        <v>161</v>
      </c>
      <c r="M32" s="121"/>
      <c r="N32" s="121"/>
      <c r="O32" s="121"/>
    </row>
    <row r="33" spans="1:15" ht="20.100000000000001" customHeight="1">
      <c r="A33" s="121" t="s">
        <v>42</v>
      </c>
      <c r="B33" s="121" t="s">
        <v>42</v>
      </c>
      <c r="C33" s="121" t="s">
        <v>43</v>
      </c>
      <c r="D33" s="121"/>
      <c r="E33" s="121"/>
      <c r="F33" s="121"/>
      <c r="G33" s="121"/>
      <c r="H33" s="121"/>
      <c r="I33" s="121"/>
      <c r="J33" s="121" t="s">
        <v>204</v>
      </c>
      <c r="K33" s="121" t="s">
        <v>183</v>
      </c>
      <c r="L33" s="121" t="s">
        <v>184</v>
      </c>
      <c r="M33" s="121"/>
      <c r="N33" s="121"/>
      <c r="O33" s="121"/>
    </row>
    <row r="34" spans="1:15" ht="20.100000000000001" customHeight="1">
      <c r="A34" s="121" t="s">
        <v>53</v>
      </c>
      <c r="B34" s="121" t="s">
        <v>53</v>
      </c>
      <c r="C34" s="121" t="s">
        <v>54</v>
      </c>
      <c r="D34" s="121"/>
      <c r="E34" s="121"/>
      <c r="F34" s="121"/>
      <c r="G34" s="121"/>
      <c r="H34" s="121"/>
      <c r="I34" s="121"/>
      <c r="J34" s="121" t="s">
        <v>188</v>
      </c>
      <c r="K34" s="121" t="s">
        <v>188</v>
      </c>
      <c r="L34" s="121" t="s">
        <v>189</v>
      </c>
      <c r="M34" s="121"/>
      <c r="N34" s="121"/>
      <c r="O34" s="121"/>
    </row>
    <row r="35" spans="1:15" ht="20.100000000000001" customHeight="1">
      <c r="A35" s="121" t="s">
        <v>40</v>
      </c>
      <c r="B35" s="121" t="s">
        <v>40</v>
      </c>
      <c r="C35" s="121" t="s">
        <v>41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</row>
    <row r="36" spans="1:15" ht="20.100000000000001" customHeight="1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</row>
    <row r="37" spans="1:15" ht="20.100000000000001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</row>
    <row r="38" spans="1:15" ht="20.100000000000001" customHeight="1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</row>
    <row r="39" spans="1:15" ht="20.100000000000001" customHeight="1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</row>
    <row r="40" spans="1:15" ht="20.100000000000001" customHeight="1">
      <c r="A40" s="149"/>
      <c r="B40" s="149"/>
      <c r="C40" s="149"/>
      <c r="D40" s="149"/>
      <c r="E40" s="149"/>
      <c r="F40" s="149"/>
      <c r="G40" s="149"/>
      <c r="H40" s="149"/>
      <c r="I40" s="149"/>
      <c r="J40" s="150"/>
      <c r="K40" s="149"/>
      <c r="L40" s="149"/>
      <c r="M40" s="150"/>
      <c r="N40" s="150"/>
      <c r="O40" s="149"/>
    </row>
    <row r="41" spans="1:15" ht="20.100000000000001" customHeight="1">
      <c r="J41" s="97"/>
      <c r="M41" s="97"/>
    </row>
    <row r="42" spans="1:15" ht="20.100000000000001" customHeight="1">
      <c r="J42" s="97"/>
      <c r="M42" s="97"/>
    </row>
    <row r="43" spans="1:15" ht="20.100000000000001" customHeight="1">
      <c r="J43" s="97"/>
      <c r="M43" s="97"/>
    </row>
    <row r="44" spans="1:15" ht="20.100000000000001" customHeight="1">
      <c r="J44" s="97"/>
      <c r="M44" s="97"/>
    </row>
    <row r="45" spans="1:15" ht="20.100000000000001" customHeight="1">
      <c r="J45" s="97"/>
      <c r="M45" s="97"/>
    </row>
    <row r="46" spans="1:15" ht="20.100000000000001" customHeight="1">
      <c r="J46" s="97"/>
      <c r="M46" s="97"/>
    </row>
    <row r="47" spans="1:15" ht="20.100000000000001" customHeight="1">
      <c r="J47" s="97"/>
      <c r="M47" s="97"/>
    </row>
    <row r="48" spans="1:15" ht="20.100000000000001" customHeight="1">
      <c r="J48" s="97"/>
      <c r="M48" s="97"/>
    </row>
    <row r="49" spans="10:13" ht="20.100000000000001" customHeight="1">
      <c r="J49" s="97"/>
      <c r="M49" s="97"/>
    </row>
    <row r="50" spans="10:13" ht="20.100000000000001" customHeight="1">
      <c r="J50" s="97"/>
      <c r="M50" s="97"/>
    </row>
    <row r="51" spans="10:13" ht="20.100000000000001" customHeight="1">
      <c r="J51" s="97"/>
      <c r="M51" s="97"/>
    </row>
    <row r="52" spans="10:13" ht="20.100000000000001" customHeight="1">
      <c r="J52" s="97"/>
      <c r="M52" s="97"/>
    </row>
    <row r="53" spans="10:13" ht="20.100000000000001" customHeight="1">
      <c r="J53" s="97"/>
      <c r="M53" s="97"/>
    </row>
    <row r="54" spans="10:13" ht="20.100000000000001" customHeight="1">
      <c r="J54" s="97"/>
      <c r="M54" s="97"/>
    </row>
    <row r="55" spans="10:13" ht="20.100000000000001" customHeight="1">
      <c r="J55" s="97"/>
      <c r="M55" s="97"/>
    </row>
    <row r="56" spans="10:13" ht="20.100000000000001" customHeight="1">
      <c r="J56" s="97"/>
      <c r="M56" s="97"/>
    </row>
    <row r="57" spans="10:13" ht="20.100000000000001" customHeight="1">
      <c r="J57" s="97"/>
      <c r="M57" s="97"/>
    </row>
    <row r="58" spans="10:13" ht="20.100000000000001" customHeight="1">
      <c r="J58" s="97"/>
      <c r="M58" s="97"/>
    </row>
    <row r="59" spans="10:13" ht="20.100000000000001" customHeight="1">
      <c r="J59" s="97"/>
      <c r="M59" s="97"/>
    </row>
    <row r="60" spans="10:13" ht="20.100000000000001" customHeight="1">
      <c r="J60" s="97"/>
      <c r="M60" s="97"/>
    </row>
    <row r="61" spans="10:13" ht="20.100000000000001" customHeight="1">
      <c r="J61" s="97"/>
      <c r="M61" s="97"/>
    </row>
    <row r="62" spans="10:13" ht="20.100000000000001" customHeight="1">
      <c r="J62" s="97"/>
      <c r="M62" s="97"/>
    </row>
    <row r="63" spans="10:13" ht="20.100000000000001" customHeight="1">
      <c r="J63" s="97"/>
      <c r="M63" s="97"/>
    </row>
    <row r="64" spans="10:13" ht="20.100000000000001" customHeight="1">
      <c r="J64" s="97"/>
      <c r="M64" s="97"/>
    </row>
    <row r="65" spans="10:13" ht="20.100000000000001" customHeight="1">
      <c r="J65" s="97"/>
      <c r="M65" s="97"/>
    </row>
    <row r="66" spans="10:13" ht="20.100000000000001" customHeight="1">
      <c r="J66" s="97"/>
      <c r="M66" s="97"/>
    </row>
    <row r="67" spans="10:13" ht="20.100000000000001" customHeight="1">
      <c r="J67" s="97"/>
      <c r="M67" s="97"/>
    </row>
    <row r="68" spans="10:13" ht="20.100000000000001" customHeight="1">
      <c r="J68" s="97"/>
      <c r="M68" s="97"/>
    </row>
    <row r="69" spans="10:13" ht="20.100000000000001" customHeight="1">
      <c r="J69" s="97"/>
      <c r="M69" s="97"/>
    </row>
    <row r="70" spans="10:13" ht="20.100000000000001" customHeight="1">
      <c r="J70" s="97"/>
      <c r="M70" s="97"/>
    </row>
    <row r="71" spans="10:13" ht="20.100000000000001" customHeight="1">
      <c r="J71" s="97"/>
      <c r="M71" s="97"/>
    </row>
    <row r="72" spans="10:13" ht="20.100000000000001" customHeight="1">
      <c r="J72" s="97"/>
      <c r="M72" s="97"/>
    </row>
    <row r="73" spans="10:13" ht="20.100000000000001" customHeight="1">
      <c r="J73" s="97"/>
      <c r="M73" s="97"/>
    </row>
  </sheetData>
  <sortState ref="J3:M35">
    <sortCondition ref="J3:J35"/>
  </sortState>
  <customSheetViews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D8"/>
  <sheetViews>
    <sheetView workbookViewId="0"/>
  </sheetViews>
  <sheetFormatPr defaultRowHeight="15"/>
  <sheetData>
    <row r="1" spans="1:4">
      <c r="A1" t="s">
        <v>485</v>
      </c>
      <c r="B1" t="s">
        <v>362</v>
      </c>
      <c r="C1" t="s">
        <v>486</v>
      </c>
      <c r="D1" t="s">
        <v>487</v>
      </c>
    </row>
    <row r="2" spans="1:4">
      <c r="A2">
        <v>1</v>
      </c>
      <c r="B2" t="s">
        <v>488</v>
      </c>
      <c r="C2" t="s">
        <v>489</v>
      </c>
      <c r="D2" s="255">
        <v>44475.621087962965</v>
      </c>
    </row>
    <row r="3" spans="1:4">
      <c r="A3">
        <v>2</v>
      </c>
      <c r="B3" t="s">
        <v>490</v>
      </c>
      <c r="C3" t="s">
        <v>491</v>
      </c>
      <c r="D3" s="255">
        <v>44475.621099537035</v>
      </c>
    </row>
    <row r="4" spans="1:4">
      <c r="A4">
        <v>3</v>
      </c>
      <c r="B4" t="s">
        <v>492</v>
      </c>
      <c r="C4" t="s">
        <v>493</v>
      </c>
      <c r="D4" s="255">
        <v>44475.621099537035</v>
      </c>
    </row>
    <row r="5" spans="1:4">
      <c r="A5">
        <v>4</v>
      </c>
      <c r="B5" t="s">
        <v>494</v>
      </c>
      <c r="C5" t="s">
        <v>495</v>
      </c>
      <c r="D5" s="255">
        <v>44475.621111111112</v>
      </c>
    </row>
    <row r="6" spans="1:4">
      <c r="A6">
        <v>5</v>
      </c>
      <c r="B6" t="s">
        <v>496</v>
      </c>
      <c r="C6" t="s">
        <v>497</v>
      </c>
      <c r="D6" s="255">
        <v>44475.621111111112</v>
      </c>
    </row>
    <row r="7" spans="1:4">
      <c r="A7">
        <v>6</v>
      </c>
      <c r="B7" t="s">
        <v>498</v>
      </c>
      <c r="C7" t="s">
        <v>499</v>
      </c>
      <c r="D7" s="255">
        <v>44475.621111111112</v>
      </c>
    </row>
    <row r="8" spans="1:4">
      <c r="A8">
        <v>7</v>
      </c>
      <c r="B8" t="s">
        <v>500</v>
      </c>
      <c r="C8" t="s">
        <v>501</v>
      </c>
      <c r="D8" s="255">
        <v>44475.621111111112</v>
      </c>
    </row>
  </sheetData>
  <phoneticPr fontId="1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B31" sqref="B31"/>
    </sheetView>
  </sheetViews>
  <sheetFormatPr defaultRowHeight="15" customHeight="1"/>
  <cols>
    <col min="1" max="1" width="9.140625" style="103"/>
    <col min="2" max="2" width="80.7109375" style="104" customWidth="1"/>
    <col min="3" max="3" width="9.140625" style="79"/>
    <col min="4" max="16384" width="9.140625" style="80"/>
  </cols>
  <sheetData>
    <row r="1" spans="1:25" ht="15" customHeight="1">
      <c r="A1" s="78" t="s">
        <v>249</v>
      </c>
      <c r="B1" s="78" t="s">
        <v>267</v>
      </c>
    </row>
    <row r="2" spans="1:25" ht="15" customHeight="1">
      <c r="A2" s="81"/>
      <c r="B2" s="82" t="s">
        <v>287</v>
      </c>
      <c r="C2" s="80"/>
    </row>
    <row r="3" spans="1:25" ht="15" customHeight="1">
      <c r="A3" s="98">
        <v>1</v>
      </c>
      <c r="B3" s="99" t="s">
        <v>434</v>
      </c>
      <c r="V3" s="80" t="s">
        <v>433</v>
      </c>
      <c r="Y3" s="182">
        <v>44454</v>
      </c>
    </row>
    <row r="4" spans="1:25" ht="15" customHeight="1">
      <c r="A4" s="98">
        <v>2</v>
      </c>
      <c r="B4" s="99" t="s">
        <v>435</v>
      </c>
    </row>
    <row r="5" spans="1:25" ht="15" customHeight="1">
      <c r="A5" s="98">
        <v>3</v>
      </c>
      <c r="B5" s="99" t="s">
        <v>436</v>
      </c>
    </row>
    <row r="6" spans="1:25" ht="15" customHeight="1">
      <c r="A6" s="98">
        <v>4</v>
      </c>
      <c r="B6" s="99" t="s">
        <v>437</v>
      </c>
    </row>
    <row r="7" spans="1:25" ht="15" customHeight="1">
      <c r="A7" s="98">
        <v>5</v>
      </c>
      <c r="B7" s="99"/>
    </row>
    <row r="8" spans="1:25" ht="15" customHeight="1">
      <c r="A8" s="98"/>
      <c r="B8" s="99"/>
    </row>
    <row r="9" spans="1:25" ht="15" customHeight="1">
      <c r="A9" s="98"/>
      <c r="B9" s="99"/>
    </row>
    <row r="10" spans="1:25" ht="15" customHeight="1">
      <c r="A10" s="98"/>
      <c r="B10" s="99"/>
    </row>
    <row r="11" spans="1:25" ht="15" customHeight="1">
      <c r="A11" s="98"/>
      <c r="B11" s="99"/>
    </row>
    <row r="12" spans="1:25" ht="15" customHeight="1">
      <c r="A12" s="98"/>
      <c r="B12" s="99"/>
    </row>
    <row r="13" spans="1:25" ht="15" customHeight="1">
      <c r="A13" s="98">
        <v>100</v>
      </c>
      <c r="B13" s="99" t="s">
        <v>438</v>
      </c>
    </row>
    <row r="14" spans="1:25" ht="15" customHeight="1">
      <c r="A14" s="98"/>
      <c r="B14" s="99"/>
    </row>
    <row r="15" spans="1:25" ht="15" customHeight="1">
      <c r="A15" s="98">
        <v>200</v>
      </c>
      <c r="B15" s="99" t="s">
        <v>439</v>
      </c>
    </row>
    <row r="16" spans="1:25" ht="15" customHeight="1">
      <c r="A16" s="98">
        <v>201</v>
      </c>
      <c r="B16" s="99" t="s">
        <v>440</v>
      </c>
    </row>
    <row r="17" spans="1:2" ht="15" customHeight="1">
      <c r="A17" s="98">
        <v>202</v>
      </c>
      <c r="B17" s="99" t="s">
        <v>441</v>
      </c>
    </row>
    <row r="18" spans="1:2" ht="15" customHeight="1">
      <c r="A18" s="98">
        <v>203</v>
      </c>
      <c r="B18" s="99" t="s">
        <v>442</v>
      </c>
    </row>
    <row r="19" spans="1:2" ht="15" customHeight="1">
      <c r="A19" s="98">
        <v>204</v>
      </c>
      <c r="B19" s="99" t="s">
        <v>443</v>
      </c>
    </row>
    <row r="20" spans="1:2" ht="15" customHeight="1">
      <c r="A20" s="98">
        <v>205</v>
      </c>
      <c r="B20" s="99" t="s">
        <v>444</v>
      </c>
    </row>
    <row r="21" spans="1:2" ht="15" customHeight="1">
      <c r="A21" s="98"/>
      <c r="B21" s="99"/>
    </row>
    <row r="22" spans="1:2" ht="15" customHeight="1">
      <c r="A22" s="98"/>
      <c r="B22" s="102"/>
    </row>
    <row r="23" spans="1:2" ht="15" customHeight="1">
      <c r="A23" s="98"/>
      <c r="B23" s="99"/>
    </row>
    <row r="24" spans="1:2" ht="15" customHeight="1">
      <c r="A24" s="81"/>
      <c r="B24" s="82" t="s">
        <v>445</v>
      </c>
    </row>
    <row r="25" spans="1:2" ht="15" customHeight="1">
      <c r="A25" s="98">
        <v>400</v>
      </c>
      <c r="B25" s="102" t="s">
        <v>446</v>
      </c>
    </row>
    <row r="26" spans="1:2" ht="15" customHeight="1">
      <c r="A26" s="98">
        <v>401</v>
      </c>
      <c r="B26" s="99" t="s">
        <v>447</v>
      </c>
    </row>
    <row r="27" spans="1:2" ht="15" customHeight="1">
      <c r="A27" s="98">
        <v>402</v>
      </c>
      <c r="B27" s="99" t="s">
        <v>448</v>
      </c>
    </row>
    <row r="28" spans="1:2" ht="15" customHeight="1">
      <c r="A28" s="98">
        <v>403</v>
      </c>
      <c r="B28" s="102" t="s">
        <v>449</v>
      </c>
    </row>
    <row r="29" spans="1:2" ht="15" customHeight="1">
      <c r="A29" s="98">
        <v>404</v>
      </c>
      <c r="B29" s="99" t="s">
        <v>450</v>
      </c>
    </row>
    <row r="30" spans="1:2" ht="15" customHeight="1">
      <c r="A30" s="98">
        <v>405</v>
      </c>
      <c r="B30" s="99" t="s">
        <v>451</v>
      </c>
    </row>
    <row r="31" spans="1:2" ht="15" customHeight="1">
      <c r="A31" s="98">
        <v>406</v>
      </c>
      <c r="B31" s="99" t="s">
        <v>452</v>
      </c>
    </row>
    <row r="32" spans="1:2" ht="15" customHeight="1">
      <c r="A32" s="98">
        <v>407</v>
      </c>
      <c r="B32" s="102" t="s">
        <v>453</v>
      </c>
    </row>
    <row r="33" spans="1:2" ht="15" customHeight="1">
      <c r="A33" s="98">
        <v>408</v>
      </c>
      <c r="B33" s="99" t="s">
        <v>268</v>
      </c>
    </row>
    <row r="34" spans="1:2" ht="15" customHeight="1">
      <c r="A34" s="98">
        <v>409</v>
      </c>
      <c r="B34" s="102" t="s">
        <v>454</v>
      </c>
    </row>
    <row r="35" spans="1:2" ht="15" customHeight="1">
      <c r="A35" s="98"/>
      <c r="B35" s="99"/>
    </row>
    <row r="36" spans="1:2" ht="15" customHeight="1">
      <c r="A36" s="98">
        <v>500</v>
      </c>
      <c r="B36" s="102" t="s">
        <v>455</v>
      </c>
    </row>
    <row r="37" spans="1:2" ht="15" customHeight="1">
      <c r="A37" s="98">
        <v>501</v>
      </c>
      <c r="B37" s="102" t="s">
        <v>456</v>
      </c>
    </row>
    <row r="38" spans="1:2" ht="15" customHeight="1">
      <c r="A38" s="98">
        <v>502</v>
      </c>
      <c r="B38" s="99" t="s">
        <v>457</v>
      </c>
    </row>
    <row r="39" spans="1:2" ht="15" customHeight="1">
      <c r="A39" s="98">
        <v>502</v>
      </c>
      <c r="B39" s="99" t="s">
        <v>458</v>
      </c>
    </row>
    <row r="40" spans="1:2" ht="15" customHeight="1">
      <c r="A40" s="98"/>
      <c r="B40" s="99"/>
    </row>
    <row r="41" spans="1:2" ht="15" customHeight="1">
      <c r="A41" s="98"/>
      <c r="B41" s="102"/>
    </row>
    <row r="42" spans="1:2" ht="15" customHeight="1">
      <c r="A42" s="98"/>
      <c r="B42" s="102"/>
    </row>
    <row r="43" spans="1:2" ht="15" customHeight="1">
      <c r="A43" s="81"/>
      <c r="B43" s="82" t="s">
        <v>288</v>
      </c>
    </row>
    <row r="44" spans="1:2" ht="15" customHeight="1">
      <c r="A44" s="98"/>
      <c r="B44" s="99"/>
    </row>
    <row r="45" spans="1:2" ht="15" customHeight="1">
      <c r="A45" s="98"/>
      <c r="B45" s="99"/>
    </row>
    <row r="46" spans="1:2" ht="15" customHeight="1">
      <c r="A46" s="98"/>
      <c r="B46" s="99"/>
    </row>
    <row r="47" spans="1:2" ht="15" customHeight="1">
      <c r="A47" s="98"/>
      <c r="B47" s="99"/>
    </row>
    <row r="48" spans="1:2" ht="15" customHeight="1">
      <c r="A48" s="81"/>
      <c r="B48" s="82"/>
    </row>
    <row r="49" spans="1:2" ht="15" customHeight="1">
      <c r="A49" s="98">
        <v>9</v>
      </c>
      <c r="B49" s="99" t="s">
        <v>269</v>
      </c>
    </row>
    <row r="50" spans="1:2" ht="15" customHeight="1">
      <c r="A50" s="98">
        <v>13</v>
      </c>
      <c r="B50" s="99" t="s">
        <v>270</v>
      </c>
    </row>
    <row r="51" spans="1:2" ht="15" customHeight="1">
      <c r="A51" s="98">
        <v>53</v>
      </c>
      <c r="B51" s="99" t="s">
        <v>286</v>
      </c>
    </row>
    <row r="52" spans="1:2" ht="15" customHeight="1">
      <c r="A52" s="98">
        <v>91</v>
      </c>
      <c r="B52" s="99" t="s">
        <v>271</v>
      </c>
    </row>
    <row r="53" spans="1:2" ht="15" customHeight="1">
      <c r="A53" s="100">
        <v>1004</v>
      </c>
      <c r="B53" s="101" t="s">
        <v>272</v>
      </c>
    </row>
  </sheetData>
  <phoneticPr fontId="1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5"/>
  <dimension ref="A1:AB62"/>
  <sheetViews>
    <sheetView showGridLines="0" zoomScaleNormal="100" workbookViewId="0">
      <pane ySplit="8" topLeftCell="A9" activePane="bottomLeft" state="frozen"/>
      <selection activeCell="T23" sqref="T23"/>
      <selection pane="bottomLeft" activeCell="D9" sqref="D9"/>
    </sheetView>
  </sheetViews>
  <sheetFormatPr defaultColWidth="11.7109375" defaultRowHeight="18" customHeight="1"/>
  <cols>
    <col min="1" max="1" width="12.85546875" style="105" bestFit="1" customWidth="1"/>
    <col min="2" max="2" width="3.42578125" style="105" customWidth="1"/>
    <col min="3" max="3" width="5.7109375" style="23" customWidth="1"/>
    <col min="4" max="5" width="40.7109375" style="23" customWidth="1"/>
    <col min="6" max="6" width="15.7109375" style="23" customWidth="1"/>
    <col min="7" max="7" width="11.85546875" style="23" customWidth="1"/>
    <col min="8" max="8" width="3" style="23" hidden="1" customWidth="1"/>
    <col min="9" max="12" width="3" style="23" customWidth="1"/>
    <col min="13" max="18" width="3" style="23" hidden="1" customWidth="1"/>
    <col min="19" max="19" width="11.7109375" style="23" hidden="1" customWidth="1"/>
    <col min="20" max="20" width="15.7109375" style="23" customWidth="1"/>
    <col min="21" max="21" width="20.7109375" style="23" customWidth="1"/>
    <col min="22" max="22" width="15.7109375" style="23" customWidth="1"/>
    <col min="23" max="23" width="20.7109375" style="23" customWidth="1"/>
    <col min="24" max="24" width="9" style="94" customWidth="1"/>
    <col min="27" max="16384" width="11.7109375" style="23"/>
  </cols>
  <sheetData>
    <row r="1" spans="1:28" ht="15" customHeight="1" thickBot="1">
      <c r="A1" s="249"/>
      <c r="B1" s="249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AA1"/>
    </row>
    <row r="2" spans="1:28" ht="18" customHeight="1">
      <c r="A2" s="147"/>
      <c r="B2" s="147"/>
      <c r="C2" s="267" t="s">
        <v>462</v>
      </c>
      <c r="D2" s="268"/>
      <c r="E2" s="269"/>
      <c r="F2" s="208" t="s">
        <v>360</v>
      </c>
      <c r="G2" s="234" t="str">
        <f>ProjectName</f>
        <v>○△□プロジェクト</v>
      </c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6"/>
      <c r="T2" s="106" t="s">
        <v>3</v>
      </c>
      <c r="U2" s="252" t="str">
        <f>CreateBy</f>
        <v>○○　✕✕</v>
      </c>
      <c r="V2" s="106" t="s">
        <v>4</v>
      </c>
      <c r="W2" s="211">
        <f>CreateAt</f>
        <v>44287</v>
      </c>
      <c r="AA2"/>
    </row>
    <row r="3" spans="1:28" ht="18" customHeight="1" thickBot="1">
      <c r="C3" s="270"/>
      <c r="D3" s="271"/>
      <c r="E3" s="272"/>
      <c r="F3" s="205" t="s">
        <v>361</v>
      </c>
      <c r="G3" s="237" t="str">
        <f>systemName</f>
        <v>○✕システム</v>
      </c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9"/>
      <c r="T3" s="107" t="s">
        <v>6</v>
      </c>
      <c r="U3" s="254"/>
      <c r="V3" s="107" t="s">
        <v>7</v>
      </c>
      <c r="W3" s="212"/>
      <c r="X3" s="214"/>
      <c r="AA3"/>
      <c r="AB3" s="247"/>
    </row>
    <row r="4" spans="1:28" ht="5.25" customHeight="1" thickBot="1">
      <c r="C4" s="266"/>
      <c r="D4" s="266"/>
      <c r="AA4"/>
    </row>
    <row r="5" spans="1:28" ht="18" customHeight="1">
      <c r="B5" s="105" t="s">
        <v>463</v>
      </c>
      <c r="C5" s="273" t="s">
        <v>214</v>
      </c>
      <c r="D5" s="274"/>
      <c r="E5" s="160"/>
      <c r="F5" s="208" t="s">
        <v>362</v>
      </c>
      <c r="G5" s="234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6"/>
      <c r="T5" s="106" t="s">
        <v>238</v>
      </c>
      <c r="U5" s="209"/>
      <c r="V5" s="106" t="s">
        <v>282</v>
      </c>
      <c r="W5" s="207"/>
      <c r="AA5"/>
    </row>
    <row r="6" spans="1:28" ht="18" customHeight="1" thickBot="1">
      <c r="C6" s="264" t="s">
        <v>118</v>
      </c>
      <c r="D6" s="265"/>
      <c r="E6" s="275"/>
      <c r="F6" s="276"/>
      <c r="G6" s="276"/>
      <c r="H6" s="276"/>
      <c r="I6" s="276"/>
      <c r="J6" s="276"/>
      <c r="K6" s="276"/>
      <c r="L6" s="276"/>
      <c r="M6" s="238"/>
      <c r="N6" s="238"/>
      <c r="O6" s="238"/>
      <c r="P6" s="238"/>
      <c r="Q6" s="238"/>
      <c r="R6" s="238"/>
      <c r="S6" s="239"/>
      <c r="T6" s="107" t="s">
        <v>236</v>
      </c>
      <c r="U6" s="204" t="str">
        <f>IF(Instance&lt;&gt;"",Instance,"")</f>
        <v/>
      </c>
      <c r="V6" s="107"/>
      <c r="W6" s="206"/>
      <c r="AA6"/>
    </row>
    <row r="7" spans="1:28" ht="13.5" customHeight="1" thickBot="1"/>
    <row r="8" spans="1:28" ht="18" customHeight="1" thickBot="1">
      <c r="A8" s="105" t="s">
        <v>310</v>
      </c>
      <c r="C8" s="111" t="s">
        <v>298</v>
      </c>
      <c r="D8" s="210" t="s">
        <v>284</v>
      </c>
      <c r="E8" s="210" t="s">
        <v>285</v>
      </c>
      <c r="F8" s="210" t="s">
        <v>1</v>
      </c>
      <c r="G8" s="210" t="s">
        <v>8</v>
      </c>
      <c r="H8" s="210" t="s">
        <v>121</v>
      </c>
      <c r="I8" s="210" t="s">
        <v>122</v>
      </c>
      <c r="J8" s="210" t="s">
        <v>123</v>
      </c>
      <c r="K8" s="210" t="s">
        <v>299</v>
      </c>
      <c r="L8" s="210" t="s">
        <v>296</v>
      </c>
      <c r="M8" s="210" t="s">
        <v>291</v>
      </c>
      <c r="N8" s="210" t="s">
        <v>292</v>
      </c>
      <c r="O8" s="210" t="s">
        <v>293</v>
      </c>
      <c r="P8" s="210" t="s">
        <v>294</v>
      </c>
      <c r="Q8" s="210" t="s">
        <v>295</v>
      </c>
      <c r="R8" s="210" t="s">
        <v>297</v>
      </c>
      <c r="S8" s="112" t="s">
        <v>124</v>
      </c>
      <c r="T8" s="210" t="s">
        <v>116</v>
      </c>
      <c r="U8" s="244" t="s">
        <v>125</v>
      </c>
      <c r="V8" s="245"/>
      <c r="W8" s="246"/>
      <c r="AA8" s="215" t="s">
        <v>464</v>
      </c>
      <c r="AB8" s="216" t="s">
        <v>120</v>
      </c>
    </row>
    <row r="9" spans="1:28" ht="18" customHeight="1">
      <c r="A9" s="105" t="s">
        <v>314</v>
      </c>
      <c r="C9" s="1">
        <f t="shared" ref="C9:C38" si="0">ROW()-8</f>
        <v>1</v>
      </c>
      <c r="D9" s="156"/>
      <c r="E9" s="156"/>
      <c r="F9" s="159"/>
      <c r="G9" s="42"/>
      <c r="H9" s="39"/>
      <c r="I9" s="40"/>
      <c r="J9" s="40"/>
      <c r="K9" s="40"/>
      <c r="L9" s="40"/>
      <c r="M9" s="40"/>
      <c r="N9" s="40"/>
      <c r="O9" s="40"/>
      <c r="P9" s="40"/>
      <c r="Q9" s="40"/>
      <c r="R9" s="40"/>
      <c r="S9" s="41"/>
      <c r="T9" s="2" t="s">
        <v>511</v>
      </c>
      <c r="U9" s="179"/>
      <c r="V9" s="180"/>
      <c r="W9" s="181"/>
      <c r="AA9" s="217" t="str">
        <f t="shared" ref="AA9:AA50" si="1">IF(E9&lt;&gt;"",LEN(E9),"")</f>
        <v/>
      </c>
      <c r="AB9" s="218"/>
    </row>
    <row r="10" spans="1:28" ht="18" customHeight="1">
      <c r="A10" s="105" t="s">
        <v>314</v>
      </c>
      <c r="C10" s="3">
        <f t="shared" si="0"/>
        <v>2</v>
      </c>
      <c r="D10" s="159"/>
      <c r="E10" s="159"/>
      <c r="F10" s="159"/>
      <c r="G10" s="42"/>
      <c r="H10" s="39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1"/>
      <c r="T10" s="4"/>
      <c r="U10" s="173"/>
      <c r="V10" s="174"/>
      <c r="W10" s="175"/>
      <c r="AA10" s="217" t="str">
        <f t="shared" si="1"/>
        <v/>
      </c>
      <c r="AB10" s="218"/>
    </row>
    <row r="11" spans="1:28" ht="18" customHeight="1">
      <c r="A11" s="105" t="s">
        <v>314</v>
      </c>
      <c r="C11" s="3">
        <f t="shared" si="0"/>
        <v>3</v>
      </c>
      <c r="D11" s="159"/>
      <c r="E11" s="159"/>
      <c r="F11" s="159"/>
      <c r="G11" s="42"/>
      <c r="H11" s="39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1"/>
      <c r="T11" s="4"/>
      <c r="U11" s="173"/>
      <c r="V11" s="174"/>
      <c r="W11" s="175"/>
      <c r="AA11" s="217" t="str">
        <f t="shared" si="1"/>
        <v/>
      </c>
      <c r="AB11" s="218"/>
    </row>
    <row r="12" spans="1:28" ht="18" customHeight="1">
      <c r="A12" s="105" t="s">
        <v>314</v>
      </c>
      <c r="C12" s="3">
        <f t="shared" si="0"/>
        <v>4</v>
      </c>
      <c r="D12" s="159"/>
      <c r="E12" s="159"/>
      <c r="F12" s="159"/>
      <c r="G12" s="42"/>
      <c r="H12" s="39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1"/>
      <c r="T12" s="4"/>
      <c r="U12" s="173"/>
      <c r="V12" s="174"/>
      <c r="W12" s="175"/>
      <c r="AA12" s="217" t="str">
        <f t="shared" si="1"/>
        <v/>
      </c>
      <c r="AB12" s="218"/>
    </row>
    <row r="13" spans="1:28" ht="18" customHeight="1">
      <c r="A13" s="105" t="s">
        <v>314</v>
      </c>
      <c r="C13" s="3">
        <f t="shared" si="0"/>
        <v>5</v>
      </c>
      <c r="D13" s="159"/>
      <c r="E13" s="159"/>
      <c r="F13" s="159"/>
      <c r="G13" s="42"/>
      <c r="H13" s="39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  <c r="T13" s="4"/>
      <c r="U13" s="173"/>
      <c r="V13" s="174"/>
      <c r="W13" s="175"/>
      <c r="AA13" s="217" t="str">
        <f t="shared" si="1"/>
        <v/>
      </c>
      <c r="AB13" s="218"/>
    </row>
    <row r="14" spans="1:28" ht="18" customHeight="1">
      <c r="A14" s="105" t="s">
        <v>314</v>
      </c>
      <c r="C14" s="3">
        <f t="shared" si="0"/>
        <v>6</v>
      </c>
      <c r="D14" s="159"/>
      <c r="E14" s="159"/>
      <c r="F14" s="159"/>
      <c r="G14" s="42"/>
      <c r="H14" s="39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1"/>
      <c r="T14" s="4"/>
      <c r="U14" s="183"/>
      <c r="V14" s="174"/>
      <c r="W14" s="175"/>
      <c r="AA14" s="217" t="str">
        <f t="shared" si="1"/>
        <v/>
      </c>
      <c r="AB14" s="218"/>
    </row>
    <row r="15" spans="1:28" ht="18" customHeight="1">
      <c r="A15" s="105" t="s">
        <v>314</v>
      </c>
      <c r="C15" s="3">
        <f t="shared" si="0"/>
        <v>7</v>
      </c>
      <c r="D15" s="159"/>
      <c r="E15" s="159"/>
      <c r="F15" s="159"/>
      <c r="G15" s="42"/>
      <c r="H15" s="39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1"/>
      <c r="T15" s="4"/>
      <c r="U15" s="173"/>
      <c r="V15" s="174"/>
      <c r="W15" s="175"/>
      <c r="AA15" s="217" t="str">
        <f t="shared" si="1"/>
        <v/>
      </c>
      <c r="AB15" s="218"/>
    </row>
    <row r="16" spans="1:28" ht="18" customHeight="1">
      <c r="A16" s="105" t="s">
        <v>314</v>
      </c>
      <c r="C16" s="3">
        <f t="shared" si="0"/>
        <v>8</v>
      </c>
      <c r="D16" s="159"/>
      <c r="E16" s="159"/>
      <c r="F16" s="159"/>
      <c r="G16" s="42"/>
      <c r="H16" s="39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1"/>
      <c r="T16" s="4"/>
      <c r="U16" s="173"/>
      <c r="V16" s="174"/>
      <c r="W16" s="175"/>
      <c r="AA16" s="217" t="str">
        <f t="shared" si="1"/>
        <v/>
      </c>
      <c r="AB16" s="218"/>
    </row>
    <row r="17" spans="1:28" ht="18" customHeight="1">
      <c r="A17" s="105" t="s">
        <v>314</v>
      </c>
      <c r="C17" s="3">
        <f t="shared" si="0"/>
        <v>9</v>
      </c>
      <c r="D17" s="159"/>
      <c r="E17" s="159"/>
      <c r="F17" s="159"/>
      <c r="G17" s="42"/>
      <c r="H17" s="39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1"/>
      <c r="T17" s="4"/>
      <c r="U17" s="173"/>
      <c r="V17" s="174"/>
      <c r="W17" s="175"/>
      <c r="AA17" s="217" t="str">
        <f t="shared" si="1"/>
        <v/>
      </c>
      <c r="AB17" s="218"/>
    </row>
    <row r="18" spans="1:28" ht="18" customHeight="1">
      <c r="A18" s="105" t="s">
        <v>314</v>
      </c>
      <c r="C18" s="3">
        <f t="shared" si="0"/>
        <v>10</v>
      </c>
      <c r="D18" s="159"/>
      <c r="E18" s="159"/>
      <c r="F18" s="159"/>
      <c r="G18" s="42"/>
      <c r="H18" s="39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1"/>
      <c r="T18" s="4"/>
      <c r="U18" s="173"/>
      <c r="V18" s="174"/>
      <c r="W18" s="175"/>
      <c r="AA18" s="217" t="str">
        <f t="shared" si="1"/>
        <v/>
      </c>
      <c r="AB18" s="218"/>
    </row>
    <row r="19" spans="1:28" ht="18" customHeight="1">
      <c r="A19" s="105" t="s">
        <v>314</v>
      </c>
      <c r="C19" s="3">
        <f t="shared" si="0"/>
        <v>11</v>
      </c>
      <c r="D19" s="159"/>
      <c r="E19" s="159"/>
      <c r="F19" s="159"/>
      <c r="G19" s="42"/>
      <c r="H19" s="39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1"/>
      <c r="T19" s="4"/>
      <c r="U19" s="173"/>
      <c r="V19" s="174"/>
      <c r="W19" s="175"/>
      <c r="AA19" s="217" t="str">
        <f t="shared" si="1"/>
        <v/>
      </c>
      <c r="AB19" s="218"/>
    </row>
    <row r="20" spans="1:28" ht="18" customHeight="1">
      <c r="A20" s="105" t="s">
        <v>314</v>
      </c>
      <c r="C20" s="3">
        <f t="shared" si="0"/>
        <v>12</v>
      </c>
      <c r="D20" s="159"/>
      <c r="E20" s="159"/>
      <c r="F20" s="159"/>
      <c r="G20" s="42"/>
      <c r="H20" s="39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1"/>
      <c r="T20" s="4"/>
      <c r="U20" s="173"/>
      <c r="V20" s="174"/>
      <c r="W20" s="175"/>
      <c r="AA20" s="217" t="str">
        <f t="shared" si="1"/>
        <v/>
      </c>
      <c r="AB20" s="218"/>
    </row>
    <row r="21" spans="1:28" ht="18" customHeight="1">
      <c r="A21" s="105" t="s">
        <v>314</v>
      </c>
      <c r="C21" s="3">
        <f t="shared" si="0"/>
        <v>13</v>
      </c>
      <c r="D21" s="159"/>
      <c r="E21" s="159"/>
      <c r="F21" s="159"/>
      <c r="G21" s="42"/>
      <c r="H21" s="39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1"/>
      <c r="T21" s="4"/>
      <c r="U21" s="173"/>
      <c r="V21" s="174"/>
      <c r="W21" s="175"/>
      <c r="AA21" s="217" t="str">
        <f t="shared" si="1"/>
        <v/>
      </c>
      <c r="AB21" s="218"/>
    </row>
    <row r="22" spans="1:28" ht="18" customHeight="1">
      <c r="A22" s="105" t="s">
        <v>314</v>
      </c>
      <c r="C22" s="3">
        <f t="shared" si="0"/>
        <v>14</v>
      </c>
      <c r="D22" s="159"/>
      <c r="E22" s="159"/>
      <c r="F22" s="159"/>
      <c r="G22" s="42"/>
      <c r="H22" s="39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  <c r="T22" s="4"/>
      <c r="U22" s="173"/>
      <c r="V22" s="174"/>
      <c r="W22" s="175"/>
      <c r="AA22" s="217" t="str">
        <f t="shared" si="1"/>
        <v/>
      </c>
      <c r="AB22" s="218"/>
    </row>
    <row r="23" spans="1:28" ht="18" customHeight="1">
      <c r="A23" s="105" t="s">
        <v>314</v>
      </c>
      <c r="C23" s="3">
        <f t="shared" si="0"/>
        <v>15</v>
      </c>
      <c r="D23" s="159"/>
      <c r="E23" s="159"/>
      <c r="F23" s="159"/>
      <c r="G23" s="42"/>
      <c r="H23" s="39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  <c r="T23" s="4"/>
      <c r="U23" s="173"/>
      <c r="V23" s="174"/>
      <c r="W23" s="175"/>
      <c r="AA23" s="217" t="str">
        <f t="shared" si="1"/>
        <v/>
      </c>
      <c r="AB23" s="218"/>
    </row>
    <row r="24" spans="1:28" ht="18" customHeight="1">
      <c r="A24" s="105" t="s">
        <v>314</v>
      </c>
      <c r="C24" s="3">
        <f t="shared" si="0"/>
        <v>16</v>
      </c>
      <c r="D24" s="159"/>
      <c r="E24" s="159"/>
      <c r="F24" s="159"/>
      <c r="G24" s="42"/>
      <c r="H24" s="39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  <c r="T24" s="4"/>
      <c r="U24" s="173"/>
      <c r="V24" s="174"/>
      <c r="W24" s="175"/>
      <c r="AA24" s="217" t="str">
        <f t="shared" si="1"/>
        <v/>
      </c>
      <c r="AB24" s="218"/>
    </row>
    <row r="25" spans="1:28" ht="18" customHeight="1">
      <c r="A25" s="105" t="s">
        <v>314</v>
      </c>
      <c r="C25" s="3">
        <f t="shared" si="0"/>
        <v>17</v>
      </c>
      <c r="D25" s="159"/>
      <c r="E25" s="159"/>
      <c r="F25" s="159"/>
      <c r="G25" s="42"/>
      <c r="H25" s="39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1"/>
      <c r="T25" s="4"/>
      <c r="U25" s="173"/>
      <c r="V25" s="174"/>
      <c r="W25" s="175"/>
      <c r="AA25" s="217" t="str">
        <f t="shared" si="1"/>
        <v/>
      </c>
      <c r="AB25" s="218"/>
    </row>
    <row r="26" spans="1:28" ht="18" customHeight="1">
      <c r="A26" s="105" t="s">
        <v>314</v>
      </c>
      <c r="C26" s="3">
        <f t="shared" si="0"/>
        <v>18</v>
      </c>
      <c r="D26" s="159"/>
      <c r="E26" s="159"/>
      <c r="F26" s="159"/>
      <c r="G26" s="42"/>
      <c r="H26" s="39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  <c r="T26" s="4"/>
      <c r="U26" s="173"/>
      <c r="V26" s="174"/>
      <c r="W26" s="175"/>
      <c r="AA26" s="217" t="str">
        <f t="shared" si="1"/>
        <v/>
      </c>
      <c r="AB26" s="218"/>
    </row>
    <row r="27" spans="1:28" ht="18" customHeight="1">
      <c r="A27" s="105" t="s">
        <v>314</v>
      </c>
      <c r="C27" s="3">
        <f t="shared" si="0"/>
        <v>19</v>
      </c>
      <c r="D27" s="159"/>
      <c r="E27" s="159"/>
      <c r="F27" s="159"/>
      <c r="G27" s="42"/>
      <c r="H27" s="39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1"/>
      <c r="T27" s="4"/>
      <c r="U27" s="173"/>
      <c r="V27" s="174"/>
      <c r="W27" s="175"/>
      <c r="AA27" s="217" t="str">
        <f t="shared" si="1"/>
        <v/>
      </c>
      <c r="AB27" s="218"/>
    </row>
    <row r="28" spans="1:28" ht="18" customHeight="1">
      <c r="A28" s="105" t="s">
        <v>314</v>
      </c>
      <c r="C28" s="3">
        <f t="shared" si="0"/>
        <v>20</v>
      </c>
      <c r="D28" s="159"/>
      <c r="E28" s="159"/>
      <c r="F28" s="159"/>
      <c r="G28" s="42"/>
      <c r="H28" s="39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1"/>
      <c r="T28" s="4"/>
      <c r="U28" s="173"/>
      <c r="V28" s="174"/>
      <c r="W28" s="175"/>
      <c r="AA28" s="217" t="str">
        <f t="shared" si="1"/>
        <v/>
      </c>
      <c r="AB28" s="218"/>
    </row>
    <row r="29" spans="1:28" ht="18" customHeight="1">
      <c r="A29" s="105" t="s">
        <v>314</v>
      </c>
      <c r="C29" s="3">
        <f t="shared" si="0"/>
        <v>21</v>
      </c>
      <c r="D29" s="159"/>
      <c r="E29" s="159"/>
      <c r="F29" s="159"/>
      <c r="G29" s="42"/>
      <c r="H29" s="39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1"/>
      <c r="T29" s="4"/>
      <c r="U29" s="173"/>
      <c r="V29" s="174"/>
      <c r="W29" s="175"/>
      <c r="AA29" s="217" t="str">
        <f t="shared" si="1"/>
        <v/>
      </c>
      <c r="AB29" s="218"/>
    </row>
    <row r="30" spans="1:28" ht="18" customHeight="1">
      <c r="A30" s="105" t="s">
        <v>314</v>
      </c>
      <c r="C30" s="3">
        <f t="shared" si="0"/>
        <v>22</v>
      </c>
      <c r="D30" s="159"/>
      <c r="E30" s="159"/>
      <c r="F30" s="159"/>
      <c r="G30" s="42"/>
      <c r="H30" s="39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"/>
      <c r="U30" s="173"/>
      <c r="V30" s="174"/>
      <c r="W30" s="175"/>
      <c r="AA30" s="217" t="str">
        <f t="shared" si="1"/>
        <v/>
      </c>
      <c r="AB30" s="218"/>
    </row>
    <row r="31" spans="1:28" ht="18" customHeight="1">
      <c r="A31" s="105" t="s">
        <v>314</v>
      </c>
      <c r="C31" s="3">
        <f t="shared" si="0"/>
        <v>23</v>
      </c>
      <c r="D31" s="159"/>
      <c r="E31" s="159"/>
      <c r="F31" s="159"/>
      <c r="G31" s="42"/>
      <c r="H31" s="39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1"/>
      <c r="T31" s="4"/>
      <c r="U31" s="173"/>
      <c r="V31" s="174"/>
      <c r="W31" s="175"/>
      <c r="AA31" s="217" t="str">
        <f t="shared" si="1"/>
        <v/>
      </c>
      <c r="AB31" s="218"/>
    </row>
    <row r="32" spans="1:28" ht="18" customHeight="1">
      <c r="A32" s="105" t="s">
        <v>314</v>
      </c>
      <c r="C32" s="3">
        <f t="shared" si="0"/>
        <v>24</v>
      </c>
      <c r="D32" s="159"/>
      <c r="E32" s="159"/>
      <c r="F32" s="159"/>
      <c r="G32" s="42"/>
      <c r="H32" s="39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1"/>
      <c r="T32" s="4"/>
      <c r="U32" s="173"/>
      <c r="V32" s="174"/>
      <c r="W32" s="175"/>
      <c r="AA32" s="217" t="str">
        <f t="shared" si="1"/>
        <v/>
      </c>
      <c r="AB32" s="218"/>
    </row>
    <row r="33" spans="1:28" ht="18" customHeight="1">
      <c r="A33" s="105" t="s">
        <v>314</v>
      </c>
      <c r="C33" s="3">
        <f t="shared" si="0"/>
        <v>25</v>
      </c>
      <c r="D33" s="159"/>
      <c r="E33" s="159"/>
      <c r="F33" s="159"/>
      <c r="G33" s="42"/>
      <c r="H33" s="39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1"/>
      <c r="T33" s="4"/>
      <c r="U33" s="173"/>
      <c r="V33" s="174"/>
      <c r="W33" s="175"/>
      <c r="AA33" s="217" t="str">
        <f t="shared" si="1"/>
        <v/>
      </c>
      <c r="AB33" s="218"/>
    </row>
    <row r="34" spans="1:28" ht="18" customHeight="1">
      <c r="A34" s="105" t="s">
        <v>314</v>
      </c>
      <c r="C34" s="3">
        <f t="shared" si="0"/>
        <v>26</v>
      </c>
      <c r="D34" s="159"/>
      <c r="E34" s="159"/>
      <c r="F34" s="159"/>
      <c r="G34" s="42"/>
      <c r="H34" s="39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1"/>
      <c r="T34" s="4"/>
      <c r="U34" s="173"/>
      <c r="V34" s="174"/>
      <c r="W34" s="175"/>
      <c r="AA34" s="217" t="str">
        <f t="shared" si="1"/>
        <v/>
      </c>
      <c r="AB34" s="218"/>
    </row>
    <row r="35" spans="1:28" ht="18" customHeight="1">
      <c r="A35" s="105" t="s">
        <v>314</v>
      </c>
      <c r="C35" s="3">
        <f t="shared" si="0"/>
        <v>27</v>
      </c>
      <c r="D35" s="159"/>
      <c r="E35" s="159"/>
      <c r="F35" s="159"/>
      <c r="G35" s="42"/>
      <c r="H35" s="39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1"/>
      <c r="T35" s="4"/>
      <c r="U35" s="173"/>
      <c r="V35" s="174"/>
      <c r="W35" s="175"/>
      <c r="AA35" s="217" t="str">
        <f t="shared" si="1"/>
        <v/>
      </c>
      <c r="AB35" s="218"/>
    </row>
    <row r="36" spans="1:28" ht="18" customHeight="1">
      <c r="A36" s="105" t="s">
        <v>314</v>
      </c>
      <c r="C36" s="3">
        <f t="shared" si="0"/>
        <v>28</v>
      </c>
      <c r="D36" s="159"/>
      <c r="E36" s="159"/>
      <c r="F36" s="159"/>
      <c r="G36" s="42"/>
      <c r="H36" s="39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1"/>
      <c r="T36" s="4"/>
      <c r="U36" s="173"/>
      <c r="V36" s="174"/>
      <c r="W36" s="175"/>
      <c r="AA36" s="217" t="str">
        <f t="shared" si="1"/>
        <v/>
      </c>
      <c r="AB36" s="218"/>
    </row>
    <row r="37" spans="1:28" ht="18" customHeight="1">
      <c r="A37" s="105" t="s">
        <v>314</v>
      </c>
      <c r="C37" s="3">
        <f t="shared" si="0"/>
        <v>29</v>
      </c>
      <c r="D37" s="159"/>
      <c r="E37" s="159"/>
      <c r="F37" s="159"/>
      <c r="G37" s="42"/>
      <c r="H37" s="39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1"/>
      <c r="T37" s="4"/>
      <c r="U37" s="173"/>
      <c r="V37" s="174"/>
      <c r="W37" s="175"/>
      <c r="AA37" s="217" t="str">
        <f t="shared" si="1"/>
        <v/>
      </c>
      <c r="AB37" s="218"/>
    </row>
    <row r="38" spans="1:28" ht="18" customHeight="1">
      <c r="A38" s="105" t="s">
        <v>314</v>
      </c>
      <c r="C38" s="3">
        <f t="shared" si="0"/>
        <v>30</v>
      </c>
      <c r="D38" s="159"/>
      <c r="E38" s="159"/>
      <c r="F38" s="159"/>
      <c r="G38" s="42"/>
      <c r="H38" s="39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1"/>
      <c r="T38" s="4"/>
      <c r="U38" s="173"/>
      <c r="V38" s="174"/>
      <c r="W38" s="175"/>
      <c r="AA38" s="217" t="str">
        <f t="shared" si="1"/>
        <v/>
      </c>
      <c r="AB38" s="218"/>
    </row>
    <row r="39" spans="1:28" ht="18" customHeight="1">
      <c r="A39" s="105" t="s">
        <v>314</v>
      </c>
      <c r="C39" s="3">
        <f t="shared" ref="C39:C50" si="2">ROW()-8</f>
        <v>31</v>
      </c>
      <c r="D39" s="159"/>
      <c r="E39" s="159"/>
      <c r="F39" s="159"/>
      <c r="G39" s="42"/>
      <c r="H39" s="39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  <c r="T39" s="4"/>
      <c r="U39" s="173"/>
      <c r="V39" s="174"/>
      <c r="W39" s="175"/>
      <c r="AA39" s="217" t="str">
        <f t="shared" si="1"/>
        <v/>
      </c>
      <c r="AB39" s="218"/>
    </row>
    <row r="40" spans="1:28" ht="18" customHeight="1">
      <c r="A40" s="105" t="s">
        <v>314</v>
      </c>
      <c r="C40" s="3">
        <f t="shared" si="2"/>
        <v>32</v>
      </c>
      <c r="D40" s="159"/>
      <c r="E40" s="159"/>
      <c r="F40" s="159"/>
      <c r="G40" s="42"/>
      <c r="H40" s="39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1"/>
      <c r="T40" s="4"/>
      <c r="U40" s="173"/>
      <c r="V40" s="174"/>
      <c r="W40" s="175"/>
      <c r="AA40" s="217" t="str">
        <f t="shared" si="1"/>
        <v/>
      </c>
      <c r="AB40" s="218"/>
    </row>
    <row r="41" spans="1:28" ht="18" customHeight="1">
      <c r="A41" s="105" t="s">
        <v>314</v>
      </c>
      <c r="C41" s="3">
        <f t="shared" si="2"/>
        <v>33</v>
      </c>
      <c r="D41" s="159"/>
      <c r="E41" s="159"/>
      <c r="F41" s="159"/>
      <c r="G41" s="42"/>
      <c r="H41" s="39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1"/>
      <c r="T41" s="4"/>
      <c r="U41" s="173"/>
      <c r="V41" s="174"/>
      <c r="W41" s="175"/>
      <c r="AA41" s="217" t="str">
        <f t="shared" si="1"/>
        <v/>
      </c>
      <c r="AB41" s="218"/>
    </row>
    <row r="42" spans="1:28" ht="18" customHeight="1">
      <c r="A42" s="105" t="s">
        <v>314</v>
      </c>
      <c r="C42" s="3">
        <f t="shared" si="2"/>
        <v>34</v>
      </c>
      <c r="D42" s="159"/>
      <c r="E42" s="159"/>
      <c r="F42" s="159"/>
      <c r="G42" s="42"/>
      <c r="H42" s="39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1"/>
      <c r="T42" s="4"/>
      <c r="U42" s="173"/>
      <c r="V42" s="174"/>
      <c r="W42" s="175"/>
      <c r="AA42" s="217" t="str">
        <f t="shared" si="1"/>
        <v/>
      </c>
      <c r="AB42" s="218"/>
    </row>
    <row r="43" spans="1:28" ht="18" customHeight="1">
      <c r="A43" s="105" t="s">
        <v>314</v>
      </c>
      <c r="C43" s="3">
        <f t="shared" si="2"/>
        <v>35</v>
      </c>
      <c r="D43" s="159"/>
      <c r="E43" s="159"/>
      <c r="F43" s="159"/>
      <c r="G43" s="42"/>
      <c r="H43" s="39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1"/>
      <c r="T43" s="4"/>
      <c r="U43" s="173"/>
      <c r="V43" s="174"/>
      <c r="W43" s="175"/>
      <c r="AA43" s="217" t="str">
        <f t="shared" si="1"/>
        <v/>
      </c>
      <c r="AB43" s="218"/>
    </row>
    <row r="44" spans="1:28" ht="18" customHeight="1">
      <c r="A44" s="105" t="s">
        <v>314</v>
      </c>
      <c r="C44" s="3">
        <f t="shared" si="2"/>
        <v>36</v>
      </c>
      <c r="D44" s="159"/>
      <c r="E44" s="159"/>
      <c r="F44" s="159"/>
      <c r="G44" s="42"/>
      <c r="H44" s="39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1"/>
      <c r="T44" s="4"/>
      <c r="U44" s="173"/>
      <c r="V44" s="174"/>
      <c r="W44" s="175"/>
      <c r="AA44" s="217" t="str">
        <f t="shared" si="1"/>
        <v/>
      </c>
      <c r="AB44" s="218"/>
    </row>
    <row r="45" spans="1:28" ht="18" customHeight="1">
      <c r="A45" s="105" t="s">
        <v>314</v>
      </c>
      <c r="C45" s="3">
        <f t="shared" si="2"/>
        <v>37</v>
      </c>
      <c r="D45" s="159"/>
      <c r="E45" s="159"/>
      <c r="F45" s="159"/>
      <c r="G45" s="42"/>
      <c r="H45" s="39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1"/>
      <c r="T45" s="4"/>
      <c r="U45" s="173"/>
      <c r="V45" s="174"/>
      <c r="W45" s="175"/>
      <c r="AA45" s="217" t="str">
        <f t="shared" si="1"/>
        <v/>
      </c>
      <c r="AB45" s="218"/>
    </row>
    <row r="46" spans="1:28" ht="18" customHeight="1">
      <c r="C46" s="3">
        <f t="shared" si="2"/>
        <v>38</v>
      </c>
      <c r="D46" s="159"/>
      <c r="E46" s="159"/>
      <c r="F46" s="159"/>
      <c r="G46" s="42"/>
      <c r="H46" s="39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"/>
      <c r="U46" s="173"/>
      <c r="V46" s="174"/>
      <c r="W46" s="175"/>
      <c r="AA46" s="217"/>
      <c r="AB46" s="218"/>
    </row>
    <row r="47" spans="1:28" ht="18" customHeight="1">
      <c r="C47" s="3">
        <f t="shared" si="2"/>
        <v>39</v>
      </c>
      <c r="D47" s="159"/>
      <c r="E47" s="159"/>
      <c r="F47" s="159"/>
      <c r="G47" s="42"/>
      <c r="H47" s="39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1"/>
      <c r="T47" s="4"/>
      <c r="U47" s="173"/>
      <c r="V47" s="174"/>
      <c r="W47" s="175"/>
      <c r="AA47" s="217"/>
      <c r="AB47" s="218"/>
    </row>
    <row r="48" spans="1:28" ht="18" customHeight="1">
      <c r="A48" s="105" t="s">
        <v>314</v>
      </c>
      <c r="C48" s="3">
        <f t="shared" si="2"/>
        <v>40</v>
      </c>
      <c r="D48" s="159"/>
      <c r="E48" s="159"/>
      <c r="F48" s="159"/>
      <c r="G48" s="42"/>
      <c r="H48" s="39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1"/>
      <c r="T48" s="4"/>
      <c r="U48" s="173"/>
      <c r="V48" s="174"/>
      <c r="W48" s="175"/>
      <c r="AA48" s="217" t="str">
        <f t="shared" si="1"/>
        <v/>
      </c>
      <c r="AB48" s="218"/>
    </row>
    <row r="49" spans="1:28" ht="18" customHeight="1">
      <c r="A49" s="105" t="s">
        <v>314</v>
      </c>
      <c r="C49" s="3">
        <f t="shared" si="2"/>
        <v>41</v>
      </c>
      <c r="D49" s="159"/>
      <c r="E49" s="159"/>
      <c r="F49" s="159"/>
      <c r="G49" s="42"/>
      <c r="H49" s="39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1"/>
      <c r="T49" s="4"/>
      <c r="U49" s="173"/>
      <c r="V49" s="174"/>
      <c r="W49" s="175"/>
      <c r="AA49" s="217" t="str">
        <f t="shared" si="1"/>
        <v/>
      </c>
      <c r="AB49" s="218"/>
    </row>
    <row r="50" spans="1:28" ht="18" customHeight="1" thickBot="1">
      <c r="A50" s="105" t="s">
        <v>314</v>
      </c>
      <c r="C50" s="5">
        <f t="shared" si="2"/>
        <v>42</v>
      </c>
      <c r="D50" s="162"/>
      <c r="E50" s="162"/>
      <c r="F50" s="162"/>
      <c r="G50" s="10"/>
      <c r="H50" s="6"/>
      <c r="I50" s="7"/>
      <c r="J50" s="7"/>
      <c r="K50" s="7"/>
      <c r="L50" s="7"/>
      <c r="M50" s="7"/>
      <c r="N50" s="7"/>
      <c r="O50" s="7"/>
      <c r="P50" s="7"/>
      <c r="Q50" s="7"/>
      <c r="R50" s="7"/>
      <c r="S50" s="8"/>
      <c r="T50" s="9"/>
      <c r="U50" s="176"/>
      <c r="V50" s="177"/>
      <c r="W50" s="178"/>
      <c r="AA50" s="219" t="str">
        <f t="shared" si="1"/>
        <v/>
      </c>
      <c r="AB50" s="220"/>
    </row>
    <row r="51" spans="1:28" ht="18" customHeight="1">
      <c r="A51" s="105" t="s">
        <v>313</v>
      </c>
      <c r="C51" s="151"/>
      <c r="D51" s="16"/>
      <c r="E51" s="16"/>
      <c r="F51" s="16"/>
      <c r="G51" s="17"/>
      <c r="H51" s="18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20"/>
      <c r="T51" s="21"/>
      <c r="U51" s="22"/>
      <c r="V51" s="22"/>
      <c r="W51" s="22"/>
      <c r="AA51" s="16"/>
    </row>
    <row r="52" spans="1:28" ht="18" customHeight="1" thickBot="1">
      <c r="A52" s="105" t="s">
        <v>313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AA52" s="28"/>
    </row>
    <row r="53" spans="1:28" s="37" customFormat="1" ht="18" customHeight="1" thickBot="1">
      <c r="A53" s="105" t="s">
        <v>311</v>
      </c>
      <c r="B53" s="105"/>
      <c r="C53" s="111" t="s">
        <v>298</v>
      </c>
      <c r="D53" s="188" t="s">
        <v>364</v>
      </c>
      <c r="E53" s="113" t="s">
        <v>365</v>
      </c>
      <c r="F53" s="189" t="s">
        <v>363</v>
      </c>
      <c r="G53" s="240" t="s">
        <v>371</v>
      </c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0" t="s">
        <v>366</v>
      </c>
      <c r="V53" s="241"/>
      <c r="W53" s="242"/>
      <c r="AA53" s="221"/>
      <c r="AB53" s="222"/>
    </row>
    <row r="54" spans="1:28" s="94" customFormat="1" ht="18" customHeight="1">
      <c r="A54" s="105" t="s">
        <v>314</v>
      </c>
      <c r="B54" s="105"/>
      <c r="C54" s="25"/>
      <c r="D54" s="155"/>
      <c r="E54" s="38"/>
      <c r="F54" s="161"/>
      <c r="G54" s="186"/>
      <c r="H54" s="198"/>
      <c r="I54" s="198"/>
      <c r="J54" s="198"/>
      <c r="K54" s="198"/>
      <c r="L54" s="198"/>
      <c r="M54" s="198"/>
      <c r="N54" s="198"/>
      <c r="O54" s="198"/>
      <c r="P54" s="198"/>
      <c r="Q54" s="198"/>
      <c r="R54" s="198"/>
      <c r="S54" s="198"/>
      <c r="T54" s="198"/>
      <c r="U54" s="201"/>
      <c r="V54" s="202"/>
      <c r="W54" s="203"/>
      <c r="AA54" s="223"/>
      <c r="AB54" s="224"/>
    </row>
    <row r="55" spans="1:28" s="94" customFormat="1" ht="18" customHeight="1">
      <c r="A55" s="105" t="s">
        <v>314</v>
      </c>
      <c r="B55" s="105"/>
      <c r="C55" s="25"/>
      <c r="D55" s="157"/>
      <c r="E55" s="38"/>
      <c r="F55" s="158"/>
      <c r="G55" s="190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92"/>
      <c r="V55" s="193"/>
      <c r="W55" s="194"/>
      <c r="AA55" s="223"/>
      <c r="AB55" s="224"/>
    </row>
    <row r="56" spans="1:28" ht="18" customHeight="1" thickBot="1">
      <c r="A56" s="105" t="s">
        <v>314</v>
      </c>
      <c r="C56" s="26"/>
      <c r="D56" s="154"/>
      <c r="E56" s="60"/>
      <c r="F56" s="163"/>
      <c r="G56" s="184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195"/>
      <c r="V56" s="196"/>
      <c r="W56" s="197"/>
      <c r="AA56" s="225"/>
      <c r="AB56" s="226"/>
    </row>
    <row r="57" spans="1:28" ht="18" customHeight="1" thickBot="1">
      <c r="A57" s="105" t="s">
        <v>313</v>
      </c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AA57" s="227"/>
      <c r="AB57" s="228"/>
    </row>
    <row r="58" spans="1:28" ht="18" customHeight="1" thickBot="1">
      <c r="A58" s="105" t="s">
        <v>312</v>
      </c>
      <c r="C58" s="111" t="s">
        <v>298</v>
      </c>
      <c r="D58" s="188" t="s">
        <v>367</v>
      </c>
      <c r="E58" s="240" t="s">
        <v>368</v>
      </c>
      <c r="F58" s="243"/>
      <c r="G58" s="240" t="s">
        <v>369</v>
      </c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0" t="s">
        <v>366</v>
      </c>
      <c r="V58" s="241"/>
      <c r="W58" s="242"/>
      <c r="X58" s="37"/>
      <c r="AA58" s="215"/>
      <c r="AB58" s="229"/>
    </row>
    <row r="59" spans="1:28" ht="18" customHeight="1">
      <c r="A59" s="105" t="s">
        <v>314</v>
      </c>
      <c r="C59" s="24"/>
      <c r="D59" s="155"/>
      <c r="E59" s="186"/>
      <c r="F59" s="187"/>
      <c r="G59" s="186"/>
      <c r="H59" s="198"/>
      <c r="I59" s="198"/>
      <c r="J59" s="198"/>
      <c r="K59" s="198"/>
      <c r="L59" s="198"/>
      <c r="M59" s="198"/>
      <c r="N59" s="198"/>
      <c r="O59" s="198"/>
      <c r="P59" s="198"/>
      <c r="Q59" s="198"/>
      <c r="R59" s="198"/>
      <c r="S59" s="198"/>
      <c r="T59" s="198"/>
      <c r="U59" s="201"/>
      <c r="V59" s="202"/>
      <c r="W59" s="203"/>
      <c r="AA59" s="230"/>
      <c r="AB59" s="231"/>
    </row>
    <row r="60" spans="1:28" ht="18" customHeight="1">
      <c r="A60" s="105" t="s">
        <v>314</v>
      </c>
      <c r="C60" s="25"/>
      <c r="D60" s="157"/>
      <c r="E60" s="190"/>
      <c r="F60" s="191"/>
      <c r="G60" s="190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2"/>
      <c r="V60" s="193"/>
      <c r="W60" s="194"/>
      <c r="AA60" s="230"/>
      <c r="AB60" s="231"/>
    </row>
    <row r="61" spans="1:28" ht="18" customHeight="1" thickBot="1">
      <c r="A61" s="105" t="s">
        <v>314</v>
      </c>
      <c r="C61" s="26"/>
      <c r="D61" s="154"/>
      <c r="E61" s="184"/>
      <c r="F61" s="185"/>
      <c r="G61" s="184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195"/>
      <c r="V61" s="196"/>
      <c r="W61" s="197"/>
      <c r="AA61" s="232"/>
      <c r="AB61" s="233"/>
    </row>
    <row r="62" spans="1:28" s="28" customFormat="1" ht="18" customHeight="1">
      <c r="A62" s="105" t="s">
        <v>315</v>
      </c>
      <c r="B62" s="105"/>
      <c r="X62" s="95"/>
    </row>
  </sheetData>
  <customSheetViews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5">
    <mergeCell ref="C6:D6"/>
    <mergeCell ref="C4:D4"/>
    <mergeCell ref="C2:E3"/>
    <mergeCell ref="C5:D5"/>
    <mergeCell ref="E6:L6"/>
  </mergeCells>
  <phoneticPr fontId="4"/>
  <dataValidations xWindow="736" yWindow="489" count="7">
    <dataValidation imeMode="off" allowBlank="1" showInputMessage="1" showErrorMessage="1" sqref="G9:R51"/>
    <dataValidation type="whole" imeMode="off" allowBlank="1" showErrorMessage="1" errorTitle="Not NUll設定" error="Not Null の場合は、「1」を入力" promptTitle="Not NUll設定" prompt="Not Null の場合は、「1」を入力" sqref="S9:S51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51 AA9:AA51 AB9:AB50">
      <formula1>63</formula1>
    </dataValidation>
    <dataValidation type="list" allowBlank="1" showInputMessage="1" showErrorMessage="1" sqref="F9:F51">
      <formula1>INDIRECT(DBMS)</formula1>
    </dataValidation>
    <dataValidation type="list" allowBlank="1" showInputMessage="1" showErrorMessage="1" sqref="C2:E3">
      <formula1>TableTypeList</formula1>
    </dataValidation>
    <dataValidation type="list" allowBlank="1" showInputMessage="1" showErrorMessage="1" sqref="E54:E56">
      <formula1>IndexTypeList</formula1>
    </dataValidation>
    <dataValidation type="list" allowBlank="1" showInputMessage="1" sqref="T9:T50">
      <formula1>defaultVal</formula1>
    </dataValidation>
  </dataValidations>
  <printOptions horizontalCentered="1"/>
  <pageMargins left="0.24" right="0.19685039370078741" top="0.4" bottom="0.4" header="0.2" footer="0"/>
  <pageSetup paperSize="9" scale="61" orientation="landscape" r:id="rId5"/>
  <headerFooter alignWithMargins="0"/>
  <rowBreaks count="1" manualBreakCount="1">
    <brk id="52" max="16383" man="1"/>
  </rowBreaks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V40"/>
  <sheetViews>
    <sheetView showGridLines="0" zoomScaleNormal="100" zoomScaleSheetLayoutView="100" workbookViewId="0">
      <selection activeCell="A4" sqref="A4:AU5"/>
    </sheetView>
  </sheetViews>
  <sheetFormatPr defaultColWidth="3" defaultRowHeight="13.5" customHeight="1"/>
  <cols>
    <col min="1" max="2" width="3" style="11" customWidth="1"/>
    <col min="3" max="3" width="3" style="14" customWidth="1"/>
    <col min="4" max="4" width="3" style="12" customWidth="1"/>
    <col min="5" max="45" width="3" style="11" customWidth="1"/>
    <col min="46" max="47" width="3.7109375" style="11" customWidth="1"/>
    <col min="49" max="16384" width="3" style="11"/>
  </cols>
  <sheetData>
    <row r="1" spans="1:47" ht="13.5" customHeight="1">
      <c r="A1" s="28"/>
      <c r="B1" s="277" t="str">
        <f>CustomerName &amp;" 御中"</f>
        <v>○○株式会社 御中</v>
      </c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</row>
    <row r="2" spans="1:47" ht="13.5" customHeight="1">
      <c r="A2" s="28"/>
      <c r="B2" s="277"/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</row>
    <row r="3" spans="1:47" ht="13.5" customHeight="1">
      <c r="A3" s="28"/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</row>
    <row r="4" spans="1:47" ht="13.5" customHeight="1">
      <c r="A4" s="279" t="str">
        <f>ProjectName</f>
        <v>○△□プロジェクト</v>
      </c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79"/>
      <c r="AM4" s="279"/>
      <c r="AN4" s="279"/>
      <c r="AO4" s="279"/>
      <c r="AP4" s="279"/>
      <c r="AQ4" s="279"/>
      <c r="AR4" s="279"/>
      <c r="AS4" s="279"/>
      <c r="AT4" s="279"/>
      <c r="AU4" s="279"/>
    </row>
    <row r="5" spans="1:47" ht="13.5" customHeight="1">
      <c r="A5" s="279"/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79"/>
      <c r="Y5" s="279"/>
      <c r="Z5" s="279"/>
      <c r="AA5" s="279"/>
      <c r="AB5" s="279"/>
      <c r="AC5" s="279"/>
      <c r="AD5" s="279"/>
      <c r="AE5" s="279"/>
      <c r="AF5" s="279"/>
      <c r="AG5" s="279"/>
      <c r="AH5" s="279"/>
      <c r="AI5" s="279"/>
      <c r="AJ5" s="279"/>
      <c r="AK5" s="279"/>
      <c r="AL5" s="279"/>
      <c r="AM5" s="279"/>
      <c r="AN5" s="279"/>
      <c r="AO5" s="279"/>
      <c r="AP5" s="279"/>
      <c r="AQ5" s="279"/>
      <c r="AR5" s="279"/>
      <c r="AS5" s="279"/>
      <c r="AT5" s="279"/>
      <c r="AU5" s="279"/>
    </row>
    <row r="8" spans="1:47" ht="13.5" customHeight="1"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47" ht="13.5" customHeight="1"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1" spans="1:47" ht="13.5" customHeight="1">
      <c r="H11" s="15"/>
    </row>
    <row r="12" spans="1:47" ht="13.5" customHeight="1">
      <c r="H12" s="15"/>
    </row>
    <row r="13" spans="1:47" ht="13.5" customHeight="1">
      <c r="H13" s="15"/>
    </row>
    <row r="14" spans="1:47" ht="13.5" customHeight="1">
      <c r="H14" s="15"/>
    </row>
    <row r="15" spans="1:47" ht="13.5" customHeight="1">
      <c r="H15" s="15"/>
    </row>
    <row r="16" spans="1:47" ht="13.5" customHeight="1">
      <c r="H16" s="15"/>
    </row>
    <row r="17" spans="8:8" ht="13.5" customHeight="1">
      <c r="H17" s="15"/>
    </row>
    <row r="18" spans="8:8" ht="13.5" customHeight="1">
      <c r="H18" s="15"/>
    </row>
    <row r="19" spans="8:8" ht="13.5" customHeight="1">
      <c r="H19" s="15"/>
    </row>
    <row r="20" spans="8:8" ht="13.5" customHeight="1">
      <c r="H20" s="15"/>
    </row>
    <row r="21" spans="8:8" ht="13.5" customHeight="1">
      <c r="H21" s="15"/>
    </row>
    <row r="22" spans="8:8" ht="13.5" customHeight="1">
      <c r="H22" s="15"/>
    </row>
    <row r="23" spans="8:8" ht="13.5" customHeight="1">
      <c r="H23" s="15"/>
    </row>
    <row r="24" spans="8:8" ht="13.5" customHeight="1">
      <c r="H24" s="15"/>
    </row>
    <row r="25" spans="8:8" ht="13.5" customHeight="1">
      <c r="H25" s="15"/>
    </row>
    <row r="26" spans="8:8" ht="13.5" customHeight="1">
      <c r="H26" s="15"/>
    </row>
    <row r="27" spans="8:8" ht="13.5" customHeight="1">
      <c r="H27" s="15"/>
    </row>
    <row r="28" spans="8:8" ht="13.5" customHeight="1">
      <c r="H28" s="15"/>
    </row>
    <row r="29" spans="8:8" ht="13.5" customHeight="1">
      <c r="H29" s="15"/>
    </row>
    <row r="30" spans="8:8" ht="13.5" customHeight="1">
      <c r="H30" s="15"/>
    </row>
    <row r="31" spans="8:8" ht="13.5" customHeight="1">
      <c r="H31" s="15"/>
    </row>
    <row r="32" spans="8:8" ht="13.5" customHeight="1">
      <c r="H32" s="15"/>
    </row>
    <row r="35" spans="2:46" ht="13.5" customHeight="1">
      <c r="B35" s="57" t="s">
        <v>68</v>
      </c>
      <c r="C35" s="58"/>
      <c r="D35" s="59"/>
      <c r="E35" s="57" t="s">
        <v>68</v>
      </c>
      <c r="F35" s="58"/>
      <c r="G35" s="59"/>
      <c r="H35" s="57" t="s">
        <v>126</v>
      </c>
      <c r="I35" s="58"/>
      <c r="J35" s="59"/>
      <c r="K35" s="57" t="s">
        <v>127</v>
      </c>
      <c r="L35" s="58"/>
      <c r="M35" s="59"/>
      <c r="N35" s="46"/>
      <c r="O35" s="46"/>
      <c r="P35" s="46"/>
    </row>
    <row r="36" spans="2:46" ht="13.5" customHeight="1">
      <c r="B36" s="48"/>
      <c r="C36" s="49"/>
      <c r="D36" s="49"/>
      <c r="E36" s="48"/>
      <c r="F36" s="49"/>
      <c r="G36" s="49"/>
      <c r="H36" s="48"/>
      <c r="I36" s="49"/>
      <c r="J36" s="49"/>
      <c r="K36" s="48"/>
      <c r="L36" s="49"/>
      <c r="M36" s="50"/>
      <c r="N36" s="46"/>
      <c r="O36" s="46"/>
      <c r="P36" s="46"/>
    </row>
    <row r="37" spans="2:46" ht="13.5" customHeight="1">
      <c r="B37" s="51"/>
      <c r="C37" s="52"/>
      <c r="D37" s="52"/>
      <c r="E37" s="51"/>
      <c r="F37" s="52"/>
      <c r="G37" s="52"/>
      <c r="H37" s="51"/>
      <c r="I37" s="52"/>
      <c r="J37" s="52"/>
      <c r="K37" s="51"/>
      <c r="L37" s="52"/>
      <c r="M37" s="53"/>
      <c r="N37" s="46"/>
      <c r="O37" s="46"/>
      <c r="P37" s="46"/>
    </row>
    <row r="38" spans="2:46" ht="13.5" customHeight="1">
      <c r="B38" s="54"/>
      <c r="C38" s="55"/>
      <c r="D38" s="55"/>
      <c r="E38" s="54"/>
      <c r="F38" s="55"/>
      <c r="G38" s="55"/>
      <c r="H38" s="54"/>
      <c r="I38" s="55"/>
      <c r="J38" s="55"/>
      <c r="K38" s="54"/>
      <c r="L38" s="55"/>
      <c r="M38" s="56"/>
      <c r="N38" s="46"/>
      <c r="O38" s="46"/>
      <c r="P38" s="46"/>
      <c r="AL38" s="280">
        <f>MAX(変更履歴!C:C)</f>
        <v>44287</v>
      </c>
      <c r="AM38" s="280"/>
      <c r="AN38" s="280"/>
      <c r="AO38" s="280"/>
      <c r="AP38" s="280"/>
      <c r="AQ38" s="280"/>
      <c r="AR38" s="278">
        <f>MAX(変更履歴!B:B)</f>
        <v>1</v>
      </c>
      <c r="AS38" s="278"/>
      <c r="AT38" s="278"/>
    </row>
    <row r="40" spans="2:46" customFormat="1" ht="13.5" customHeight="1"/>
  </sheetData>
  <customSheetViews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1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8" fitToHeight="0" orientation="landscape" useFirstPageNumber="1" horizontalDpi="300" verticalDpi="300" r:id="rId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V23" sqref="V23"/>
    </sheetView>
  </sheetViews>
  <sheetFormatPr defaultRowHeight="18.75"/>
  <cols>
    <col min="1" max="1" width="3.85546875" style="23" customWidth="1"/>
    <col min="2" max="2" width="8.7109375" style="23" customWidth="1"/>
    <col min="3" max="3" width="15.7109375" style="23" customWidth="1"/>
    <col min="4" max="4" width="22.7109375" style="23" customWidth="1"/>
    <col min="5" max="5" width="25.7109375" style="23" customWidth="1"/>
    <col min="6" max="6" width="10.7109375" style="23" customWidth="1"/>
    <col min="7" max="7" width="14" style="23" customWidth="1"/>
    <col min="8" max="8" width="12" style="23" customWidth="1"/>
    <col min="9" max="9" width="10.85546875" style="23" hidden="1" customWidth="1"/>
    <col min="10" max="14" width="3" style="23" customWidth="1"/>
    <col min="15" max="15" width="12" style="23" customWidth="1"/>
    <col min="16" max="21" width="13.42578125" style="23" customWidth="1"/>
    <col min="22" max="22" width="15.28515625" style="36" customWidth="1"/>
    <col min="23" max="16384" width="9.140625" style="23"/>
  </cols>
  <sheetData>
    <row r="1" spans="1:22" ht="12" customHeight="1" thickBot="1">
      <c r="A1" s="28"/>
      <c r="V1" s="23"/>
    </row>
    <row r="2" spans="1:22" ht="15" customHeight="1">
      <c r="B2" s="267" t="s">
        <v>115</v>
      </c>
      <c r="C2" s="268"/>
      <c r="D2" s="268"/>
      <c r="E2" s="290"/>
      <c r="F2" s="273" t="s">
        <v>2</v>
      </c>
      <c r="G2" s="274"/>
      <c r="H2" s="292" t="str">
        <f>ProjectName</f>
        <v>○△□プロジェクト</v>
      </c>
      <c r="I2" s="293"/>
      <c r="J2" s="293"/>
      <c r="K2" s="293"/>
      <c r="L2" s="293"/>
      <c r="M2" s="293"/>
      <c r="N2" s="293"/>
      <c r="O2" s="294"/>
      <c r="P2" s="106" t="s">
        <v>3</v>
      </c>
      <c r="Q2" s="295" t="str">
        <f>CreateBy</f>
        <v>○○　✕✕</v>
      </c>
      <c r="R2" s="296"/>
      <c r="S2" s="106" t="s">
        <v>4</v>
      </c>
      <c r="T2" s="281">
        <f>CreateAt</f>
        <v>44287</v>
      </c>
      <c r="U2" s="282"/>
      <c r="V2" s="23"/>
    </row>
    <row r="3" spans="1:22" ht="15" customHeight="1" thickBot="1">
      <c r="B3" s="270"/>
      <c r="C3" s="271"/>
      <c r="D3" s="271"/>
      <c r="E3" s="291"/>
      <c r="F3" s="264" t="s">
        <v>5</v>
      </c>
      <c r="G3" s="265"/>
      <c r="H3" s="283" t="str">
        <f>systemName</f>
        <v>○✕システム</v>
      </c>
      <c r="I3" s="284"/>
      <c r="J3" s="284"/>
      <c r="K3" s="284"/>
      <c r="L3" s="284"/>
      <c r="M3" s="284"/>
      <c r="N3" s="284"/>
      <c r="O3" s="285"/>
      <c r="P3" s="107" t="s">
        <v>6</v>
      </c>
      <c r="Q3" s="286"/>
      <c r="R3" s="287"/>
      <c r="S3" s="107" t="s">
        <v>7</v>
      </c>
      <c r="T3" s="288"/>
      <c r="U3" s="289"/>
      <c r="V3" s="23"/>
    </row>
    <row r="4" spans="1:22" ht="13.5" customHeight="1" thickBot="1">
      <c r="V4" s="23"/>
    </row>
    <row r="5" spans="1:22" ht="20.100000000000001" customHeight="1" thickBot="1">
      <c r="B5" s="108" t="s">
        <v>114</v>
      </c>
      <c r="C5" s="109" t="s">
        <v>70</v>
      </c>
      <c r="D5" s="110" t="s">
        <v>206</v>
      </c>
      <c r="E5" s="300" t="s">
        <v>71</v>
      </c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01"/>
      <c r="S5" s="301"/>
      <c r="T5" s="301"/>
      <c r="U5" s="302"/>
      <c r="V5" s="23"/>
    </row>
    <row r="6" spans="1:22" ht="20.100000000000001" customHeight="1">
      <c r="B6" s="29">
        <v>1</v>
      </c>
      <c r="C6" s="30">
        <f>CreateAt</f>
        <v>44287</v>
      </c>
      <c r="D6" s="31" t="str">
        <f>CreateBy</f>
        <v>○○　✕✕</v>
      </c>
      <c r="E6" s="297" t="s">
        <v>211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9"/>
      <c r="V6" s="23"/>
    </row>
    <row r="7" spans="1:22" ht="20.100000000000001" customHeight="1">
      <c r="B7" s="32"/>
      <c r="C7" s="45"/>
      <c r="D7" s="44"/>
      <c r="E7" s="303"/>
      <c r="F7" s="304"/>
      <c r="G7" s="304"/>
      <c r="H7" s="304"/>
      <c r="I7" s="304"/>
      <c r="J7" s="304"/>
      <c r="K7" s="304"/>
      <c r="L7" s="304"/>
      <c r="M7" s="304"/>
      <c r="N7" s="304"/>
      <c r="O7" s="304"/>
      <c r="P7" s="304"/>
      <c r="Q7" s="304"/>
      <c r="R7" s="304"/>
      <c r="S7" s="304"/>
      <c r="T7" s="304"/>
      <c r="U7" s="305"/>
      <c r="V7" s="23"/>
    </row>
    <row r="8" spans="1:22" ht="20.100000000000001" customHeight="1">
      <c r="B8" s="32"/>
      <c r="C8" s="45"/>
      <c r="D8" s="44"/>
      <c r="E8" s="303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5"/>
      <c r="V8" s="23"/>
    </row>
    <row r="9" spans="1:22" ht="20.100000000000001" customHeight="1">
      <c r="B9" s="32"/>
      <c r="C9" s="45"/>
      <c r="D9" s="44"/>
      <c r="E9" s="303"/>
      <c r="F9" s="304"/>
      <c r="G9" s="304"/>
      <c r="H9" s="304"/>
      <c r="I9" s="304"/>
      <c r="J9" s="304"/>
      <c r="K9" s="304"/>
      <c r="L9" s="304"/>
      <c r="M9" s="304"/>
      <c r="N9" s="304"/>
      <c r="O9" s="304"/>
      <c r="P9" s="304"/>
      <c r="Q9" s="304"/>
      <c r="R9" s="304"/>
      <c r="S9" s="304"/>
      <c r="T9" s="304"/>
      <c r="U9" s="305"/>
      <c r="V9" s="23"/>
    </row>
    <row r="10" spans="1:22" ht="20.100000000000001" customHeight="1">
      <c r="B10" s="32"/>
      <c r="C10" s="45"/>
      <c r="D10" s="44"/>
      <c r="E10" s="303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304"/>
      <c r="R10" s="304"/>
      <c r="S10" s="304"/>
      <c r="T10" s="304"/>
      <c r="U10" s="305"/>
      <c r="V10" s="23"/>
    </row>
    <row r="11" spans="1:22" ht="20.100000000000001" customHeight="1">
      <c r="B11" s="32"/>
      <c r="C11" s="45"/>
      <c r="D11" s="44"/>
      <c r="E11" s="303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5"/>
      <c r="V11" s="23"/>
    </row>
    <row r="12" spans="1:22" ht="20.100000000000001" customHeight="1">
      <c r="B12" s="32"/>
      <c r="C12" s="45"/>
      <c r="D12" s="44"/>
      <c r="E12" s="303"/>
      <c r="F12" s="304"/>
      <c r="G12" s="304"/>
      <c r="H12" s="304"/>
      <c r="I12" s="304"/>
      <c r="J12" s="304"/>
      <c r="K12" s="304"/>
      <c r="L12" s="304"/>
      <c r="M12" s="304"/>
      <c r="N12" s="304"/>
      <c r="O12" s="304"/>
      <c r="P12" s="304"/>
      <c r="Q12" s="304"/>
      <c r="R12" s="304"/>
      <c r="S12" s="304"/>
      <c r="T12" s="304"/>
      <c r="U12" s="305"/>
      <c r="V12" s="23"/>
    </row>
    <row r="13" spans="1:22" ht="20.100000000000001" customHeight="1">
      <c r="B13" s="32"/>
      <c r="C13" s="45"/>
      <c r="D13" s="44"/>
      <c r="E13" s="303"/>
      <c r="F13" s="304"/>
      <c r="G13" s="304"/>
      <c r="H13" s="304"/>
      <c r="I13" s="304"/>
      <c r="J13" s="304"/>
      <c r="K13" s="304"/>
      <c r="L13" s="304"/>
      <c r="M13" s="304"/>
      <c r="N13" s="304"/>
      <c r="O13" s="304"/>
      <c r="P13" s="304"/>
      <c r="Q13" s="304"/>
      <c r="R13" s="304"/>
      <c r="S13" s="304"/>
      <c r="T13" s="304"/>
      <c r="U13" s="305"/>
      <c r="V13" s="23"/>
    </row>
    <row r="14" spans="1:22" ht="20.100000000000001" customHeight="1">
      <c r="B14" s="32"/>
      <c r="C14" s="45"/>
      <c r="D14" s="44"/>
      <c r="E14" s="303"/>
      <c r="F14" s="304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5"/>
      <c r="V14" s="23"/>
    </row>
    <row r="15" spans="1:22" ht="20.100000000000001" customHeight="1">
      <c r="B15" s="32"/>
      <c r="C15" s="45"/>
      <c r="D15" s="44"/>
      <c r="E15" s="303"/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4"/>
      <c r="S15" s="304"/>
      <c r="T15" s="304"/>
      <c r="U15" s="305"/>
      <c r="V15" s="23"/>
    </row>
    <row r="16" spans="1:22" ht="20.100000000000001" customHeight="1">
      <c r="B16" s="32"/>
      <c r="C16" s="45"/>
      <c r="D16" s="44"/>
      <c r="E16" s="303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305"/>
      <c r="V16" s="23"/>
    </row>
    <row r="17" spans="2:22" ht="20.100000000000001" customHeight="1">
      <c r="B17" s="32"/>
      <c r="C17" s="45"/>
      <c r="D17" s="44"/>
      <c r="E17" s="303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305"/>
      <c r="V17" s="23"/>
    </row>
    <row r="18" spans="2:22" ht="20.100000000000001" customHeight="1">
      <c r="B18" s="32"/>
      <c r="C18" s="45"/>
      <c r="D18" s="44"/>
      <c r="E18" s="303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4"/>
      <c r="R18" s="304"/>
      <c r="S18" s="304"/>
      <c r="T18" s="304"/>
      <c r="U18" s="305"/>
      <c r="V18" s="23"/>
    </row>
    <row r="19" spans="2:22" ht="20.100000000000001" customHeight="1">
      <c r="B19" s="32"/>
      <c r="C19" s="45"/>
      <c r="D19" s="44"/>
      <c r="E19" s="303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304"/>
      <c r="T19" s="304"/>
      <c r="U19" s="305"/>
      <c r="V19" s="23"/>
    </row>
    <row r="20" spans="2:22" ht="20.100000000000001" customHeight="1">
      <c r="B20" s="32"/>
      <c r="C20" s="45"/>
      <c r="D20" s="44"/>
      <c r="E20" s="303"/>
      <c r="F20" s="304"/>
      <c r="G20" s="304"/>
      <c r="H20" s="304"/>
      <c r="I20" s="304"/>
      <c r="J20" s="304"/>
      <c r="K20" s="304"/>
      <c r="L20" s="304"/>
      <c r="M20" s="304"/>
      <c r="N20" s="304"/>
      <c r="O20" s="304"/>
      <c r="P20" s="304"/>
      <c r="Q20" s="304"/>
      <c r="R20" s="304"/>
      <c r="S20" s="304"/>
      <c r="T20" s="304"/>
      <c r="U20" s="305"/>
      <c r="V20" s="23"/>
    </row>
    <row r="21" spans="2:22" ht="20.100000000000001" customHeight="1">
      <c r="B21" s="32"/>
      <c r="C21" s="45"/>
      <c r="D21" s="44"/>
      <c r="E21" s="303"/>
      <c r="F21" s="304"/>
      <c r="G21" s="304"/>
      <c r="H21" s="304"/>
      <c r="I21" s="304"/>
      <c r="J21" s="304"/>
      <c r="K21" s="304"/>
      <c r="L21" s="304"/>
      <c r="M21" s="304"/>
      <c r="N21" s="304"/>
      <c r="O21" s="304"/>
      <c r="P21" s="304"/>
      <c r="Q21" s="304"/>
      <c r="R21" s="304"/>
      <c r="S21" s="304"/>
      <c r="T21" s="304"/>
      <c r="U21" s="305"/>
      <c r="V21" s="23"/>
    </row>
    <row r="22" spans="2:22" ht="20.100000000000001" customHeight="1">
      <c r="B22" s="32"/>
      <c r="C22" s="45"/>
      <c r="D22" s="44"/>
      <c r="E22" s="303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5"/>
      <c r="V22" s="23"/>
    </row>
    <row r="23" spans="2:22" ht="20.100000000000001" customHeight="1">
      <c r="B23" s="32"/>
      <c r="C23" s="45"/>
      <c r="D23" s="44"/>
      <c r="E23" s="303"/>
      <c r="F23" s="304"/>
      <c r="G23" s="304"/>
      <c r="H23" s="304"/>
      <c r="I23" s="30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T23" s="304"/>
      <c r="U23" s="305"/>
      <c r="V23" s="23"/>
    </row>
    <row r="24" spans="2:22" ht="20.100000000000001" customHeight="1">
      <c r="B24" s="32"/>
      <c r="C24" s="45"/>
      <c r="D24" s="44"/>
      <c r="E24" s="303"/>
      <c r="F24" s="304"/>
      <c r="G24" s="304"/>
      <c r="H24" s="304"/>
      <c r="I24" s="304"/>
      <c r="J24" s="304"/>
      <c r="K24" s="304"/>
      <c r="L24" s="304"/>
      <c r="M24" s="304"/>
      <c r="N24" s="304"/>
      <c r="O24" s="304"/>
      <c r="P24" s="304"/>
      <c r="Q24" s="304"/>
      <c r="R24" s="304"/>
      <c r="S24" s="304"/>
      <c r="T24" s="304"/>
      <c r="U24" s="305"/>
      <c r="V24" s="23"/>
    </row>
    <row r="25" spans="2:22" ht="20.100000000000001" customHeight="1">
      <c r="B25" s="32"/>
      <c r="C25" s="45"/>
      <c r="D25" s="44"/>
      <c r="E25" s="303"/>
      <c r="F25" s="304"/>
      <c r="G25" s="304"/>
      <c r="H25" s="304"/>
      <c r="I25" s="304"/>
      <c r="J25" s="304"/>
      <c r="K25" s="304"/>
      <c r="L25" s="304"/>
      <c r="M25" s="304"/>
      <c r="N25" s="304"/>
      <c r="O25" s="304"/>
      <c r="P25" s="304"/>
      <c r="Q25" s="304"/>
      <c r="R25" s="304"/>
      <c r="S25" s="304"/>
      <c r="T25" s="304"/>
      <c r="U25" s="305"/>
      <c r="V25" s="23"/>
    </row>
    <row r="26" spans="2:22" ht="20.100000000000001" customHeight="1">
      <c r="B26" s="32"/>
      <c r="C26" s="45"/>
      <c r="D26" s="44"/>
      <c r="E26" s="303"/>
      <c r="F26" s="304"/>
      <c r="G26" s="304"/>
      <c r="H26" s="304"/>
      <c r="I26" s="304"/>
      <c r="J26" s="304"/>
      <c r="K26" s="304"/>
      <c r="L26" s="304"/>
      <c r="M26" s="304"/>
      <c r="N26" s="304"/>
      <c r="O26" s="304"/>
      <c r="P26" s="304"/>
      <c r="Q26" s="304"/>
      <c r="R26" s="304"/>
      <c r="S26" s="304"/>
      <c r="T26" s="304"/>
      <c r="U26" s="305"/>
      <c r="V26" s="23"/>
    </row>
    <row r="27" spans="2:22" ht="20.100000000000001" customHeight="1">
      <c r="B27" s="32"/>
      <c r="C27" s="45"/>
      <c r="D27" s="44"/>
      <c r="E27" s="303"/>
      <c r="F27" s="304"/>
      <c r="G27" s="304"/>
      <c r="H27" s="304"/>
      <c r="I27" s="304"/>
      <c r="J27" s="304"/>
      <c r="K27" s="304"/>
      <c r="L27" s="304"/>
      <c r="M27" s="304"/>
      <c r="N27" s="304"/>
      <c r="O27" s="304"/>
      <c r="P27" s="304"/>
      <c r="Q27" s="304"/>
      <c r="R27" s="304"/>
      <c r="S27" s="304"/>
      <c r="T27" s="304"/>
      <c r="U27" s="305"/>
      <c r="V27" s="23"/>
    </row>
    <row r="28" spans="2:22" ht="20.100000000000001" customHeight="1">
      <c r="B28" s="32"/>
      <c r="C28" s="45"/>
      <c r="D28" s="44"/>
      <c r="E28" s="303"/>
      <c r="F28" s="304"/>
      <c r="G28" s="304"/>
      <c r="H28" s="304"/>
      <c r="I28" s="304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5"/>
      <c r="V28" s="23"/>
    </row>
    <row r="29" spans="2:22" ht="20.100000000000001" customHeight="1">
      <c r="B29" s="32"/>
      <c r="C29" s="45"/>
      <c r="D29" s="44"/>
      <c r="E29" s="303"/>
      <c r="F29" s="304"/>
      <c r="G29" s="304"/>
      <c r="H29" s="304"/>
      <c r="I29" s="304"/>
      <c r="J29" s="304"/>
      <c r="K29" s="304"/>
      <c r="L29" s="304"/>
      <c r="M29" s="304"/>
      <c r="N29" s="304"/>
      <c r="O29" s="304"/>
      <c r="P29" s="304"/>
      <c r="Q29" s="304"/>
      <c r="R29" s="304"/>
      <c r="S29" s="304"/>
      <c r="T29" s="304"/>
      <c r="U29" s="305"/>
      <c r="V29" s="23"/>
    </row>
    <row r="30" spans="2:22" ht="20.100000000000001" customHeight="1">
      <c r="B30" s="32"/>
      <c r="C30" s="45"/>
      <c r="D30" s="44"/>
      <c r="E30" s="303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4"/>
      <c r="R30" s="304"/>
      <c r="S30" s="304"/>
      <c r="T30" s="304"/>
      <c r="U30" s="305"/>
      <c r="V30" s="23"/>
    </row>
    <row r="31" spans="2:22" ht="20.100000000000001" customHeight="1">
      <c r="B31" s="32"/>
      <c r="C31" s="45"/>
      <c r="D31" s="44"/>
      <c r="E31" s="303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4"/>
      <c r="R31" s="304"/>
      <c r="S31" s="304"/>
      <c r="T31" s="304"/>
      <c r="U31" s="305"/>
      <c r="V31" s="23"/>
    </row>
    <row r="32" spans="2:22" ht="20.100000000000001" customHeight="1">
      <c r="B32" s="32"/>
      <c r="C32" s="45"/>
      <c r="D32" s="44"/>
      <c r="E32" s="303"/>
      <c r="F32" s="304"/>
      <c r="G32" s="304"/>
      <c r="H32" s="304"/>
      <c r="I32" s="304"/>
      <c r="J32" s="304"/>
      <c r="K32" s="304"/>
      <c r="L32" s="304"/>
      <c r="M32" s="304"/>
      <c r="N32" s="304"/>
      <c r="O32" s="304"/>
      <c r="P32" s="304"/>
      <c r="Q32" s="304"/>
      <c r="R32" s="304"/>
      <c r="S32" s="304"/>
      <c r="T32" s="304"/>
      <c r="U32" s="305"/>
      <c r="V32" s="23"/>
    </row>
    <row r="33" spans="2:22" ht="20.100000000000001" customHeight="1">
      <c r="B33" s="32"/>
      <c r="C33" s="45"/>
      <c r="D33" s="44"/>
      <c r="E33" s="303"/>
      <c r="F33" s="304"/>
      <c r="G33" s="304"/>
      <c r="H33" s="304"/>
      <c r="I33" s="304"/>
      <c r="J33" s="304"/>
      <c r="K33" s="304"/>
      <c r="L33" s="304"/>
      <c r="M33" s="304"/>
      <c r="N33" s="304"/>
      <c r="O33" s="304"/>
      <c r="P33" s="304"/>
      <c r="Q33" s="304"/>
      <c r="R33" s="304"/>
      <c r="S33" s="304"/>
      <c r="T33" s="304"/>
      <c r="U33" s="305"/>
      <c r="V33" s="23"/>
    </row>
    <row r="34" spans="2:22" ht="20.100000000000001" customHeight="1">
      <c r="B34" s="32"/>
      <c r="C34" s="45"/>
      <c r="D34" s="44"/>
      <c r="E34" s="303"/>
      <c r="F34" s="304"/>
      <c r="G34" s="304"/>
      <c r="H34" s="304"/>
      <c r="I34" s="304"/>
      <c r="J34" s="304"/>
      <c r="K34" s="304"/>
      <c r="L34" s="304"/>
      <c r="M34" s="304"/>
      <c r="N34" s="304"/>
      <c r="O34" s="304"/>
      <c r="P34" s="304"/>
      <c r="Q34" s="304"/>
      <c r="R34" s="304"/>
      <c r="S34" s="304"/>
      <c r="T34" s="304"/>
      <c r="U34" s="305"/>
      <c r="V34" s="23"/>
    </row>
    <row r="35" spans="2:22" ht="20.100000000000001" customHeight="1">
      <c r="B35" s="32"/>
      <c r="C35" s="45"/>
      <c r="D35" s="44"/>
      <c r="E35" s="303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5"/>
      <c r="V35" s="23"/>
    </row>
    <row r="36" spans="2:22" ht="20.100000000000001" customHeight="1">
      <c r="B36" s="32"/>
      <c r="C36" s="45"/>
      <c r="D36" s="44"/>
      <c r="E36" s="303"/>
      <c r="F36" s="304"/>
      <c r="G36" s="304"/>
      <c r="H36" s="304"/>
      <c r="I36" s="304"/>
      <c r="J36" s="304"/>
      <c r="K36" s="304"/>
      <c r="L36" s="304"/>
      <c r="M36" s="304"/>
      <c r="N36" s="304"/>
      <c r="O36" s="304"/>
      <c r="P36" s="304"/>
      <c r="Q36" s="304"/>
      <c r="R36" s="304"/>
      <c r="S36" s="304"/>
      <c r="T36" s="304"/>
      <c r="U36" s="305"/>
      <c r="V36" s="23"/>
    </row>
    <row r="37" spans="2:22" ht="20.100000000000001" customHeight="1">
      <c r="B37" s="32"/>
      <c r="C37" s="45"/>
      <c r="D37" s="44"/>
      <c r="E37" s="303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4"/>
      <c r="R37" s="304"/>
      <c r="S37" s="304"/>
      <c r="T37" s="304"/>
      <c r="U37" s="305"/>
      <c r="V37" s="23"/>
    </row>
    <row r="38" spans="2:22" ht="20.100000000000001" customHeight="1">
      <c r="B38" s="32"/>
      <c r="C38" s="45"/>
      <c r="D38" s="44"/>
      <c r="E38" s="303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5"/>
      <c r="V38" s="23"/>
    </row>
    <row r="39" spans="2:22" ht="20.100000000000001" customHeight="1">
      <c r="B39" s="32"/>
      <c r="C39" s="45"/>
      <c r="D39" s="44"/>
      <c r="E39" s="303"/>
      <c r="F39" s="304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4"/>
      <c r="R39" s="304"/>
      <c r="S39" s="304"/>
      <c r="T39" s="304"/>
      <c r="U39" s="305"/>
      <c r="V39" s="23"/>
    </row>
    <row r="40" spans="2:22" ht="20.100000000000001" customHeight="1">
      <c r="B40" s="32"/>
      <c r="C40" s="45"/>
      <c r="D40" s="44"/>
      <c r="E40" s="303"/>
      <c r="F40" s="304"/>
      <c r="G40" s="304"/>
      <c r="H40" s="304"/>
      <c r="I40" s="304"/>
      <c r="J40" s="304"/>
      <c r="K40" s="304"/>
      <c r="L40" s="304"/>
      <c r="M40" s="304"/>
      <c r="N40" s="304"/>
      <c r="O40" s="304"/>
      <c r="P40" s="304"/>
      <c r="Q40" s="304"/>
      <c r="R40" s="304"/>
      <c r="S40" s="304"/>
      <c r="T40" s="304"/>
      <c r="U40" s="305"/>
      <c r="V40" s="23"/>
    </row>
    <row r="41" spans="2:22" ht="20.100000000000001" customHeight="1">
      <c r="B41" s="32"/>
      <c r="C41" s="45"/>
      <c r="D41" s="44"/>
      <c r="E41" s="303"/>
      <c r="F41" s="304"/>
      <c r="G41" s="304"/>
      <c r="H41" s="304"/>
      <c r="I41" s="304"/>
      <c r="J41" s="304"/>
      <c r="K41" s="304"/>
      <c r="L41" s="304"/>
      <c r="M41" s="304"/>
      <c r="N41" s="304"/>
      <c r="O41" s="304"/>
      <c r="P41" s="304"/>
      <c r="Q41" s="304"/>
      <c r="R41" s="304"/>
      <c r="S41" s="304"/>
      <c r="T41" s="304"/>
      <c r="U41" s="305"/>
      <c r="V41" s="23"/>
    </row>
    <row r="42" spans="2:22" ht="20.100000000000001" customHeight="1">
      <c r="B42" s="32"/>
      <c r="C42" s="45"/>
      <c r="D42" s="44"/>
      <c r="E42" s="303"/>
      <c r="F42" s="304"/>
      <c r="G42" s="304"/>
      <c r="H42" s="304"/>
      <c r="I42" s="304"/>
      <c r="J42" s="304"/>
      <c r="K42" s="304"/>
      <c r="L42" s="304"/>
      <c r="M42" s="304"/>
      <c r="N42" s="304"/>
      <c r="O42" s="304"/>
      <c r="P42" s="304"/>
      <c r="Q42" s="304"/>
      <c r="R42" s="304"/>
      <c r="S42" s="304"/>
      <c r="T42" s="304"/>
      <c r="U42" s="305"/>
      <c r="V42" s="23"/>
    </row>
    <row r="43" spans="2:22" ht="20.100000000000001" customHeight="1">
      <c r="B43" s="32"/>
      <c r="C43" s="45"/>
      <c r="D43" s="44"/>
      <c r="E43" s="303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5"/>
      <c r="V43" s="23"/>
    </row>
    <row r="44" spans="2:22" ht="20.100000000000001" customHeight="1">
      <c r="B44" s="32"/>
      <c r="C44" s="45"/>
      <c r="D44" s="44"/>
      <c r="E44" s="303"/>
      <c r="F44" s="304"/>
      <c r="G44" s="304"/>
      <c r="H44" s="304"/>
      <c r="I44" s="304"/>
      <c r="J44" s="304"/>
      <c r="K44" s="304"/>
      <c r="L44" s="304"/>
      <c r="M44" s="304"/>
      <c r="N44" s="304"/>
      <c r="O44" s="304"/>
      <c r="P44" s="304"/>
      <c r="Q44" s="304"/>
      <c r="R44" s="304"/>
      <c r="S44" s="304"/>
      <c r="T44" s="304"/>
      <c r="U44" s="305"/>
      <c r="V44" s="23"/>
    </row>
    <row r="45" spans="2:22" ht="20.100000000000001" customHeight="1">
      <c r="B45" s="32"/>
      <c r="C45" s="45"/>
      <c r="D45" s="44"/>
      <c r="E45" s="303"/>
      <c r="F45" s="304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304"/>
      <c r="R45" s="304"/>
      <c r="S45" s="304"/>
      <c r="T45" s="304"/>
      <c r="U45" s="305"/>
      <c r="V45" s="23"/>
    </row>
    <row r="46" spans="2:22" ht="20.100000000000001" customHeight="1">
      <c r="B46" s="32"/>
      <c r="C46" s="45"/>
      <c r="D46" s="44"/>
      <c r="E46" s="303"/>
      <c r="F46" s="304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304"/>
      <c r="R46" s="304"/>
      <c r="S46" s="304"/>
      <c r="T46" s="304"/>
      <c r="U46" s="305"/>
      <c r="V46" s="23"/>
    </row>
    <row r="47" spans="2:22" ht="20.100000000000001" customHeight="1">
      <c r="B47" s="32"/>
      <c r="C47" s="45"/>
      <c r="D47" s="44"/>
      <c r="E47" s="303"/>
      <c r="F47" s="304"/>
      <c r="G47" s="304"/>
      <c r="H47" s="304"/>
      <c r="I47" s="304"/>
      <c r="J47" s="304"/>
      <c r="K47" s="304"/>
      <c r="L47" s="304"/>
      <c r="M47" s="304"/>
      <c r="N47" s="304"/>
      <c r="O47" s="304"/>
      <c r="P47" s="304"/>
      <c r="Q47" s="304"/>
      <c r="R47" s="304"/>
      <c r="S47" s="304"/>
      <c r="T47" s="304"/>
      <c r="U47" s="305"/>
      <c r="V47" s="23"/>
    </row>
    <row r="48" spans="2:22" ht="20.100000000000001" customHeight="1">
      <c r="B48" s="32"/>
      <c r="C48" s="45"/>
      <c r="D48" s="44"/>
      <c r="E48" s="303"/>
      <c r="F48" s="304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5"/>
      <c r="V48" s="23"/>
    </row>
    <row r="49" spans="2:22" ht="20.100000000000001" customHeight="1">
      <c r="B49" s="32"/>
      <c r="C49" s="45"/>
      <c r="D49" s="44"/>
      <c r="E49" s="303"/>
      <c r="F49" s="304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304"/>
      <c r="R49" s="304"/>
      <c r="S49" s="304"/>
      <c r="T49" s="304"/>
      <c r="U49" s="305"/>
      <c r="V49" s="23"/>
    </row>
    <row r="50" spans="2:22" ht="20.100000000000001" customHeight="1">
      <c r="B50" s="32"/>
      <c r="C50" s="45"/>
      <c r="D50" s="44"/>
      <c r="E50" s="303"/>
      <c r="F50" s="304"/>
      <c r="G50" s="304"/>
      <c r="H50" s="304"/>
      <c r="I50" s="304"/>
      <c r="J50" s="304"/>
      <c r="K50" s="304"/>
      <c r="L50" s="304"/>
      <c r="M50" s="304"/>
      <c r="N50" s="304"/>
      <c r="O50" s="304"/>
      <c r="P50" s="304"/>
      <c r="Q50" s="304"/>
      <c r="R50" s="304"/>
      <c r="S50" s="304"/>
      <c r="T50" s="304"/>
      <c r="U50" s="305"/>
      <c r="V50" s="23"/>
    </row>
    <row r="51" spans="2:22" ht="20.100000000000001" customHeight="1">
      <c r="B51" s="32"/>
      <c r="C51" s="45"/>
      <c r="D51" s="44"/>
      <c r="E51" s="303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5"/>
      <c r="V51" s="23"/>
    </row>
    <row r="52" spans="2:22" ht="20.100000000000001" customHeight="1">
      <c r="B52" s="32"/>
      <c r="C52" s="45"/>
      <c r="D52" s="44"/>
      <c r="E52" s="303"/>
      <c r="F52" s="304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304"/>
      <c r="R52" s="304"/>
      <c r="S52" s="304"/>
      <c r="T52" s="304"/>
      <c r="U52" s="305"/>
      <c r="V52" s="23"/>
    </row>
    <row r="53" spans="2:22" ht="20.100000000000001" customHeight="1">
      <c r="B53" s="32"/>
      <c r="C53" s="45"/>
      <c r="D53" s="44"/>
      <c r="E53" s="303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5"/>
      <c r="V53" s="23"/>
    </row>
    <row r="54" spans="2:22" ht="20.100000000000001" customHeight="1">
      <c r="B54" s="32"/>
      <c r="C54" s="45"/>
      <c r="D54" s="44"/>
      <c r="E54" s="303"/>
      <c r="F54" s="304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304"/>
      <c r="R54" s="304"/>
      <c r="S54" s="304"/>
      <c r="T54" s="304"/>
      <c r="U54" s="305"/>
      <c r="V54" s="23"/>
    </row>
    <row r="55" spans="2:22" ht="20.100000000000001" customHeight="1">
      <c r="B55" s="32"/>
      <c r="C55" s="45"/>
      <c r="D55" s="44"/>
      <c r="E55" s="303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5"/>
      <c r="V55" s="23"/>
    </row>
    <row r="56" spans="2:22" ht="20.100000000000001" customHeight="1">
      <c r="B56" s="32"/>
      <c r="C56" s="45"/>
      <c r="D56" s="44"/>
      <c r="E56" s="303"/>
      <c r="F56" s="304"/>
      <c r="G56" s="304"/>
      <c r="H56" s="304"/>
      <c r="I56" s="304"/>
      <c r="J56" s="304"/>
      <c r="K56" s="304"/>
      <c r="L56" s="304"/>
      <c r="M56" s="304"/>
      <c r="N56" s="304"/>
      <c r="O56" s="304"/>
      <c r="P56" s="304"/>
      <c r="Q56" s="304"/>
      <c r="R56" s="304"/>
      <c r="S56" s="304"/>
      <c r="T56" s="304"/>
      <c r="U56" s="305"/>
      <c r="V56" s="23"/>
    </row>
    <row r="57" spans="2:22" ht="20.100000000000001" customHeight="1">
      <c r="B57" s="32"/>
      <c r="C57" s="45"/>
      <c r="D57" s="44"/>
      <c r="E57" s="303"/>
      <c r="F57" s="304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304"/>
      <c r="R57" s="304"/>
      <c r="S57" s="304"/>
      <c r="T57" s="304"/>
      <c r="U57" s="305"/>
      <c r="V57" s="23"/>
    </row>
    <row r="58" spans="2:22" ht="20.100000000000001" customHeight="1">
      <c r="B58" s="32"/>
      <c r="C58" s="45"/>
      <c r="D58" s="44"/>
      <c r="E58" s="303"/>
      <c r="F58" s="304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304"/>
      <c r="R58" s="304"/>
      <c r="S58" s="304"/>
      <c r="T58" s="304"/>
      <c r="U58" s="305"/>
      <c r="V58" s="23"/>
    </row>
    <row r="59" spans="2:22" ht="20.100000000000001" customHeight="1">
      <c r="B59" s="32"/>
      <c r="C59" s="45"/>
      <c r="D59" s="44"/>
      <c r="E59" s="303"/>
      <c r="F59" s="304"/>
      <c r="G59" s="304"/>
      <c r="H59" s="304"/>
      <c r="I59" s="304"/>
      <c r="J59" s="304"/>
      <c r="K59" s="304"/>
      <c r="L59" s="304"/>
      <c r="M59" s="304"/>
      <c r="N59" s="304"/>
      <c r="O59" s="304"/>
      <c r="P59" s="304"/>
      <c r="Q59" s="304"/>
      <c r="R59" s="304"/>
      <c r="S59" s="304"/>
      <c r="T59" s="304"/>
      <c r="U59" s="305"/>
      <c r="V59" s="23"/>
    </row>
    <row r="60" spans="2:22" ht="20.100000000000001" customHeight="1">
      <c r="B60" s="32"/>
      <c r="C60" s="45"/>
      <c r="D60" s="44"/>
      <c r="E60" s="303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5"/>
      <c r="V60" s="23"/>
    </row>
    <row r="61" spans="2:22" ht="20.100000000000001" customHeight="1">
      <c r="B61" s="32"/>
      <c r="C61" s="45"/>
      <c r="D61" s="44"/>
      <c r="E61" s="303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5"/>
      <c r="V61" s="23"/>
    </row>
    <row r="62" spans="2:22" ht="20.100000000000001" customHeight="1">
      <c r="B62" s="32"/>
      <c r="C62" s="45"/>
      <c r="D62" s="44"/>
      <c r="E62" s="303"/>
      <c r="F62" s="304"/>
      <c r="G62" s="304"/>
      <c r="H62" s="304"/>
      <c r="I62" s="304"/>
      <c r="J62" s="304"/>
      <c r="K62" s="304"/>
      <c r="L62" s="304"/>
      <c r="M62" s="304"/>
      <c r="N62" s="304"/>
      <c r="O62" s="304"/>
      <c r="P62" s="304"/>
      <c r="Q62" s="304"/>
      <c r="R62" s="304"/>
      <c r="S62" s="304"/>
      <c r="T62" s="304"/>
      <c r="U62" s="305"/>
      <c r="V62" s="23"/>
    </row>
    <row r="63" spans="2:22" ht="20.100000000000001" customHeight="1">
      <c r="B63" s="32"/>
      <c r="C63" s="45"/>
      <c r="D63" s="44"/>
      <c r="E63" s="303"/>
      <c r="F63" s="304"/>
      <c r="G63" s="304"/>
      <c r="H63" s="304"/>
      <c r="I63" s="304"/>
      <c r="J63" s="304"/>
      <c r="K63" s="304"/>
      <c r="L63" s="304"/>
      <c r="M63" s="304"/>
      <c r="N63" s="304"/>
      <c r="O63" s="304"/>
      <c r="P63" s="304"/>
      <c r="Q63" s="304"/>
      <c r="R63" s="304"/>
      <c r="S63" s="304"/>
      <c r="T63" s="304"/>
      <c r="U63" s="305"/>
      <c r="V63" s="23"/>
    </row>
    <row r="64" spans="2:22" ht="20.100000000000001" customHeight="1">
      <c r="B64" s="32"/>
      <c r="C64" s="45"/>
      <c r="D64" s="44"/>
      <c r="E64" s="303"/>
      <c r="F64" s="304"/>
      <c r="G64" s="304"/>
      <c r="H64" s="304"/>
      <c r="I64" s="304"/>
      <c r="J64" s="304"/>
      <c r="K64" s="304"/>
      <c r="L64" s="304"/>
      <c r="M64" s="304"/>
      <c r="N64" s="304"/>
      <c r="O64" s="304"/>
      <c r="P64" s="304"/>
      <c r="Q64" s="304"/>
      <c r="R64" s="304"/>
      <c r="S64" s="304"/>
      <c r="T64" s="304"/>
      <c r="U64" s="305"/>
      <c r="V64" s="23"/>
    </row>
    <row r="65" spans="2:22" ht="20.100000000000001" customHeight="1">
      <c r="B65" s="32"/>
      <c r="C65" s="45"/>
      <c r="D65" s="44"/>
      <c r="E65" s="303"/>
      <c r="F65" s="304"/>
      <c r="G65" s="304"/>
      <c r="H65" s="304"/>
      <c r="I65" s="304"/>
      <c r="J65" s="304"/>
      <c r="K65" s="304"/>
      <c r="L65" s="304"/>
      <c r="M65" s="304"/>
      <c r="N65" s="304"/>
      <c r="O65" s="304"/>
      <c r="P65" s="304"/>
      <c r="Q65" s="304"/>
      <c r="R65" s="304"/>
      <c r="S65" s="304"/>
      <c r="T65" s="304"/>
      <c r="U65" s="305"/>
      <c r="V65" s="23"/>
    </row>
    <row r="66" spans="2:22" ht="20.100000000000001" customHeight="1">
      <c r="B66" s="32"/>
      <c r="C66" s="45"/>
      <c r="D66" s="44"/>
      <c r="E66" s="303"/>
      <c r="F66" s="304"/>
      <c r="G66" s="304"/>
      <c r="H66" s="304"/>
      <c r="I66" s="304"/>
      <c r="J66" s="304"/>
      <c r="K66" s="304"/>
      <c r="L66" s="304"/>
      <c r="M66" s="304"/>
      <c r="N66" s="304"/>
      <c r="O66" s="304"/>
      <c r="P66" s="304"/>
      <c r="Q66" s="304"/>
      <c r="R66" s="304"/>
      <c r="S66" s="304"/>
      <c r="T66" s="304"/>
      <c r="U66" s="305"/>
      <c r="V66" s="23"/>
    </row>
    <row r="67" spans="2:22" ht="20.100000000000001" customHeight="1">
      <c r="B67" s="32"/>
      <c r="C67" s="45"/>
      <c r="D67" s="44"/>
      <c r="E67" s="303"/>
      <c r="F67" s="304"/>
      <c r="G67" s="304"/>
      <c r="H67" s="304"/>
      <c r="I67" s="304"/>
      <c r="J67" s="304"/>
      <c r="K67" s="304"/>
      <c r="L67" s="304"/>
      <c r="M67" s="304"/>
      <c r="N67" s="304"/>
      <c r="O67" s="304"/>
      <c r="P67" s="304"/>
      <c r="Q67" s="304"/>
      <c r="R67" s="304"/>
      <c r="S67" s="304"/>
      <c r="T67" s="304"/>
      <c r="U67" s="305"/>
      <c r="V67" s="23"/>
    </row>
    <row r="68" spans="2:22" ht="20.100000000000001" customHeight="1">
      <c r="B68" s="32"/>
      <c r="C68" s="45"/>
      <c r="D68" s="44"/>
      <c r="E68" s="303"/>
      <c r="F68" s="304"/>
      <c r="G68" s="304"/>
      <c r="H68" s="304"/>
      <c r="I68" s="304"/>
      <c r="J68" s="304"/>
      <c r="K68" s="304"/>
      <c r="L68" s="304"/>
      <c r="M68" s="304"/>
      <c r="N68" s="304"/>
      <c r="O68" s="304"/>
      <c r="P68" s="304"/>
      <c r="Q68" s="304"/>
      <c r="R68" s="304"/>
      <c r="S68" s="304"/>
      <c r="T68" s="304"/>
      <c r="U68" s="305"/>
      <c r="V68" s="23"/>
    </row>
    <row r="69" spans="2:22" ht="20.100000000000001" customHeight="1">
      <c r="B69" s="32"/>
      <c r="C69" s="45"/>
      <c r="D69" s="44"/>
      <c r="E69" s="303"/>
      <c r="F69" s="304"/>
      <c r="G69" s="304"/>
      <c r="H69" s="304"/>
      <c r="I69" s="304"/>
      <c r="J69" s="304"/>
      <c r="K69" s="304"/>
      <c r="L69" s="304"/>
      <c r="M69" s="304"/>
      <c r="N69" s="304"/>
      <c r="O69" s="304"/>
      <c r="P69" s="304"/>
      <c r="Q69" s="304"/>
      <c r="R69" s="304"/>
      <c r="S69" s="304"/>
      <c r="T69" s="304"/>
      <c r="U69" s="305"/>
      <c r="V69" s="23"/>
    </row>
    <row r="70" spans="2:22" ht="20.100000000000001" customHeight="1">
      <c r="B70" s="32"/>
      <c r="C70" s="45"/>
      <c r="D70" s="44"/>
      <c r="E70" s="303"/>
      <c r="F70" s="304"/>
      <c r="G70" s="304"/>
      <c r="H70" s="304"/>
      <c r="I70" s="304"/>
      <c r="J70" s="304"/>
      <c r="K70" s="304"/>
      <c r="L70" s="304"/>
      <c r="M70" s="304"/>
      <c r="N70" s="304"/>
      <c r="O70" s="304"/>
      <c r="P70" s="304"/>
      <c r="Q70" s="304"/>
      <c r="R70" s="304"/>
      <c r="S70" s="304"/>
      <c r="T70" s="304"/>
      <c r="U70" s="305"/>
      <c r="V70" s="23"/>
    </row>
    <row r="71" spans="2:22" ht="20.100000000000001" customHeight="1">
      <c r="B71" s="32"/>
      <c r="C71" s="45"/>
      <c r="D71" s="44"/>
      <c r="E71" s="303"/>
      <c r="F71" s="304"/>
      <c r="G71" s="304"/>
      <c r="H71" s="304"/>
      <c r="I71" s="304"/>
      <c r="J71" s="304"/>
      <c r="K71" s="304"/>
      <c r="L71" s="304"/>
      <c r="M71" s="304"/>
      <c r="N71" s="304"/>
      <c r="O71" s="304"/>
      <c r="P71" s="304"/>
      <c r="Q71" s="304"/>
      <c r="R71" s="304"/>
      <c r="S71" s="304"/>
      <c r="T71" s="304"/>
      <c r="U71" s="305"/>
      <c r="V71" s="23"/>
    </row>
    <row r="72" spans="2:22" ht="20.100000000000001" customHeight="1">
      <c r="B72" s="32"/>
      <c r="C72" s="45"/>
      <c r="D72" s="44"/>
      <c r="E72" s="303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5"/>
      <c r="V72" s="23"/>
    </row>
    <row r="73" spans="2:22" ht="20.100000000000001" customHeight="1">
      <c r="B73" s="32"/>
      <c r="C73" s="45"/>
      <c r="D73" s="44"/>
      <c r="E73" s="303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5"/>
      <c r="V73" s="23"/>
    </row>
    <row r="74" spans="2:22" ht="20.100000000000001" customHeight="1">
      <c r="B74" s="32"/>
      <c r="C74" s="45"/>
      <c r="D74" s="44"/>
      <c r="E74" s="303"/>
      <c r="F74" s="304"/>
      <c r="G74" s="304"/>
      <c r="H74" s="304"/>
      <c r="I74" s="304"/>
      <c r="J74" s="304"/>
      <c r="K74" s="304"/>
      <c r="L74" s="304"/>
      <c r="M74" s="304"/>
      <c r="N74" s="304"/>
      <c r="O74" s="304"/>
      <c r="P74" s="304"/>
      <c r="Q74" s="304"/>
      <c r="R74" s="304"/>
      <c r="S74" s="304"/>
      <c r="T74" s="304"/>
      <c r="U74" s="305"/>
      <c r="V74" s="23"/>
    </row>
    <row r="75" spans="2:22" ht="20.100000000000001" customHeight="1">
      <c r="B75" s="32"/>
      <c r="C75" s="45"/>
      <c r="D75" s="44"/>
      <c r="E75" s="303"/>
      <c r="F75" s="304"/>
      <c r="G75" s="304"/>
      <c r="H75" s="304"/>
      <c r="I75" s="304"/>
      <c r="J75" s="304"/>
      <c r="K75" s="304"/>
      <c r="L75" s="304"/>
      <c r="M75" s="304"/>
      <c r="N75" s="304"/>
      <c r="O75" s="304"/>
      <c r="P75" s="304"/>
      <c r="Q75" s="304"/>
      <c r="R75" s="304"/>
      <c r="S75" s="304"/>
      <c r="T75" s="304"/>
      <c r="U75" s="305"/>
      <c r="V75" s="23"/>
    </row>
    <row r="76" spans="2:22" ht="20.100000000000001" customHeight="1">
      <c r="B76" s="32"/>
      <c r="C76" s="45"/>
      <c r="D76" s="44"/>
      <c r="E76" s="303"/>
      <c r="F76" s="304"/>
      <c r="G76" s="304"/>
      <c r="H76" s="304"/>
      <c r="I76" s="304"/>
      <c r="J76" s="304"/>
      <c r="K76" s="304"/>
      <c r="L76" s="304"/>
      <c r="M76" s="304"/>
      <c r="N76" s="304"/>
      <c r="O76" s="304"/>
      <c r="P76" s="304"/>
      <c r="Q76" s="304"/>
      <c r="R76" s="304"/>
      <c r="S76" s="304"/>
      <c r="T76" s="304"/>
      <c r="U76" s="305"/>
      <c r="V76" s="23"/>
    </row>
    <row r="77" spans="2:22" ht="20.100000000000001" customHeight="1">
      <c r="B77" s="32"/>
      <c r="C77" s="45"/>
      <c r="D77" s="44"/>
      <c r="E77" s="303"/>
      <c r="F77" s="304"/>
      <c r="G77" s="304"/>
      <c r="H77" s="304"/>
      <c r="I77" s="304"/>
      <c r="J77" s="304"/>
      <c r="K77" s="304"/>
      <c r="L77" s="304"/>
      <c r="M77" s="304"/>
      <c r="N77" s="304"/>
      <c r="O77" s="304"/>
      <c r="P77" s="304"/>
      <c r="Q77" s="304"/>
      <c r="R77" s="304"/>
      <c r="S77" s="304"/>
      <c r="T77" s="304"/>
      <c r="U77" s="305"/>
      <c r="V77" s="23"/>
    </row>
    <row r="78" spans="2:22" ht="20.100000000000001" customHeight="1">
      <c r="B78" s="32"/>
      <c r="C78" s="45"/>
      <c r="D78" s="44"/>
      <c r="E78" s="303"/>
      <c r="F78" s="304"/>
      <c r="G78" s="304"/>
      <c r="H78" s="304"/>
      <c r="I78" s="304"/>
      <c r="J78" s="304"/>
      <c r="K78" s="304"/>
      <c r="L78" s="304"/>
      <c r="M78" s="304"/>
      <c r="N78" s="304"/>
      <c r="O78" s="304"/>
      <c r="P78" s="304"/>
      <c r="Q78" s="304"/>
      <c r="R78" s="304"/>
      <c r="S78" s="304"/>
      <c r="T78" s="304"/>
      <c r="U78" s="305"/>
      <c r="V78" s="23"/>
    </row>
    <row r="79" spans="2:22" ht="20.100000000000001" customHeight="1">
      <c r="B79" s="32"/>
      <c r="C79" s="45"/>
      <c r="D79" s="44"/>
      <c r="E79" s="303"/>
      <c r="F79" s="304"/>
      <c r="G79" s="304"/>
      <c r="H79" s="304"/>
      <c r="I79" s="304"/>
      <c r="J79" s="304"/>
      <c r="K79" s="304"/>
      <c r="L79" s="304"/>
      <c r="M79" s="304"/>
      <c r="N79" s="304"/>
      <c r="O79" s="304"/>
      <c r="P79" s="304"/>
      <c r="Q79" s="304"/>
      <c r="R79" s="304"/>
      <c r="S79" s="304"/>
      <c r="T79" s="304"/>
      <c r="U79" s="305"/>
      <c r="V79" s="23"/>
    </row>
    <row r="80" spans="2:22" ht="20.100000000000001" customHeight="1">
      <c r="B80" s="32"/>
      <c r="C80" s="45"/>
      <c r="D80" s="44"/>
      <c r="E80" s="303"/>
      <c r="F80" s="304"/>
      <c r="G80" s="304"/>
      <c r="H80" s="304"/>
      <c r="I80" s="304"/>
      <c r="J80" s="304"/>
      <c r="K80" s="304"/>
      <c r="L80" s="304"/>
      <c r="M80" s="304"/>
      <c r="N80" s="304"/>
      <c r="O80" s="304"/>
      <c r="P80" s="304"/>
      <c r="Q80" s="304"/>
      <c r="R80" s="304"/>
      <c r="S80" s="304"/>
      <c r="T80" s="304"/>
      <c r="U80" s="305"/>
      <c r="V80" s="23"/>
    </row>
    <row r="81" spans="2:24" ht="20.100000000000001" customHeight="1">
      <c r="B81" s="32"/>
      <c r="C81" s="45"/>
      <c r="D81" s="44"/>
      <c r="E81" s="303"/>
      <c r="F81" s="304"/>
      <c r="G81" s="304"/>
      <c r="H81" s="304"/>
      <c r="I81" s="304"/>
      <c r="J81" s="304"/>
      <c r="K81" s="304"/>
      <c r="L81" s="304"/>
      <c r="M81" s="304"/>
      <c r="N81" s="304"/>
      <c r="O81" s="304"/>
      <c r="P81" s="304"/>
      <c r="Q81" s="304"/>
      <c r="R81" s="304"/>
      <c r="S81" s="304"/>
      <c r="T81" s="304"/>
      <c r="U81" s="305"/>
      <c r="V81" s="23"/>
      <c r="W81" s="309"/>
      <c r="X81" s="309"/>
    </row>
    <row r="82" spans="2:24" ht="20.100000000000001" customHeight="1">
      <c r="B82" s="32"/>
      <c r="C82" s="45"/>
      <c r="D82" s="44"/>
      <c r="E82" s="303"/>
      <c r="F82" s="304"/>
      <c r="G82" s="304"/>
      <c r="H82" s="304"/>
      <c r="I82" s="304"/>
      <c r="J82" s="304"/>
      <c r="K82" s="304"/>
      <c r="L82" s="304"/>
      <c r="M82" s="304"/>
      <c r="N82" s="304"/>
      <c r="O82" s="304"/>
      <c r="P82" s="304"/>
      <c r="Q82" s="304"/>
      <c r="R82" s="304"/>
      <c r="S82" s="304"/>
      <c r="T82" s="304"/>
      <c r="U82" s="305"/>
      <c r="V82" s="23"/>
      <c r="W82" s="309"/>
      <c r="X82" s="309"/>
    </row>
    <row r="83" spans="2:24" ht="20.100000000000001" customHeight="1">
      <c r="B83" s="32"/>
      <c r="C83" s="45"/>
      <c r="D83" s="44"/>
      <c r="E83" s="303"/>
      <c r="F83" s="304"/>
      <c r="G83" s="304"/>
      <c r="H83" s="304"/>
      <c r="I83" s="304"/>
      <c r="J83" s="304"/>
      <c r="K83" s="304"/>
      <c r="L83" s="304"/>
      <c r="M83" s="304"/>
      <c r="N83" s="304"/>
      <c r="O83" s="304"/>
      <c r="P83" s="304"/>
      <c r="Q83" s="304"/>
      <c r="R83" s="304"/>
      <c r="S83" s="304"/>
      <c r="T83" s="304"/>
      <c r="U83" s="305"/>
      <c r="V83" s="23"/>
      <c r="W83" s="309"/>
      <c r="X83" s="309"/>
    </row>
    <row r="84" spans="2:24" ht="20.100000000000001" customHeight="1" thickBot="1">
      <c r="B84" s="33"/>
      <c r="C84" s="34"/>
      <c r="D84" s="35"/>
      <c r="E84" s="306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8"/>
      <c r="V84" s="23"/>
    </row>
    <row r="85" spans="2:24" ht="20.100000000000001" customHeight="1">
      <c r="V85" s="23"/>
    </row>
    <row r="86" spans="2:24" ht="20.100000000000001" customHeight="1">
      <c r="V86" s="23"/>
    </row>
    <row r="87" spans="2:24" ht="20.100000000000001" customHeight="1">
      <c r="V87" s="23"/>
    </row>
    <row r="88" spans="2:24" ht="20.100000000000001" customHeight="1">
      <c r="V88" s="23"/>
    </row>
    <row r="89" spans="2:24" ht="19.5" customHeight="1">
      <c r="V89" s="23"/>
    </row>
    <row r="90" spans="2:24" ht="20.100000000000001" customHeight="1">
      <c r="V90" s="23"/>
    </row>
    <row r="91" spans="2:24" ht="20.100000000000001" customHeight="1">
      <c r="V91" s="23"/>
    </row>
    <row r="92" spans="2:24" ht="20.100000000000001" customHeight="1">
      <c r="V92" s="23"/>
    </row>
    <row r="93" spans="2:24" ht="20.100000000000001" customHeight="1">
      <c r="V93" s="23"/>
    </row>
    <row r="94" spans="2:24" ht="20.100000000000001" customHeight="1">
      <c r="V94" s="23"/>
    </row>
    <row r="95" spans="2:24" ht="20.100000000000001" customHeight="1">
      <c r="V95" s="23"/>
    </row>
    <row r="96" spans="2:24" ht="20.100000000000001" customHeight="1">
      <c r="V96" s="23"/>
    </row>
    <row r="97" spans="22:22" ht="20.100000000000001" customHeight="1">
      <c r="V97" s="23"/>
    </row>
    <row r="98" spans="22:22" ht="20.100000000000001" customHeight="1">
      <c r="V98" s="23"/>
    </row>
    <row r="99" spans="22:22" ht="20.100000000000001" customHeight="1">
      <c r="V99" s="23"/>
    </row>
    <row r="100" spans="22:22" ht="20.100000000000001" customHeight="1">
      <c r="V100" s="23"/>
    </row>
    <row r="101" spans="22:22" ht="20.100000000000001" customHeight="1">
      <c r="V101" s="23"/>
    </row>
    <row r="102" spans="22:22" ht="20.100000000000001" customHeight="1">
      <c r="V102" s="23"/>
    </row>
    <row r="103" spans="22:22" ht="20.100000000000001" customHeight="1">
      <c r="V103" s="23"/>
    </row>
    <row r="104" spans="22:22" ht="20.100000000000001" customHeight="1">
      <c r="V104" s="23"/>
    </row>
    <row r="105" spans="22:22" ht="20.100000000000001" customHeight="1">
      <c r="V105" s="23"/>
    </row>
    <row r="106" spans="22:22" ht="20.100000000000001" customHeight="1">
      <c r="V106" s="23"/>
    </row>
    <row r="107" spans="22:22" ht="20.100000000000001" customHeight="1">
      <c r="V107" s="23"/>
    </row>
    <row r="108" spans="22:22" ht="20.100000000000001" customHeight="1">
      <c r="V108" s="23"/>
    </row>
    <row r="109" spans="22:22" ht="20.100000000000001" customHeight="1">
      <c r="V109" s="23"/>
    </row>
    <row r="110" spans="22:22" ht="20.100000000000001" customHeight="1">
      <c r="V110" s="23"/>
    </row>
    <row r="111" spans="22:22" ht="20.100000000000001" customHeight="1">
      <c r="V111" s="23"/>
    </row>
    <row r="112" spans="22:22" ht="20.100000000000001" customHeight="1">
      <c r="V112" s="23"/>
    </row>
    <row r="113" spans="22:22" ht="20.100000000000001" customHeight="1">
      <c r="V113" s="23"/>
    </row>
    <row r="114" spans="22:22" ht="20.100000000000001" customHeight="1">
      <c r="V114" s="23"/>
    </row>
    <row r="115" spans="22:22" ht="20.100000000000001" customHeight="1">
      <c r="V115" s="23"/>
    </row>
    <row r="116" spans="22:22" ht="20.100000000000001" customHeight="1">
      <c r="V116" s="23"/>
    </row>
    <row r="117" spans="22:22" ht="20.100000000000001" customHeight="1">
      <c r="V117" s="23"/>
    </row>
    <row r="118" spans="22:22" ht="20.100000000000001" customHeight="1">
      <c r="V118" s="23"/>
    </row>
    <row r="119" spans="22:22" ht="20.100000000000001" customHeight="1">
      <c r="V119" s="23"/>
    </row>
    <row r="120" spans="22:22" ht="20.100000000000001" customHeight="1">
      <c r="V120" s="23"/>
    </row>
    <row r="121" spans="22:22" ht="20.100000000000001" customHeight="1">
      <c r="V121" s="23"/>
    </row>
    <row r="122" spans="22:22" ht="20.100000000000001" customHeight="1">
      <c r="V122" s="23"/>
    </row>
    <row r="123" spans="22:22" ht="20.100000000000001" customHeight="1">
      <c r="V123" s="23"/>
    </row>
    <row r="124" spans="22:22" ht="20.100000000000001" customHeight="1">
      <c r="V124" s="23"/>
    </row>
    <row r="125" spans="22:22" ht="20.100000000000001" customHeight="1">
      <c r="V125" s="23"/>
    </row>
    <row r="126" spans="22:22" ht="20.100000000000001" customHeight="1">
      <c r="V126" s="23"/>
    </row>
    <row r="127" spans="22:22" ht="20.100000000000001" customHeight="1">
      <c r="V127" s="23"/>
    </row>
    <row r="128" spans="22:22" ht="20.100000000000001" customHeight="1">
      <c r="V128" s="23"/>
    </row>
    <row r="129" spans="22:22" ht="20.100000000000001" customHeight="1">
      <c r="V129" s="23"/>
    </row>
    <row r="130" spans="22:22" ht="20.100000000000001" customHeight="1">
      <c r="V130" s="23"/>
    </row>
    <row r="131" spans="22:22" ht="20.100000000000001" customHeight="1">
      <c r="V131" s="23"/>
    </row>
    <row r="132" spans="22:22" ht="20.100000000000001" customHeight="1">
      <c r="V132" s="23"/>
    </row>
    <row r="133" spans="22:22" ht="20.100000000000001" customHeight="1">
      <c r="V133" s="23"/>
    </row>
    <row r="134" spans="22:22" ht="20.100000000000001" customHeight="1">
      <c r="V134" s="23"/>
    </row>
    <row r="135" spans="22:22" ht="20.100000000000001" customHeight="1">
      <c r="V135" s="23"/>
    </row>
    <row r="136" spans="22:22" ht="20.100000000000001" customHeight="1">
      <c r="V136" s="23"/>
    </row>
    <row r="137" spans="22:22" ht="20.100000000000001" customHeight="1">
      <c r="V137" s="23"/>
    </row>
    <row r="138" spans="22:22" ht="20.100000000000001" customHeight="1">
      <c r="V138" s="23"/>
    </row>
    <row r="139" spans="22:22" ht="20.100000000000001" customHeight="1">
      <c r="V139" s="23"/>
    </row>
    <row r="140" spans="22:22" ht="20.100000000000001" customHeight="1">
      <c r="V140" s="23"/>
    </row>
    <row r="141" spans="22:22" ht="20.100000000000001" customHeight="1">
      <c r="V141" s="23"/>
    </row>
    <row r="142" spans="22:22" ht="20.100000000000001" customHeight="1">
      <c r="V142" s="23"/>
    </row>
    <row r="143" spans="22:22" ht="20.100000000000001" customHeight="1">
      <c r="V143" s="23"/>
    </row>
    <row r="144" spans="22:22" ht="20.100000000000001" customHeight="1">
      <c r="V144" s="23"/>
    </row>
    <row r="145" spans="22:22" ht="20.100000000000001" customHeight="1">
      <c r="V145" s="23"/>
    </row>
    <row r="146" spans="22:22" ht="20.100000000000001" customHeight="1">
      <c r="V146" s="23"/>
    </row>
    <row r="147" spans="22:22" ht="20.100000000000001" customHeight="1">
      <c r="V147" s="23"/>
    </row>
    <row r="148" spans="22:22" ht="20.100000000000001" customHeight="1">
      <c r="V148" s="23"/>
    </row>
    <row r="149" spans="22:22" ht="20.100000000000001" customHeight="1">
      <c r="V149" s="23"/>
    </row>
    <row r="150" spans="22:22" ht="20.100000000000001" customHeight="1">
      <c r="V150" s="23"/>
    </row>
    <row r="151" spans="22:22" ht="20.100000000000001" customHeight="1">
      <c r="V151" s="23"/>
    </row>
    <row r="152" spans="22:22" ht="20.100000000000001" customHeight="1">
      <c r="V152" s="23"/>
    </row>
    <row r="153" spans="22:22" ht="20.100000000000001" customHeight="1">
      <c r="V153" s="23"/>
    </row>
    <row r="154" spans="22:22" ht="20.100000000000001" customHeight="1">
      <c r="V154" s="23"/>
    </row>
    <row r="155" spans="22:22" ht="20.100000000000001" customHeight="1">
      <c r="V155" s="23"/>
    </row>
    <row r="156" spans="22:22" ht="20.100000000000001" customHeight="1">
      <c r="V156" s="23"/>
    </row>
    <row r="157" spans="22:22" ht="20.100000000000001" customHeight="1">
      <c r="V157" s="23"/>
    </row>
    <row r="158" spans="22:22" ht="20.100000000000001" customHeight="1">
      <c r="V158" s="23"/>
    </row>
    <row r="159" spans="22:22" ht="20.100000000000001" customHeight="1">
      <c r="V159" s="23"/>
    </row>
    <row r="160" spans="22:22" ht="20.100000000000001" customHeight="1">
      <c r="V160" s="23"/>
    </row>
    <row r="161" spans="22:22" ht="20.100000000000001" customHeight="1">
      <c r="V161" s="23"/>
    </row>
    <row r="162" spans="22:22" ht="20.100000000000001" customHeight="1">
      <c r="V162" s="23"/>
    </row>
    <row r="163" spans="22:22" ht="20.100000000000001" customHeight="1">
      <c r="V163" s="23"/>
    </row>
    <row r="164" spans="22:22" ht="20.100000000000001" customHeight="1">
      <c r="V164" s="23"/>
    </row>
    <row r="165" spans="22:22" ht="20.100000000000001" customHeight="1">
      <c r="V165" s="23"/>
    </row>
    <row r="166" spans="22:22" ht="20.100000000000001" customHeight="1">
      <c r="V166" s="23"/>
    </row>
    <row r="167" spans="22:22" ht="20.100000000000001" customHeight="1">
      <c r="V167" s="23"/>
    </row>
    <row r="168" spans="22:22" ht="20.100000000000001" customHeight="1">
      <c r="V168" s="23"/>
    </row>
    <row r="169" spans="22:22" ht="20.100000000000001" customHeight="1">
      <c r="V169" s="23"/>
    </row>
    <row r="170" spans="22:22" ht="20.100000000000001" customHeight="1">
      <c r="V170" s="23"/>
    </row>
    <row r="171" spans="22:22" ht="20.100000000000001" customHeight="1">
      <c r="V171" s="23"/>
    </row>
    <row r="172" spans="22:22" ht="20.100000000000001" customHeight="1">
      <c r="V172" s="23"/>
    </row>
    <row r="173" spans="22:22" ht="20.100000000000001" customHeight="1">
      <c r="V173" s="23"/>
    </row>
    <row r="174" spans="22:22" ht="20.100000000000001" customHeight="1">
      <c r="V174" s="23"/>
    </row>
    <row r="175" spans="22:22" ht="20.100000000000001" customHeight="1">
      <c r="V175" s="23"/>
    </row>
    <row r="176" spans="22:22" ht="20.100000000000001" customHeight="1">
      <c r="V176" s="23"/>
    </row>
    <row r="177" spans="22:22" ht="20.100000000000001" customHeight="1">
      <c r="V177" s="23"/>
    </row>
    <row r="178" spans="22:22" ht="20.100000000000001" customHeight="1">
      <c r="V178" s="23"/>
    </row>
    <row r="179" spans="22:22" ht="20.100000000000001" customHeight="1">
      <c r="V179" s="23"/>
    </row>
    <row r="180" spans="22:22" ht="20.100000000000001" customHeight="1">
      <c r="V180" s="23"/>
    </row>
    <row r="181" spans="22:22" ht="20.100000000000001" customHeight="1">
      <c r="V181" s="23"/>
    </row>
    <row r="182" spans="22:22" ht="20.100000000000001" customHeight="1">
      <c r="V182" s="23"/>
    </row>
    <row r="183" spans="22:22" ht="20.100000000000001" customHeight="1">
      <c r="V183" s="23"/>
    </row>
    <row r="184" spans="22:22" ht="20.100000000000001" customHeight="1">
      <c r="V184" s="23"/>
    </row>
    <row r="185" spans="22:22" ht="20.100000000000001" customHeight="1">
      <c r="V185" s="23"/>
    </row>
    <row r="186" spans="22:22" ht="20.100000000000001" customHeight="1">
      <c r="V186" s="23"/>
    </row>
    <row r="187" spans="22:22" ht="20.100000000000001" customHeight="1">
      <c r="V187" s="23"/>
    </row>
    <row r="188" spans="22:22" ht="20.100000000000001" customHeight="1">
      <c r="V188" s="23"/>
    </row>
    <row r="189" spans="22:22" ht="20.100000000000001" customHeight="1">
      <c r="V189" s="23"/>
    </row>
    <row r="190" spans="22:22" ht="20.100000000000001" customHeight="1">
      <c r="V190" s="23"/>
    </row>
    <row r="191" spans="22:22" ht="20.100000000000001" customHeight="1">
      <c r="V191" s="23"/>
    </row>
    <row r="192" spans="22:22" ht="20.100000000000001" customHeight="1">
      <c r="V192" s="23"/>
    </row>
    <row r="193" spans="22:22" ht="20.100000000000001" customHeight="1">
      <c r="V193" s="23"/>
    </row>
    <row r="194" spans="22:22" ht="20.100000000000001" customHeight="1">
      <c r="V194" s="23"/>
    </row>
    <row r="195" spans="22:22" ht="20.100000000000001" customHeight="1">
      <c r="V195" s="23"/>
    </row>
    <row r="196" spans="22:22" ht="20.100000000000001" customHeight="1">
      <c r="V196" s="23"/>
    </row>
    <row r="197" spans="22:22" ht="20.100000000000001" customHeight="1">
      <c r="V197" s="23"/>
    </row>
    <row r="198" spans="22:22" ht="20.100000000000001" customHeight="1">
      <c r="V198" s="23"/>
    </row>
    <row r="199" spans="22:22" ht="20.100000000000001" customHeight="1">
      <c r="V199" s="23"/>
    </row>
    <row r="200" spans="22:22" ht="20.100000000000001" customHeight="1">
      <c r="V200" s="23"/>
    </row>
    <row r="201" spans="22:22" ht="20.100000000000001" customHeight="1">
      <c r="V201" s="23"/>
    </row>
    <row r="202" spans="22:22" ht="20.100000000000001" customHeight="1">
      <c r="V202" s="23"/>
    </row>
    <row r="203" spans="22:22" ht="20.100000000000001" customHeight="1">
      <c r="V203" s="23"/>
    </row>
    <row r="204" spans="22:22" ht="20.100000000000001" customHeight="1">
      <c r="V204" s="23"/>
    </row>
    <row r="205" spans="22:22" ht="20.100000000000001" customHeight="1">
      <c r="V205" s="23"/>
    </row>
    <row r="206" spans="22:22" ht="20.100000000000001" customHeight="1">
      <c r="V206" s="23"/>
    </row>
    <row r="207" spans="22:22" ht="20.100000000000001" customHeight="1">
      <c r="V207" s="23"/>
    </row>
    <row r="208" spans="22:22" ht="20.100000000000001" customHeight="1">
      <c r="V208" s="23"/>
    </row>
    <row r="209" spans="22:22" ht="20.100000000000001" customHeight="1">
      <c r="V209" s="23"/>
    </row>
    <row r="210" spans="22:22" ht="20.100000000000001" customHeight="1">
      <c r="V210" s="23"/>
    </row>
    <row r="211" spans="22:22" ht="20.100000000000001" customHeight="1">
      <c r="V211" s="23"/>
    </row>
    <row r="212" spans="22:22" ht="20.100000000000001" customHeight="1">
      <c r="V212" s="23"/>
    </row>
    <row r="213" spans="22:22" ht="20.100000000000001" customHeight="1">
      <c r="V213" s="23"/>
    </row>
    <row r="214" spans="22:22" ht="20.100000000000001" customHeight="1">
      <c r="V214" s="23"/>
    </row>
    <row r="215" spans="22:22" ht="20.100000000000001" customHeight="1">
      <c r="V215" s="23"/>
    </row>
    <row r="216" spans="22:22" ht="20.100000000000001" customHeight="1">
      <c r="V216" s="23"/>
    </row>
    <row r="217" spans="22:22" ht="20.100000000000001" customHeight="1">
      <c r="V217" s="23"/>
    </row>
    <row r="218" spans="22:22" ht="20.100000000000001" customHeight="1">
      <c r="V218" s="23"/>
    </row>
    <row r="219" spans="22:22" ht="20.100000000000001" customHeight="1">
      <c r="V219" s="23"/>
    </row>
    <row r="220" spans="22:22" ht="20.100000000000001" customHeight="1">
      <c r="V220" s="23"/>
    </row>
    <row r="221" spans="22:22" ht="20.100000000000001" customHeight="1">
      <c r="V221" s="23"/>
    </row>
    <row r="222" spans="22:22" ht="20.100000000000001" customHeight="1">
      <c r="V222" s="23"/>
    </row>
    <row r="223" spans="22:22" ht="20.100000000000001" customHeight="1">
      <c r="V223" s="23"/>
    </row>
    <row r="224" spans="22:22" ht="20.100000000000001" customHeight="1">
      <c r="V224" s="23"/>
    </row>
    <row r="225" spans="22:22" ht="20.100000000000001" customHeight="1">
      <c r="V225" s="23"/>
    </row>
    <row r="226" spans="22:22" ht="20.100000000000001" customHeight="1">
      <c r="V226" s="23"/>
    </row>
    <row r="227" spans="22:22" ht="20.100000000000001" customHeight="1">
      <c r="V227" s="23"/>
    </row>
    <row r="228" spans="22:22" ht="20.100000000000001" customHeight="1">
      <c r="V228" s="23"/>
    </row>
    <row r="229" spans="22:22" ht="20.100000000000001" customHeight="1">
      <c r="V229" s="23"/>
    </row>
    <row r="230" spans="22:22" ht="20.100000000000001" customHeight="1">
      <c r="V230" s="23"/>
    </row>
    <row r="231" spans="22:22" ht="20.100000000000001" customHeight="1">
      <c r="V231" s="23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E55:U55"/>
    <mergeCell ref="E56:U56"/>
    <mergeCell ref="E57:U57"/>
    <mergeCell ref="E58:U58"/>
    <mergeCell ref="E59:U59"/>
    <mergeCell ref="E60:U60"/>
    <mergeCell ref="E61:U61"/>
    <mergeCell ref="E62:U62"/>
    <mergeCell ref="E63:U63"/>
    <mergeCell ref="E64:U64"/>
    <mergeCell ref="E65:U65"/>
    <mergeCell ref="E66:U66"/>
    <mergeCell ref="E67:U67"/>
    <mergeCell ref="E68:U68"/>
    <mergeCell ref="E69:U69"/>
    <mergeCell ref="W81:X81"/>
    <mergeCell ref="W82:X82"/>
    <mergeCell ref="W83:X83"/>
    <mergeCell ref="E80:U80"/>
    <mergeCell ref="E81:U81"/>
    <mergeCell ref="E82:U82"/>
    <mergeCell ref="E83:U83"/>
    <mergeCell ref="E70:U70"/>
    <mergeCell ref="E71:U71"/>
    <mergeCell ref="E72:U72"/>
    <mergeCell ref="E73:U73"/>
    <mergeCell ref="E74:U74"/>
    <mergeCell ref="E84:U84"/>
    <mergeCell ref="E75:U75"/>
    <mergeCell ref="E76:U76"/>
    <mergeCell ref="E77:U77"/>
    <mergeCell ref="E78:U78"/>
    <mergeCell ref="E79:U79"/>
    <mergeCell ref="E45:U45"/>
    <mergeCell ref="E46:U46"/>
    <mergeCell ref="E47:U47"/>
    <mergeCell ref="E48:U48"/>
    <mergeCell ref="E49:U49"/>
    <mergeCell ref="E50:U50"/>
    <mergeCell ref="E51:U51"/>
    <mergeCell ref="E52:U52"/>
    <mergeCell ref="E53:U53"/>
    <mergeCell ref="E54:U54"/>
    <mergeCell ref="E35:U35"/>
    <mergeCell ref="E36:U36"/>
    <mergeCell ref="E37:U37"/>
    <mergeCell ref="E38:U38"/>
    <mergeCell ref="E39:U39"/>
    <mergeCell ref="E40:U40"/>
    <mergeCell ref="E41:U41"/>
    <mergeCell ref="E42:U42"/>
    <mergeCell ref="E43:U43"/>
    <mergeCell ref="E44:U44"/>
    <mergeCell ref="E25:U25"/>
    <mergeCell ref="E26:U26"/>
    <mergeCell ref="E27:U27"/>
    <mergeCell ref="E28:U28"/>
    <mergeCell ref="E29:U29"/>
    <mergeCell ref="E30:U30"/>
    <mergeCell ref="E31:U31"/>
    <mergeCell ref="E32:U32"/>
    <mergeCell ref="E33:U33"/>
    <mergeCell ref="E34:U34"/>
    <mergeCell ref="E15:U15"/>
    <mergeCell ref="E16:U16"/>
    <mergeCell ref="E17:U17"/>
    <mergeCell ref="E18:U18"/>
    <mergeCell ref="E19:U19"/>
    <mergeCell ref="E20:U20"/>
    <mergeCell ref="E21:U21"/>
    <mergeCell ref="E22:U22"/>
    <mergeCell ref="E23:U23"/>
    <mergeCell ref="E24:U24"/>
    <mergeCell ref="E13:U13"/>
    <mergeCell ref="E14:U14"/>
    <mergeCell ref="E7:U7"/>
    <mergeCell ref="E8:U8"/>
    <mergeCell ref="E9:U9"/>
    <mergeCell ref="E6:U6"/>
    <mergeCell ref="E5:U5"/>
    <mergeCell ref="E10:U10"/>
    <mergeCell ref="E11:U11"/>
    <mergeCell ref="E12:U12"/>
    <mergeCell ref="T2:U2"/>
    <mergeCell ref="H3:O3"/>
    <mergeCell ref="Q3:R3"/>
    <mergeCell ref="T3:U3"/>
    <mergeCell ref="B2:E3"/>
    <mergeCell ref="F2:G2"/>
    <mergeCell ref="F3:G3"/>
    <mergeCell ref="H2:O2"/>
    <mergeCell ref="Q2:R2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D16" sqref="D16"/>
      <selection pane="bottomLeft" activeCell="E6" sqref="E6"/>
    </sheetView>
  </sheetViews>
  <sheetFormatPr defaultRowHeight="20.100000000000001" customHeight="1"/>
  <cols>
    <col min="1" max="1" width="3.42578125" style="23" customWidth="1"/>
    <col min="2" max="2" width="5.7109375" style="23" customWidth="1"/>
    <col min="3" max="5" width="40.7109375" style="23" customWidth="1"/>
    <col min="6" max="6" width="15.7109375" style="23" customWidth="1"/>
    <col min="7" max="7" width="20.7109375" style="23" customWidth="1"/>
    <col min="8" max="8" width="15.7109375" style="23" customWidth="1"/>
    <col min="9" max="9" width="20.7109375" style="23" customWidth="1"/>
    <col min="10" max="16384" width="9.140625" style="23"/>
  </cols>
  <sheetData>
    <row r="1" spans="1:9" ht="15" customHeight="1" thickBot="1">
      <c r="A1" s="248"/>
      <c r="B1" s="248"/>
      <c r="C1" s="248"/>
      <c r="D1" s="248"/>
      <c r="E1" s="248"/>
      <c r="F1" s="248"/>
      <c r="G1" s="248"/>
      <c r="H1" s="248"/>
      <c r="I1" s="248"/>
    </row>
    <row r="2" spans="1:9" ht="15" customHeight="1">
      <c r="B2" s="310" t="s">
        <v>208</v>
      </c>
      <c r="C2" s="311"/>
      <c r="D2" s="106" t="s">
        <v>2</v>
      </c>
      <c r="E2" s="251" t="str">
        <f>ProjectName</f>
        <v>○△□プロジェクト</v>
      </c>
      <c r="F2" s="106" t="s">
        <v>3</v>
      </c>
      <c r="G2" s="252" t="str">
        <f>CreateBy</f>
        <v>○○　✕✕</v>
      </c>
      <c r="H2" s="106" t="s">
        <v>4</v>
      </c>
      <c r="I2" s="211">
        <f>CreateAt</f>
        <v>44287</v>
      </c>
    </row>
    <row r="3" spans="1:9" ht="15" customHeight="1" thickBot="1">
      <c r="B3" s="312"/>
      <c r="C3" s="313"/>
      <c r="D3" s="107" t="s">
        <v>5</v>
      </c>
      <c r="E3" s="253" t="str">
        <f>systemName</f>
        <v>○✕システム</v>
      </c>
      <c r="F3" s="107" t="s">
        <v>6</v>
      </c>
      <c r="G3" s="254"/>
      <c r="H3" s="107" t="s">
        <v>7</v>
      </c>
      <c r="I3" s="212"/>
    </row>
    <row r="4" spans="1:9" ht="5.25" customHeight="1" thickBot="1"/>
    <row r="5" spans="1:9" ht="20.100000000000001" customHeight="1" thickBot="1">
      <c r="B5" s="111" t="s">
        <v>298</v>
      </c>
      <c r="C5" s="112" t="s">
        <v>113</v>
      </c>
      <c r="D5" s="259" t="s">
        <v>224</v>
      </c>
      <c r="E5" s="258" t="s">
        <v>235</v>
      </c>
      <c r="F5" s="314" t="s">
        <v>118</v>
      </c>
      <c r="G5" s="315"/>
      <c r="H5" s="315"/>
      <c r="I5" s="316"/>
    </row>
    <row r="6" spans="1:9" s="27" customFormat="1" ht="20.100000000000001" customHeight="1">
      <c r="B6" s="43">
        <f>ROW()-5</f>
        <v>1</v>
      </c>
      <c r="C6" s="170" t="s">
        <v>513</v>
      </c>
      <c r="D6" s="260" t="s">
        <v>489</v>
      </c>
      <c r="E6" s="261" t="s">
        <v>488</v>
      </c>
      <c r="F6" s="317" t="s">
        <v>512</v>
      </c>
      <c r="G6" s="318"/>
      <c r="H6" s="318"/>
      <c r="I6" s="319"/>
    </row>
    <row r="7" spans="1:9" s="27" customFormat="1" ht="20.100000000000001" customHeight="1">
      <c r="B7" s="43">
        <f t="shared" ref="B7:B12" si="0">ROW()-5</f>
        <v>2</v>
      </c>
      <c r="C7" s="170"/>
      <c r="D7" s="260"/>
      <c r="E7" s="261"/>
      <c r="F7" s="320"/>
      <c r="G7" s="321"/>
      <c r="H7" s="321"/>
      <c r="I7" s="322"/>
    </row>
    <row r="8" spans="1:9" s="27" customFormat="1" ht="20.100000000000001" customHeight="1">
      <c r="B8" s="43">
        <f t="shared" si="0"/>
        <v>3</v>
      </c>
      <c r="C8" s="170"/>
      <c r="D8" s="260"/>
      <c r="E8" s="261"/>
      <c r="F8" s="320"/>
      <c r="G8" s="321"/>
      <c r="H8" s="321"/>
      <c r="I8" s="322"/>
    </row>
    <row r="9" spans="1:9" s="27" customFormat="1" ht="20.100000000000001" customHeight="1">
      <c r="B9" s="43">
        <f t="shared" si="0"/>
        <v>4</v>
      </c>
      <c r="C9" s="170"/>
      <c r="D9" s="260"/>
      <c r="E9" s="261"/>
      <c r="F9" s="320"/>
      <c r="G9" s="321"/>
      <c r="H9" s="321"/>
      <c r="I9" s="322"/>
    </row>
    <row r="10" spans="1:9" s="27" customFormat="1" ht="20.100000000000001" customHeight="1">
      <c r="B10" s="43">
        <f t="shared" si="0"/>
        <v>5</v>
      </c>
      <c r="C10" s="171"/>
      <c r="D10" s="260"/>
      <c r="E10" s="261"/>
      <c r="F10" s="320"/>
      <c r="G10" s="321"/>
      <c r="H10" s="321"/>
      <c r="I10" s="322"/>
    </row>
    <row r="11" spans="1:9" s="27" customFormat="1" ht="20.100000000000001" customHeight="1">
      <c r="B11" s="43">
        <f t="shared" si="0"/>
        <v>6</v>
      </c>
      <c r="C11" s="170"/>
      <c r="D11" s="260"/>
      <c r="E11" s="261"/>
      <c r="F11" s="320"/>
      <c r="G11" s="321"/>
      <c r="H11" s="321"/>
      <c r="I11" s="322"/>
    </row>
    <row r="12" spans="1:9" s="27" customFormat="1" ht="20.100000000000001" customHeight="1">
      <c r="B12" s="43">
        <f t="shared" si="0"/>
        <v>7</v>
      </c>
      <c r="C12" s="170"/>
      <c r="D12" s="260"/>
      <c r="E12" s="261"/>
      <c r="F12" s="336"/>
      <c r="G12" s="337"/>
      <c r="H12" s="337"/>
      <c r="I12" s="338"/>
    </row>
    <row r="13" spans="1:9" s="27" customFormat="1" ht="20.100000000000001" customHeight="1">
      <c r="B13" s="43">
        <f t="shared" ref="B13" si="1">ROW()-5</f>
        <v>8</v>
      </c>
      <c r="C13" s="170"/>
      <c r="D13" s="165"/>
      <c r="E13" s="166"/>
      <c r="F13" s="323"/>
      <c r="G13" s="324"/>
      <c r="H13" s="324"/>
      <c r="I13" s="325"/>
    </row>
    <row r="14" spans="1:9" s="27" customFormat="1" ht="20.100000000000001" customHeight="1">
      <c r="B14" s="43">
        <f t="shared" ref="B14" si="2">ROW()-5</f>
        <v>9</v>
      </c>
      <c r="C14" s="170"/>
      <c r="D14" s="165"/>
      <c r="E14" s="166"/>
      <c r="F14" s="323"/>
      <c r="G14" s="324"/>
      <c r="H14" s="324"/>
      <c r="I14" s="325"/>
    </row>
    <row r="15" spans="1:9" s="27" customFormat="1" ht="20.100000000000001" customHeight="1">
      <c r="B15" s="43">
        <f t="shared" ref="B15" si="3">ROW()-5</f>
        <v>10</v>
      </c>
      <c r="C15" s="170"/>
      <c r="D15" s="165"/>
      <c r="E15" s="164"/>
      <c r="F15" s="323"/>
      <c r="G15" s="324"/>
      <c r="H15" s="324"/>
      <c r="I15" s="325"/>
    </row>
    <row r="16" spans="1:9" s="27" customFormat="1" ht="20.100000000000001" customHeight="1">
      <c r="B16" s="43">
        <f t="shared" ref="B16:B73" si="4">ROW()-5</f>
        <v>11</v>
      </c>
      <c r="C16" s="170"/>
      <c r="D16" s="165"/>
      <c r="E16" s="164"/>
      <c r="F16" s="329"/>
      <c r="G16" s="327"/>
      <c r="H16" s="327"/>
      <c r="I16" s="328"/>
    </row>
    <row r="17" spans="2:9" s="27" customFormat="1" ht="20.100000000000001" customHeight="1">
      <c r="B17" s="43">
        <f t="shared" si="4"/>
        <v>12</v>
      </c>
      <c r="C17" s="170"/>
      <c r="D17" s="165"/>
      <c r="E17" s="164"/>
      <c r="F17" s="330"/>
      <c r="G17" s="331"/>
      <c r="H17" s="331"/>
      <c r="I17" s="332"/>
    </row>
    <row r="18" spans="2:9" s="27" customFormat="1" ht="20.100000000000001" customHeight="1">
      <c r="B18" s="43">
        <f t="shared" si="4"/>
        <v>13</v>
      </c>
      <c r="C18" s="170"/>
      <c r="D18" s="165"/>
      <c r="E18" s="164"/>
      <c r="F18" s="333"/>
      <c r="G18" s="334"/>
      <c r="H18" s="334"/>
      <c r="I18" s="335"/>
    </row>
    <row r="19" spans="2:9" s="27" customFormat="1" ht="20.100000000000001" customHeight="1">
      <c r="B19" s="43">
        <f t="shared" si="4"/>
        <v>14</v>
      </c>
      <c r="C19" s="170"/>
      <c r="D19" s="165"/>
      <c r="E19" s="164"/>
      <c r="F19" s="326"/>
      <c r="G19" s="327"/>
      <c r="H19" s="327"/>
      <c r="I19" s="328"/>
    </row>
    <row r="20" spans="2:9" s="27" customFormat="1" ht="20.100000000000001" customHeight="1">
      <c r="B20" s="43">
        <f t="shared" si="4"/>
        <v>15</v>
      </c>
      <c r="C20" s="170"/>
      <c r="D20" s="165"/>
      <c r="E20" s="164"/>
      <c r="F20" s="326"/>
      <c r="G20" s="327"/>
      <c r="H20" s="327"/>
      <c r="I20" s="328"/>
    </row>
    <row r="21" spans="2:9" s="27" customFormat="1" ht="20.100000000000001" customHeight="1">
      <c r="B21" s="43">
        <f t="shared" si="4"/>
        <v>16</v>
      </c>
      <c r="C21" s="170"/>
      <c r="D21" s="165"/>
      <c r="E21" s="164"/>
      <c r="F21" s="326"/>
      <c r="G21" s="327"/>
      <c r="H21" s="327"/>
      <c r="I21" s="328"/>
    </row>
    <row r="22" spans="2:9" s="27" customFormat="1" ht="20.100000000000001" customHeight="1">
      <c r="B22" s="43">
        <f t="shared" si="4"/>
        <v>17</v>
      </c>
      <c r="C22" s="170"/>
      <c r="D22" s="165"/>
      <c r="E22" s="164"/>
      <c r="F22" s="326"/>
      <c r="G22" s="327"/>
      <c r="H22" s="327"/>
      <c r="I22" s="328"/>
    </row>
    <row r="23" spans="2:9" s="27" customFormat="1" ht="20.100000000000001" customHeight="1">
      <c r="B23" s="43">
        <f t="shared" si="4"/>
        <v>18</v>
      </c>
      <c r="C23" s="170"/>
      <c r="D23" s="165"/>
      <c r="E23" s="164"/>
      <c r="F23" s="326"/>
      <c r="G23" s="327"/>
      <c r="H23" s="327"/>
      <c r="I23" s="328"/>
    </row>
    <row r="24" spans="2:9" s="27" customFormat="1" ht="20.100000000000001" customHeight="1">
      <c r="B24" s="43">
        <f t="shared" si="4"/>
        <v>19</v>
      </c>
      <c r="C24" s="170"/>
      <c r="D24" s="165"/>
      <c r="E24" s="164"/>
      <c r="F24" s="326"/>
      <c r="G24" s="327"/>
      <c r="H24" s="327"/>
      <c r="I24" s="328"/>
    </row>
    <row r="25" spans="2:9" s="27" customFormat="1" ht="20.100000000000001" customHeight="1">
      <c r="B25" s="43">
        <f t="shared" si="4"/>
        <v>20</v>
      </c>
      <c r="C25" s="170"/>
      <c r="D25" s="165"/>
      <c r="E25" s="164"/>
      <c r="F25" s="326"/>
      <c r="G25" s="327"/>
      <c r="H25" s="327"/>
      <c r="I25" s="328"/>
    </row>
    <row r="26" spans="2:9" s="27" customFormat="1" ht="20.100000000000001" customHeight="1">
      <c r="B26" s="43">
        <f t="shared" si="4"/>
        <v>21</v>
      </c>
      <c r="C26" s="170"/>
      <c r="D26" s="165"/>
      <c r="E26" s="164"/>
      <c r="F26" s="326"/>
      <c r="G26" s="327"/>
      <c r="H26" s="327"/>
      <c r="I26" s="328"/>
    </row>
    <row r="27" spans="2:9" s="27" customFormat="1" ht="20.100000000000001" customHeight="1">
      <c r="B27" s="43">
        <f t="shared" si="4"/>
        <v>22</v>
      </c>
      <c r="C27" s="170"/>
      <c r="D27" s="165"/>
      <c r="E27" s="164"/>
      <c r="F27" s="326"/>
      <c r="G27" s="327"/>
      <c r="H27" s="327"/>
      <c r="I27" s="328"/>
    </row>
    <row r="28" spans="2:9" s="27" customFormat="1" ht="20.100000000000001" customHeight="1">
      <c r="B28" s="43">
        <f t="shared" si="4"/>
        <v>23</v>
      </c>
      <c r="C28" s="170"/>
      <c r="D28" s="165"/>
      <c r="E28" s="164"/>
      <c r="F28" s="326"/>
      <c r="G28" s="327"/>
      <c r="H28" s="327"/>
      <c r="I28" s="328"/>
    </row>
    <row r="29" spans="2:9" s="27" customFormat="1" ht="20.100000000000001" customHeight="1">
      <c r="B29" s="43">
        <f t="shared" si="4"/>
        <v>24</v>
      </c>
      <c r="C29" s="170"/>
      <c r="D29" s="165"/>
      <c r="E29" s="164"/>
      <c r="F29" s="326"/>
      <c r="G29" s="327"/>
      <c r="H29" s="327"/>
      <c r="I29" s="328"/>
    </row>
    <row r="30" spans="2:9" s="27" customFormat="1" ht="20.100000000000001" customHeight="1">
      <c r="B30" s="43">
        <f t="shared" si="4"/>
        <v>25</v>
      </c>
      <c r="C30" s="170"/>
      <c r="D30" s="165"/>
      <c r="E30" s="164"/>
      <c r="F30" s="326"/>
      <c r="G30" s="327"/>
      <c r="H30" s="327"/>
      <c r="I30" s="328"/>
    </row>
    <row r="31" spans="2:9" s="27" customFormat="1" ht="20.100000000000001" customHeight="1">
      <c r="B31" s="43">
        <f t="shared" si="4"/>
        <v>26</v>
      </c>
      <c r="C31" s="170"/>
      <c r="D31" s="165"/>
      <c r="E31" s="164"/>
      <c r="F31" s="326"/>
      <c r="G31" s="327"/>
      <c r="H31" s="327"/>
      <c r="I31" s="328"/>
    </row>
    <row r="32" spans="2:9" s="27" customFormat="1" ht="20.100000000000001" customHeight="1">
      <c r="B32" s="43">
        <f t="shared" si="4"/>
        <v>27</v>
      </c>
      <c r="C32" s="170"/>
      <c r="D32" s="165"/>
      <c r="E32" s="164"/>
      <c r="F32" s="326"/>
      <c r="G32" s="327"/>
      <c r="H32" s="327"/>
      <c r="I32" s="328"/>
    </row>
    <row r="33" spans="2:9" s="27" customFormat="1" ht="20.100000000000001" customHeight="1">
      <c r="B33" s="43">
        <f t="shared" si="4"/>
        <v>28</v>
      </c>
      <c r="C33" s="170"/>
      <c r="D33" s="165"/>
      <c r="E33" s="164"/>
      <c r="F33" s="326"/>
      <c r="G33" s="327"/>
      <c r="H33" s="327"/>
      <c r="I33" s="328"/>
    </row>
    <row r="34" spans="2:9" s="27" customFormat="1" ht="20.100000000000001" customHeight="1">
      <c r="B34" s="43">
        <f t="shared" si="4"/>
        <v>29</v>
      </c>
      <c r="C34" s="170"/>
      <c r="D34" s="165"/>
      <c r="E34" s="164"/>
      <c r="F34" s="326"/>
      <c r="G34" s="327"/>
      <c r="H34" s="327"/>
      <c r="I34" s="328"/>
    </row>
    <row r="35" spans="2:9" s="27" customFormat="1" ht="20.100000000000001" customHeight="1">
      <c r="B35" s="43">
        <f t="shared" si="4"/>
        <v>30</v>
      </c>
      <c r="C35" s="170"/>
      <c r="D35" s="165"/>
      <c r="E35" s="164"/>
      <c r="F35" s="326"/>
      <c r="G35" s="327"/>
      <c r="H35" s="327"/>
      <c r="I35" s="328"/>
    </row>
    <row r="36" spans="2:9" s="27" customFormat="1" ht="20.100000000000001" customHeight="1">
      <c r="B36" s="43">
        <f t="shared" si="4"/>
        <v>31</v>
      </c>
      <c r="C36" s="170"/>
      <c r="D36" s="165"/>
      <c r="E36" s="164"/>
      <c r="F36" s="326"/>
      <c r="G36" s="327"/>
      <c r="H36" s="327"/>
      <c r="I36" s="328"/>
    </row>
    <row r="37" spans="2:9" s="27" customFormat="1" ht="20.100000000000001" customHeight="1">
      <c r="B37" s="43">
        <f t="shared" si="4"/>
        <v>32</v>
      </c>
      <c r="C37" s="170"/>
      <c r="D37" s="165"/>
      <c r="E37" s="164"/>
      <c r="F37" s="326"/>
      <c r="G37" s="327"/>
      <c r="H37" s="327"/>
      <c r="I37" s="328"/>
    </row>
    <row r="38" spans="2:9" s="27" customFormat="1" ht="20.100000000000001" customHeight="1">
      <c r="B38" s="43">
        <f t="shared" si="4"/>
        <v>33</v>
      </c>
      <c r="C38" s="170"/>
      <c r="D38" s="165"/>
      <c r="E38" s="164"/>
      <c r="F38" s="326"/>
      <c r="G38" s="327"/>
      <c r="H38" s="327"/>
      <c r="I38" s="328"/>
    </row>
    <row r="39" spans="2:9" s="27" customFormat="1" ht="20.100000000000001" customHeight="1">
      <c r="B39" s="43">
        <f t="shared" si="4"/>
        <v>34</v>
      </c>
      <c r="C39" s="170"/>
      <c r="D39" s="165"/>
      <c r="E39" s="164"/>
      <c r="F39" s="326"/>
      <c r="G39" s="327"/>
      <c r="H39" s="327"/>
      <c r="I39" s="328"/>
    </row>
    <row r="40" spans="2:9" s="27" customFormat="1" ht="20.100000000000001" customHeight="1">
      <c r="B40" s="43">
        <f t="shared" si="4"/>
        <v>35</v>
      </c>
      <c r="C40" s="170"/>
      <c r="D40" s="167"/>
      <c r="E40" s="164"/>
      <c r="F40" s="326"/>
      <c r="G40" s="327"/>
      <c r="H40" s="327"/>
      <c r="I40" s="328"/>
    </row>
    <row r="41" spans="2:9" s="27" customFormat="1" ht="20.100000000000001" customHeight="1">
      <c r="B41" s="43">
        <f t="shared" si="4"/>
        <v>36</v>
      </c>
      <c r="C41" s="170"/>
      <c r="D41" s="167"/>
      <c r="E41" s="164"/>
      <c r="F41" s="326"/>
      <c r="G41" s="327"/>
      <c r="H41" s="327"/>
      <c r="I41" s="328"/>
    </row>
    <row r="42" spans="2:9" s="27" customFormat="1" ht="20.100000000000001" customHeight="1">
      <c r="B42" s="43">
        <f t="shared" si="4"/>
        <v>37</v>
      </c>
      <c r="C42" s="170"/>
      <c r="D42" s="167"/>
      <c r="E42" s="164"/>
      <c r="F42" s="326"/>
      <c r="G42" s="327"/>
      <c r="H42" s="327"/>
      <c r="I42" s="328"/>
    </row>
    <row r="43" spans="2:9" s="27" customFormat="1" ht="20.100000000000001" customHeight="1">
      <c r="B43" s="43">
        <f t="shared" si="4"/>
        <v>38</v>
      </c>
      <c r="C43" s="170"/>
      <c r="D43" s="167"/>
      <c r="E43" s="164"/>
      <c r="F43" s="326"/>
      <c r="G43" s="327"/>
      <c r="H43" s="327"/>
      <c r="I43" s="328"/>
    </row>
    <row r="44" spans="2:9" s="27" customFormat="1" ht="20.100000000000001" customHeight="1">
      <c r="B44" s="43">
        <f t="shared" si="4"/>
        <v>39</v>
      </c>
      <c r="C44" s="170"/>
      <c r="D44" s="167"/>
      <c r="E44" s="164"/>
      <c r="F44" s="326"/>
      <c r="G44" s="327"/>
      <c r="H44" s="327"/>
      <c r="I44" s="328"/>
    </row>
    <row r="45" spans="2:9" s="27" customFormat="1" ht="20.100000000000001" customHeight="1">
      <c r="B45" s="43">
        <f t="shared" si="4"/>
        <v>40</v>
      </c>
      <c r="C45" s="170"/>
      <c r="D45" s="167"/>
      <c r="E45" s="164"/>
      <c r="F45" s="326"/>
      <c r="G45" s="327"/>
      <c r="H45" s="327"/>
      <c r="I45" s="328"/>
    </row>
    <row r="46" spans="2:9" s="27" customFormat="1" ht="20.100000000000001" customHeight="1">
      <c r="B46" s="43">
        <f t="shared" si="4"/>
        <v>41</v>
      </c>
      <c r="C46" s="170"/>
      <c r="D46" s="167"/>
      <c r="E46" s="164"/>
      <c r="F46" s="326"/>
      <c r="G46" s="327"/>
      <c r="H46" s="327"/>
      <c r="I46" s="328"/>
    </row>
    <row r="47" spans="2:9" s="27" customFormat="1" ht="20.100000000000001" customHeight="1">
      <c r="B47" s="43">
        <f t="shared" si="4"/>
        <v>42</v>
      </c>
      <c r="C47" s="170"/>
      <c r="D47" s="167"/>
      <c r="E47" s="164"/>
      <c r="F47" s="326"/>
      <c r="G47" s="327"/>
      <c r="H47" s="327"/>
      <c r="I47" s="328"/>
    </row>
    <row r="48" spans="2:9" s="27" customFormat="1" ht="20.100000000000001" customHeight="1">
      <c r="B48" s="43">
        <f t="shared" si="4"/>
        <v>43</v>
      </c>
      <c r="C48" s="170"/>
      <c r="D48" s="167"/>
      <c r="E48" s="164"/>
      <c r="F48" s="326"/>
      <c r="G48" s="327"/>
      <c r="H48" s="327"/>
      <c r="I48" s="328"/>
    </row>
    <row r="49" spans="2:9" s="27" customFormat="1" ht="20.100000000000001" customHeight="1">
      <c r="B49" s="43">
        <f t="shared" si="4"/>
        <v>44</v>
      </c>
      <c r="C49" s="170"/>
      <c r="D49" s="167"/>
      <c r="E49" s="164"/>
      <c r="F49" s="326"/>
      <c r="G49" s="327"/>
      <c r="H49" s="327"/>
      <c r="I49" s="328"/>
    </row>
    <row r="50" spans="2:9" s="27" customFormat="1" ht="20.100000000000001" customHeight="1">
      <c r="B50" s="43">
        <f t="shared" si="4"/>
        <v>45</v>
      </c>
      <c r="C50" s="170"/>
      <c r="D50" s="167"/>
      <c r="E50" s="164"/>
      <c r="F50" s="326"/>
      <c r="G50" s="327"/>
      <c r="H50" s="327"/>
      <c r="I50" s="328"/>
    </row>
    <row r="51" spans="2:9" s="27" customFormat="1" ht="20.100000000000001" customHeight="1">
      <c r="B51" s="43">
        <f t="shared" si="4"/>
        <v>46</v>
      </c>
      <c r="C51" s="170"/>
      <c r="D51" s="167"/>
      <c r="E51" s="164"/>
      <c r="F51" s="326"/>
      <c r="G51" s="327"/>
      <c r="H51" s="327"/>
      <c r="I51" s="328"/>
    </row>
    <row r="52" spans="2:9" s="27" customFormat="1" ht="20.100000000000001" customHeight="1">
      <c r="B52" s="43">
        <f t="shared" si="4"/>
        <v>47</v>
      </c>
      <c r="C52" s="170"/>
      <c r="D52" s="167"/>
      <c r="E52" s="164"/>
      <c r="F52" s="326"/>
      <c r="G52" s="327"/>
      <c r="H52" s="327"/>
      <c r="I52" s="328"/>
    </row>
    <row r="53" spans="2:9" s="27" customFormat="1" ht="20.100000000000001" customHeight="1">
      <c r="B53" s="43">
        <f t="shared" si="4"/>
        <v>48</v>
      </c>
      <c r="C53" s="170"/>
      <c r="D53" s="167"/>
      <c r="E53" s="164"/>
      <c r="F53" s="326"/>
      <c r="G53" s="327"/>
      <c r="H53" s="327"/>
      <c r="I53" s="328"/>
    </row>
    <row r="54" spans="2:9" s="27" customFormat="1" ht="20.100000000000001" customHeight="1">
      <c r="B54" s="43">
        <f t="shared" si="4"/>
        <v>49</v>
      </c>
      <c r="C54" s="170"/>
      <c r="D54" s="167"/>
      <c r="E54" s="164"/>
      <c r="F54" s="326"/>
      <c r="G54" s="327"/>
      <c r="H54" s="327"/>
      <c r="I54" s="328"/>
    </row>
    <row r="55" spans="2:9" s="27" customFormat="1" ht="20.100000000000001" customHeight="1">
      <c r="B55" s="43">
        <f t="shared" si="4"/>
        <v>50</v>
      </c>
      <c r="C55" s="170"/>
      <c r="D55" s="167"/>
      <c r="E55" s="164"/>
      <c r="F55" s="326"/>
      <c r="G55" s="327"/>
      <c r="H55" s="327"/>
      <c r="I55" s="328"/>
    </row>
    <row r="56" spans="2:9" s="27" customFormat="1" ht="20.100000000000001" customHeight="1">
      <c r="B56" s="43">
        <f t="shared" si="4"/>
        <v>51</v>
      </c>
      <c r="C56" s="170"/>
      <c r="D56" s="167"/>
      <c r="E56" s="164"/>
      <c r="F56" s="326"/>
      <c r="G56" s="327"/>
      <c r="H56" s="327"/>
      <c r="I56" s="328"/>
    </row>
    <row r="57" spans="2:9" s="27" customFormat="1" ht="20.100000000000001" customHeight="1">
      <c r="B57" s="43">
        <f t="shared" si="4"/>
        <v>52</v>
      </c>
      <c r="C57" s="170"/>
      <c r="D57" s="167"/>
      <c r="E57" s="164"/>
      <c r="F57" s="326"/>
      <c r="G57" s="327"/>
      <c r="H57" s="327"/>
      <c r="I57" s="328"/>
    </row>
    <row r="58" spans="2:9" s="27" customFormat="1" ht="20.100000000000001" customHeight="1">
      <c r="B58" s="43">
        <f t="shared" si="4"/>
        <v>53</v>
      </c>
      <c r="C58" s="170"/>
      <c r="D58" s="167"/>
      <c r="E58" s="164"/>
      <c r="F58" s="326"/>
      <c r="G58" s="327"/>
      <c r="H58" s="327"/>
      <c r="I58" s="328"/>
    </row>
    <row r="59" spans="2:9" s="27" customFormat="1" ht="20.100000000000001" customHeight="1">
      <c r="B59" s="43">
        <f t="shared" si="4"/>
        <v>54</v>
      </c>
      <c r="C59" s="170"/>
      <c r="D59" s="167"/>
      <c r="E59" s="164"/>
      <c r="F59" s="326"/>
      <c r="G59" s="327"/>
      <c r="H59" s="327"/>
      <c r="I59" s="328"/>
    </row>
    <row r="60" spans="2:9" s="27" customFormat="1" ht="20.100000000000001" customHeight="1">
      <c r="B60" s="43">
        <f t="shared" si="4"/>
        <v>55</v>
      </c>
      <c r="C60" s="170"/>
      <c r="D60" s="167"/>
      <c r="E60" s="164"/>
      <c r="F60" s="326"/>
      <c r="G60" s="327"/>
      <c r="H60" s="327"/>
      <c r="I60" s="328"/>
    </row>
    <row r="61" spans="2:9" s="27" customFormat="1" ht="20.100000000000001" customHeight="1">
      <c r="B61" s="43">
        <f t="shared" si="4"/>
        <v>56</v>
      </c>
      <c r="C61" s="170"/>
      <c r="D61" s="167"/>
      <c r="E61" s="164"/>
      <c r="F61" s="326"/>
      <c r="G61" s="327"/>
      <c r="H61" s="327"/>
      <c r="I61" s="328"/>
    </row>
    <row r="62" spans="2:9" s="27" customFormat="1" ht="20.100000000000001" customHeight="1">
      <c r="B62" s="43">
        <f t="shared" si="4"/>
        <v>57</v>
      </c>
      <c r="C62" s="170"/>
      <c r="D62" s="167"/>
      <c r="E62" s="164"/>
      <c r="F62" s="326"/>
      <c r="G62" s="327"/>
      <c r="H62" s="327"/>
      <c r="I62" s="328"/>
    </row>
    <row r="63" spans="2:9" s="27" customFormat="1" ht="20.100000000000001" customHeight="1">
      <c r="B63" s="43">
        <f t="shared" si="4"/>
        <v>58</v>
      </c>
      <c r="C63" s="170"/>
      <c r="D63" s="167"/>
      <c r="E63" s="164"/>
      <c r="F63" s="326"/>
      <c r="G63" s="327"/>
      <c r="H63" s="327"/>
      <c r="I63" s="328"/>
    </row>
    <row r="64" spans="2:9" s="27" customFormat="1" ht="20.100000000000001" customHeight="1">
      <c r="B64" s="43">
        <f t="shared" si="4"/>
        <v>59</v>
      </c>
      <c r="C64" s="170"/>
      <c r="D64" s="167"/>
      <c r="E64" s="164"/>
      <c r="F64" s="326"/>
      <c r="G64" s="327"/>
      <c r="H64" s="327"/>
      <c r="I64" s="328"/>
    </row>
    <row r="65" spans="2:9" s="27" customFormat="1" ht="20.100000000000001" customHeight="1">
      <c r="B65" s="43">
        <f t="shared" si="4"/>
        <v>60</v>
      </c>
      <c r="C65" s="170"/>
      <c r="D65" s="167"/>
      <c r="E65" s="164"/>
      <c r="F65" s="326"/>
      <c r="G65" s="327"/>
      <c r="H65" s="327"/>
      <c r="I65" s="328"/>
    </row>
    <row r="66" spans="2:9" s="27" customFormat="1" ht="20.100000000000001" customHeight="1">
      <c r="B66" s="43">
        <f t="shared" si="4"/>
        <v>61</v>
      </c>
      <c r="C66" s="170"/>
      <c r="D66" s="167"/>
      <c r="E66" s="164"/>
      <c r="F66" s="326"/>
      <c r="G66" s="327"/>
      <c r="H66" s="327"/>
      <c r="I66" s="328"/>
    </row>
    <row r="67" spans="2:9" s="27" customFormat="1" ht="20.100000000000001" customHeight="1">
      <c r="B67" s="43">
        <f t="shared" si="4"/>
        <v>62</v>
      </c>
      <c r="C67" s="170"/>
      <c r="D67" s="167"/>
      <c r="E67" s="164"/>
      <c r="F67" s="326"/>
      <c r="G67" s="327"/>
      <c r="H67" s="327"/>
      <c r="I67" s="328"/>
    </row>
    <row r="68" spans="2:9" s="27" customFormat="1" ht="20.100000000000001" customHeight="1">
      <c r="B68" s="43">
        <f t="shared" si="4"/>
        <v>63</v>
      </c>
      <c r="C68" s="170"/>
      <c r="D68" s="167"/>
      <c r="E68" s="164"/>
      <c r="F68" s="326"/>
      <c r="G68" s="327"/>
      <c r="H68" s="327"/>
      <c r="I68" s="328"/>
    </row>
    <row r="69" spans="2:9" s="27" customFormat="1" ht="20.100000000000001" customHeight="1">
      <c r="B69" s="43">
        <f t="shared" si="4"/>
        <v>64</v>
      </c>
      <c r="C69" s="170"/>
      <c r="D69" s="167"/>
      <c r="E69" s="164"/>
      <c r="F69" s="326"/>
      <c r="G69" s="327"/>
      <c r="H69" s="327"/>
      <c r="I69" s="328"/>
    </row>
    <row r="70" spans="2:9" s="27" customFormat="1" ht="20.100000000000001" customHeight="1">
      <c r="B70" s="43">
        <f t="shared" si="4"/>
        <v>65</v>
      </c>
      <c r="C70" s="170"/>
      <c r="D70" s="167"/>
      <c r="E70" s="164"/>
      <c r="F70" s="326"/>
      <c r="G70" s="327"/>
      <c r="H70" s="327"/>
      <c r="I70" s="328"/>
    </row>
    <row r="71" spans="2:9" s="27" customFormat="1" ht="20.100000000000001" customHeight="1">
      <c r="B71" s="43">
        <f t="shared" si="4"/>
        <v>66</v>
      </c>
      <c r="C71" s="170"/>
      <c r="D71" s="167"/>
      <c r="E71" s="164"/>
      <c r="F71" s="326"/>
      <c r="G71" s="327"/>
      <c r="H71" s="327"/>
      <c r="I71" s="328"/>
    </row>
    <row r="72" spans="2:9" s="27" customFormat="1" ht="20.100000000000001" customHeight="1">
      <c r="B72" s="43">
        <f t="shared" si="4"/>
        <v>67</v>
      </c>
      <c r="C72" s="170"/>
      <c r="D72" s="167"/>
      <c r="E72" s="164"/>
      <c r="F72" s="326"/>
      <c r="G72" s="327"/>
      <c r="H72" s="327"/>
      <c r="I72" s="328"/>
    </row>
    <row r="73" spans="2:9" s="27" customFormat="1" ht="20.100000000000001" customHeight="1">
      <c r="B73" s="43">
        <f t="shared" si="4"/>
        <v>68</v>
      </c>
      <c r="C73" s="170"/>
      <c r="D73" s="167"/>
      <c r="E73" s="164"/>
      <c r="F73" s="326"/>
      <c r="G73" s="327"/>
      <c r="H73" s="327"/>
      <c r="I73" s="328"/>
    </row>
    <row r="74" spans="2:9" s="27" customFormat="1" ht="20.100000000000001" customHeight="1">
      <c r="B74" s="43">
        <f t="shared" ref="B74:B79" si="5">ROW()-5</f>
        <v>69</v>
      </c>
      <c r="C74" s="170"/>
      <c r="D74" s="167"/>
      <c r="E74" s="164"/>
      <c r="F74" s="326"/>
      <c r="G74" s="327"/>
      <c r="H74" s="327"/>
      <c r="I74" s="328"/>
    </row>
    <row r="75" spans="2:9" s="27" customFormat="1" ht="20.100000000000001" customHeight="1">
      <c r="B75" s="43">
        <f t="shared" si="5"/>
        <v>70</v>
      </c>
      <c r="C75" s="170"/>
      <c r="D75" s="167"/>
      <c r="E75" s="164"/>
      <c r="F75" s="326"/>
      <c r="G75" s="327"/>
      <c r="H75" s="327"/>
      <c r="I75" s="328"/>
    </row>
    <row r="76" spans="2:9" s="27" customFormat="1" ht="20.100000000000001" customHeight="1">
      <c r="B76" s="43">
        <f t="shared" si="5"/>
        <v>71</v>
      </c>
      <c r="C76" s="170"/>
      <c r="D76" s="167"/>
      <c r="E76" s="164"/>
      <c r="F76" s="326"/>
      <c r="G76" s="327"/>
      <c r="H76" s="327"/>
      <c r="I76" s="328"/>
    </row>
    <row r="77" spans="2:9" s="27" customFormat="1" ht="20.100000000000001" customHeight="1">
      <c r="B77" s="43">
        <f t="shared" si="5"/>
        <v>72</v>
      </c>
      <c r="C77" s="170"/>
      <c r="D77" s="167"/>
      <c r="E77" s="164"/>
      <c r="F77" s="326"/>
      <c r="G77" s="327"/>
      <c r="H77" s="327"/>
      <c r="I77" s="328"/>
    </row>
    <row r="78" spans="2:9" s="27" customFormat="1" ht="20.100000000000001" customHeight="1">
      <c r="B78" s="43">
        <f t="shared" si="5"/>
        <v>73</v>
      </c>
      <c r="C78" s="170"/>
      <c r="D78" s="167"/>
      <c r="E78" s="164"/>
      <c r="F78" s="326"/>
      <c r="G78" s="327"/>
      <c r="H78" s="327"/>
      <c r="I78" s="328"/>
    </row>
    <row r="79" spans="2:9" s="27" customFormat="1" ht="20.100000000000001" customHeight="1">
      <c r="B79" s="43">
        <f t="shared" si="5"/>
        <v>74</v>
      </c>
      <c r="C79" s="170"/>
      <c r="D79" s="167"/>
      <c r="E79" s="164"/>
      <c r="F79" s="326"/>
      <c r="G79" s="327"/>
      <c r="H79" s="327"/>
      <c r="I79" s="328"/>
    </row>
    <row r="80" spans="2:9" s="27" customFormat="1" ht="20.100000000000001" customHeight="1">
      <c r="B80" s="43">
        <f t="shared" ref="B80:B104" si="6">ROW()-5</f>
        <v>75</v>
      </c>
      <c r="C80" s="170"/>
      <c r="D80" s="167"/>
      <c r="E80" s="164"/>
      <c r="F80" s="326"/>
      <c r="G80" s="327"/>
      <c r="H80" s="327"/>
      <c r="I80" s="328"/>
    </row>
    <row r="81" spans="2:9" s="27" customFormat="1" ht="20.100000000000001" customHeight="1">
      <c r="B81" s="43">
        <f t="shared" si="6"/>
        <v>76</v>
      </c>
      <c r="C81" s="170"/>
      <c r="D81" s="167"/>
      <c r="E81" s="164"/>
      <c r="F81" s="326"/>
      <c r="G81" s="327"/>
      <c r="H81" s="327"/>
      <c r="I81" s="328"/>
    </row>
    <row r="82" spans="2:9" s="27" customFormat="1" ht="20.100000000000001" customHeight="1">
      <c r="B82" s="43">
        <f t="shared" si="6"/>
        <v>77</v>
      </c>
      <c r="C82" s="170"/>
      <c r="D82" s="167"/>
      <c r="E82" s="164"/>
      <c r="F82" s="326"/>
      <c r="G82" s="327"/>
      <c r="H82" s="327"/>
      <c r="I82" s="328"/>
    </row>
    <row r="83" spans="2:9" s="27" customFormat="1" ht="20.100000000000001" customHeight="1">
      <c r="B83" s="43">
        <f t="shared" si="6"/>
        <v>78</v>
      </c>
      <c r="C83" s="170"/>
      <c r="D83" s="167"/>
      <c r="E83" s="164"/>
      <c r="F83" s="326"/>
      <c r="G83" s="327"/>
      <c r="H83" s="327"/>
      <c r="I83" s="328"/>
    </row>
    <row r="84" spans="2:9" s="27" customFormat="1" ht="20.100000000000001" customHeight="1">
      <c r="B84" s="43">
        <f t="shared" si="6"/>
        <v>79</v>
      </c>
      <c r="C84" s="170"/>
      <c r="D84" s="167"/>
      <c r="E84" s="164"/>
      <c r="F84" s="326"/>
      <c r="G84" s="327"/>
      <c r="H84" s="327"/>
      <c r="I84" s="328"/>
    </row>
    <row r="85" spans="2:9" s="27" customFormat="1" ht="20.100000000000001" customHeight="1">
      <c r="B85" s="43">
        <f t="shared" si="6"/>
        <v>80</v>
      </c>
      <c r="C85" s="170"/>
      <c r="D85" s="167"/>
      <c r="E85" s="164"/>
      <c r="F85" s="326"/>
      <c r="G85" s="327"/>
      <c r="H85" s="327"/>
      <c r="I85" s="328"/>
    </row>
    <row r="86" spans="2:9" s="27" customFormat="1" ht="20.100000000000001" customHeight="1">
      <c r="B86" s="43">
        <f t="shared" si="6"/>
        <v>81</v>
      </c>
      <c r="C86" s="170"/>
      <c r="D86" s="167"/>
      <c r="E86" s="164"/>
      <c r="F86" s="326"/>
      <c r="G86" s="327"/>
      <c r="H86" s="327"/>
      <c r="I86" s="328"/>
    </row>
    <row r="87" spans="2:9" s="27" customFormat="1" ht="20.100000000000001" customHeight="1">
      <c r="B87" s="43">
        <f t="shared" si="6"/>
        <v>82</v>
      </c>
      <c r="C87" s="170"/>
      <c r="D87" s="167"/>
      <c r="E87" s="164"/>
      <c r="F87" s="326"/>
      <c r="G87" s="327"/>
      <c r="H87" s="327"/>
      <c r="I87" s="328"/>
    </row>
    <row r="88" spans="2:9" s="27" customFormat="1" ht="20.100000000000001" customHeight="1">
      <c r="B88" s="43">
        <f t="shared" si="6"/>
        <v>83</v>
      </c>
      <c r="C88" s="170"/>
      <c r="D88" s="167"/>
      <c r="E88" s="164"/>
      <c r="F88" s="326"/>
      <c r="G88" s="327"/>
      <c r="H88" s="327"/>
      <c r="I88" s="328"/>
    </row>
    <row r="89" spans="2:9" s="27" customFormat="1" ht="20.100000000000001" customHeight="1">
      <c r="B89" s="43">
        <f t="shared" si="6"/>
        <v>84</v>
      </c>
      <c r="C89" s="170"/>
      <c r="D89" s="167"/>
      <c r="E89" s="164"/>
      <c r="F89" s="326"/>
      <c r="G89" s="327"/>
      <c r="H89" s="327"/>
      <c r="I89" s="328"/>
    </row>
    <row r="90" spans="2:9" s="27" customFormat="1" ht="20.100000000000001" customHeight="1">
      <c r="B90" s="43">
        <f t="shared" si="6"/>
        <v>85</v>
      </c>
      <c r="C90" s="170"/>
      <c r="D90" s="167"/>
      <c r="E90" s="164"/>
      <c r="F90" s="326"/>
      <c r="G90" s="327"/>
      <c r="H90" s="327"/>
      <c r="I90" s="328"/>
    </row>
    <row r="91" spans="2:9" s="27" customFormat="1" ht="20.100000000000001" customHeight="1">
      <c r="B91" s="43">
        <f t="shared" si="6"/>
        <v>86</v>
      </c>
      <c r="C91" s="170"/>
      <c r="D91" s="167"/>
      <c r="E91" s="164"/>
      <c r="F91" s="326"/>
      <c r="G91" s="327"/>
      <c r="H91" s="327"/>
      <c r="I91" s="328"/>
    </row>
    <row r="92" spans="2:9" s="27" customFormat="1" ht="20.100000000000001" customHeight="1">
      <c r="B92" s="43">
        <f t="shared" si="6"/>
        <v>87</v>
      </c>
      <c r="C92" s="170"/>
      <c r="D92" s="167"/>
      <c r="E92" s="164"/>
      <c r="F92" s="326"/>
      <c r="G92" s="327"/>
      <c r="H92" s="327"/>
      <c r="I92" s="328"/>
    </row>
    <row r="93" spans="2:9" s="27" customFormat="1" ht="20.100000000000001" customHeight="1">
      <c r="B93" s="43">
        <f t="shared" si="6"/>
        <v>88</v>
      </c>
      <c r="C93" s="170"/>
      <c r="D93" s="167"/>
      <c r="E93" s="164"/>
      <c r="F93" s="326"/>
      <c r="G93" s="327"/>
      <c r="H93" s="327"/>
      <c r="I93" s="328"/>
    </row>
    <row r="94" spans="2:9" s="27" customFormat="1" ht="20.100000000000001" customHeight="1">
      <c r="B94" s="43">
        <f t="shared" si="6"/>
        <v>89</v>
      </c>
      <c r="C94" s="170"/>
      <c r="D94" s="167"/>
      <c r="E94" s="164"/>
      <c r="F94" s="326"/>
      <c r="G94" s="327"/>
      <c r="H94" s="327"/>
      <c r="I94" s="328"/>
    </row>
    <row r="95" spans="2:9" s="27" customFormat="1" ht="20.100000000000001" customHeight="1">
      <c r="B95" s="43">
        <f t="shared" si="6"/>
        <v>90</v>
      </c>
      <c r="C95" s="170"/>
      <c r="D95" s="167"/>
      <c r="E95" s="164"/>
      <c r="F95" s="326"/>
      <c r="G95" s="327"/>
      <c r="H95" s="327"/>
      <c r="I95" s="328"/>
    </row>
    <row r="96" spans="2:9" s="27" customFormat="1" ht="20.100000000000001" customHeight="1">
      <c r="B96" s="43">
        <f t="shared" si="6"/>
        <v>91</v>
      </c>
      <c r="C96" s="170"/>
      <c r="D96" s="167"/>
      <c r="E96" s="164"/>
      <c r="F96" s="326"/>
      <c r="G96" s="327"/>
      <c r="H96" s="327"/>
      <c r="I96" s="328"/>
    </row>
    <row r="97" spans="2:9" s="27" customFormat="1" ht="20.100000000000001" customHeight="1">
      <c r="B97" s="43">
        <f t="shared" si="6"/>
        <v>92</v>
      </c>
      <c r="C97" s="170"/>
      <c r="D97" s="167"/>
      <c r="E97" s="164"/>
      <c r="F97" s="326"/>
      <c r="G97" s="327"/>
      <c r="H97" s="327"/>
      <c r="I97" s="328"/>
    </row>
    <row r="98" spans="2:9" s="27" customFormat="1" ht="20.100000000000001" customHeight="1">
      <c r="B98" s="43">
        <f t="shared" si="6"/>
        <v>93</v>
      </c>
      <c r="C98" s="170"/>
      <c r="D98" s="167"/>
      <c r="E98" s="164"/>
      <c r="F98" s="326"/>
      <c r="G98" s="327"/>
      <c r="H98" s="327"/>
      <c r="I98" s="328"/>
    </row>
    <row r="99" spans="2:9" s="27" customFormat="1" ht="20.100000000000001" customHeight="1">
      <c r="B99" s="43">
        <f t="shared" si="6"/>
        <v>94</v>
      </c>
      <c r="C99" s="170"/>
      <c r="D99" s="167"/>
      <c r="E99" s="164"/>
      <c r="F99" s="326"/>
      <c r="G99" s="327"/>
      <c r="H99" s="327"/>
      <c r="I99" s="328"/>
    </row>
    <row r="100" spans="2:9" s="27" customFormat="1" ht="20.100000000000001" customHeight="1">
      <c r="B100" s="43">
        <f t="shared" si="6"/>
        <v>95</v>
      </c>
      <c r="C100" s="170"/>
      <c r="D100" s="167"/>
      <c r="E100" s="164"/>
      <c r="F100" s="326"/>
      <c r="G100" s="327"/>
      <c r="H100" s="327"/>
      <c r="I100" s="328"/>
    </row>
    <row r="101" spans="2:9" s="27" customFormat="1" ht="20.100000000000001" customHeight="1">
      <c r="B101" s="43">
        <f t="shared" si="6"/>
        <v>96</v>
      </c>
      <c r="C101" s="170"/>
      <c r="D101" s="167"/>
      <c r="E101" s="164"/>
      <c r="F101" s="326"/>
      <c r="G101" s="327"/>
      <c r="H101" s="327"/>
      <c r="I101" s="328"/>
    </row>
    <row r="102" spans="2:9" s="27" customFormat="1" ht="20.100000000000001" customHeight="1">
      <c r="B102" s="43">
        <f t="shared" si="6"/>
        <v>97</v>
      </c>
      <c r="C102" s="170"/>
      <c r="D102" s="167"/>
      <c r="E102" s="164"/>
      <c r="F102" s="326"/>
      <c r="G102" s="327"/>
      <c r="H102" s="327"/>
      <c r="I102" s="328"/>
    </row>
    <row r="103" spans="2:9" s="27" customFormat="1" ht="20.100000000000001" customHeight="1">
      <c r="B103" s="43">
        <f t="shared" si="6"/>
        <v>98</v>
      </c>
      <c r="C103" s="170"/>
      <c r="D103" s="167"/>
      <c r="E103" s="164"/>
      <c r="F103" s="326"/>
      <c r="G103" s="327"/>
      <c r="H103" s="327"/>
      <c r="I103" s="328"/>
    </row>
    <row r="104" spans="2:9" s="27" customFormat="1" ht="20.100000000000001" customHeight="1">
      <c r="B104" s="43">
        <f t="shared" si="6"/>
        <v>99</v>
      </c>
      <c r="C104" s="170"/>
      <c r="D104" s="167"/>
      <c r="E104" s="164"/>
      <c r="F104" s="326"/>
      <c r="G104" s="327"/>
      <c r="H104" s="327"/>
      <c r="I104" s="328"/>
    </row>
    <row r="105" spans="2:9" s="27" customFormat="1" ht="20.100000000000001" customHeight="1" thickBot="1">
      <c r="B105" s="47">
        <f>ROW()-5</f>
        <v>100</v>
      </c>
      <c r="C105" s="172"/>
      <c r="D105" s="169"/>
      <c r="E105" s="168"/>
      <c r="F105" s="339"/>
      <c r="G105" s="340"/>
      <c r="H105" s="340"/>
      <c r="I105" s="341"/>
    </row>
  </sheetData>
  <sheetProtection formatCells="0" formatColumns="0" formatRows="0" insertHyperlinks="0"/>
  <customSheetViews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1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4"/>
      <headerFooter alignWithMargins="0">
        <oddFooter>&amp;R&amp;"Arial,標準"&amp;8Sharp Business Solutions Corporation&amp;C&amp;P / &amp;N</oddFooter>
      </headerFooter>
    </customSheetView>
  </customSheetViews>
  <mergeCells count="102"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</mergeCells>
  <phoneticPr fontId="4"/>
  <dataValidations count="1">
    <dataValidation imeMode="off" allowBlank="1" showInputMessage="1" showErrorMessage="1" sqref="E6:E104"/>
  </dataValidations>
  <hyperlinks>
    <hyperlink ref="D6" location="si_joblist1!A9" display="si_joblist1!A9"/>
    <hyperlink ref="E6" location="si_joblist1!A9" display="si_joblist1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"/>
  <sheetViews>
    <sheetView showGridLines="0" tabSelected="1" zoomScaleNormal="100" zoomScaleSheetLayoutView="115" workbookViewId="0"/>
  </sheetViews>
  <sheetFormatPr defaultColWidth="3" defaultRowHeight="24.75" customHeight="1"/>
  <cols>
    <col min="1" max="16384" width="3" style="23"/>
  </cols>
  <sheetData/>
  <phoneticPr fontId="13"/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70" fitToHeight="0" orientation="landscape" useFirstPageNumber="1" r:id="rId1"/>
  <headerFooter alignWithMargins="0">
    <oddFooter>&amp;C- &amp;P -</oddFooter>
  </headerFooter>
</worksheet>
</file>

<file path=customUI/_rels/customUI14.xml.rels><?xml version="1.0" encoding="UTF-8" standalone="yes"?>
<Relationships xmlns="http://schemas.openxmlformats.org/package/2006/relationships"><Relationship Id="Line01_N" Type="http://schemas.openxmlformats.org/officeDocument/2006/relationships/image" Target="images/Line01_N.png"/></Relationships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生成" label="TBLリスト生成" imageMso="CurrentViewSettings" screentip="TBLリスト生成" supertip="オプション画面を表示します &#13;" onAction="Ctl_Ribbon.makeTblList"/>
          <button id="ER図生成" label="ER図生成" imageMso="CurrentViewSettings" screentip="ER図生成" supertip="オプション画面を表示します &#13;" onAction="Ctl_Ribbon.makeER_ConnectLine"/>
          <button id="ERLine1" label="1対1" imageMso="CurrentViewSettings" screentip="ER図生成" supertip="コネクターを作成します &#13;" onAction="Ctl_Ribbon.makeER_ConnectLine"/>
          <button id="ERLine2" label="1対多" imageMso="CurrentViewSettings" screentip="ER図生成" supertip="コネクターを作成します &#13;" onAction="Ctl_Ribbon.makeER_ConnectLine"/>
          <button id="ERLine3" label="1対0以上" imageMso="CurrentViewSettings" screentip="ER図生成" supertip="コネクターを作成します &#13;" onAction="Ctl_Ribbon.makeER_ConnectLine"/>
          <button id="ERLine4" label="1対1以上" imageMso="CurrentViewSettings" screentip="ER図生成" supertip="コネクターを作成します &#13;" onAction="Ctl_Ribbon.makeER_ConnectLine"/>
          <button id="ERLine5" label="多対多" imageMso="CurrentViewSettings" screentip="ER図生成" supertip="コネクターを作成します &#13;" onAction="Ctl_Ribbon.makeER_ConnectLine"/>
          <button id="ERLine6" label="0または１対多" image="Line01_N" screentip="ER図生成" supertip="コネクターを作成します &#13;" onAction="Ctl_Ribbon.makeER_ConnectLine"/>
        </group>
        <group id="DB操作" label="DB操作">
          <button id="一括取得" label="一括取得" imageMso="DatabaseModelingReverse" onAction="Ctl_Ribbon.getDatabaseInfo" supertip="一括取得 &#13;"/>
          <button id="テーブル情報取得" label="情報取得" imageMso="DatabaseModelingReverse" onAction="Ctl_Ribbon.getTableInfo" supertip="テーブル情報取得 &#13;"/>
          <button id="テーブル情報反映" label="情報反映" imageMso="DatabaseSqlServer" onAction="Ctl_Ribbon.CreateTableInfo" supertip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  <control idMso="ObjectAlignMenu" visible="true" label="配置"/>
          <control idMso="ObjectRotateGallery" visible="true" label="回転"/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55</vt:i4>
      </vt:variant>
    </vt:vector>
  </HeadingPairs>
  <TitlesOfParts>
    <vt:vector size="65" baseType="lpstr">
      <vt:lpstr>設定-MySQL</vt:lpstr>
      <vt:lpstr>設定-ACC</vt:lpstr>
      <vt:lpstr>DataType</vt:lpstr>
      <vt:lpstr>Tmp</vt:lpstr>
      <vt:lpstr>Notice</vt:lpstr>
      <vt:lpstr>コピー用</vt:lpstr>
      <vt:lpstr>表紙</vt:lpstr>
      <vt:lpstr>変更履歴</vt:lpstr>
      <vt:lpstr>TBLリスト</vt:lpstr>
      <vt:lpstr>ER図</vt:lpstr>
      <vt:lpstr>■VBA用の設定</vt:lpstr>
      <vt:lpstr>Cell_colMaxLen</vt:lpstr>
      <vt:lpstr>Cell_CreateAt</vt:lpstr>
      <vt:lpstr>Cell_CreateBy</vt:lpstr>
      <vt:lpstr>Cell_dateType</vt:lpstr>
      <vt:lpstr>Cell_Default</vt:lpstr>
      <vt:lpstr>Cell_digits</vt:lpstr>
      <vt:lpstr>Cell_Idx01</vt:lpstr>
      <vt:lpstr>Cell_internalDigit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Cell_tableNote</vt:lpstr>
      <vt:lpstr>Cell_TableType</vt:lpstr>
      <vt:lpstr>Cell_UpdateAt</vt:lpstr>
      <vt:lpstr>Cell_UpdateBy</vt:lpstr>
      <vt:lpstr>CreateAt</vt:lpstr>
      <vt:lpstr>CreateBy</vt:lpstr>
      <vt:lpstr>CustomerName</vt:lpstr>
      <vt:lpstr>CustomRibbon</vt:lpstr>
      <vt:lpstr>DBList</vt:lpstr>
      <vt:lpstr>DBMS</vt:lpstr>
      <vt:lpstr>DBName</vt:lpstr>
      <vt:lpstr>DBServer</vt:lpstr>
      <vt:lpstr>debugMode</vt:lpstr>
      <vt:lpstr>defaultRowHeight</vt:lpstr>
      <vt:lpstr>defaultVal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outputDir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useImage</vt:lpstr>
      <vt:lpstr>useLogicalName</vt:lpstr>
      <vt:lpstr>usePhysicalName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2021-10-08T07:24:31Z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