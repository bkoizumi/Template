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Line01_N.png" ContentType="image/.png"/>
</Types>
</file>

<file path=_rels/.rels><?xml version="1.0" encoding="UTF-8" standalone="yes"?>
<Relationships xmlns="http://schemas.openxmlformats.org/package/2006/relationships"><Relationship Id="R008e2dae33f54244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Space\VBA\Template\"/>
    </mc:Choice>
  </mc:AlternateContent>
  <bookViews>
    <workbookView xWindow="-15" yWindow="67485" windowWidth="20505" windowHeight="5115" tabRatio="885" firstSheet="4" activeTab="13"/>
  </bookViews>
  <sheets>
    <sheet name="&lt;設定-SQLserver&gt;" sheetId="104" r:id="rId1"/>
    <sheet name="&lt;設定-MySQL&gt;" sheetId="46" r:id="rId2"/>
    <sheet name="&lt;設定-ACC&gt;" sheetId="47" r:id="rId3"/>
    <sheet name="&lt;Notice&gt;" sheetId="35" r:id="rId4"/>
    <sheet name="&lt;DataType&gt;" sheetId="2" r:id="rId5"/>
    <sheet name="&lt;defaultVal&gt;" sheetId="407" r:id="rId6"/>
    <sheet name="&lt;CopyLine&gt;" sheetId="105" r:id="rId7"/>
    <sheet name="&lt;CopyTable&gt;" sheetId="106" r:id="rId8"/>
    <sheet name="&lt;CopyView&gt;" sheetId="349" r:id="rId9"/>
    <sheet name="&lt;Tmp&gt;" sheetId="101" r:id="rId10"/>
    <sheet name="表紙" sheetId="350" r:id="rId11"/>
    <sheet name="変更履歴" sheetId="351" r:id="rId12"/>
    <sheet name="1.エンティティ" sheetId="352" r:id="rId13"/>
    <sheet name="2.ER図" sheetId="353" r:id="rId14"/>
    <sheet name="3.actor" sheetId="408" r:id="rId15"/>
    <sheet name="3.actor_info" sheetId="409" r:id="rId16"/>
    <sheet name="3.address" sheetId="410" r:id="rId17"/>
    <sheet name="3.category" sheetId="411" r:id="rId18"/>
    <sheet name="3.city" sheetId="412" r:id="rId19"/>
    <sheet name="3.country" sheetId="413" r:id="rId20"/>
    <sheet name="3.customer" sheetId="414" r:id="rId21"/>
    <sheet name="3.customer_list" sheetId="415" r:id="rId22"/>
    <sheet name="3.film" sheetId="416" r:id="rId23"/>
    <sheet name="3.film_actor" sheetId="417" r:id="rId24"/>
    <sheet name="3.film_category" sheetId="418" r:id="rId25"/>
    <sheet name="3.film_list" sheetId="419" r:id="rId26"/>
    <sheet name="3.film_text" sheetId="420" r:id="rId27"/>
    <sheet name="3.inventory" sheetId="421" r:id="rId28"/>
    <sheet name="3.language" sheetId="422" r:id="rId29"/>
    <sheet name="3.nicer_but_slower_film_l..." sheetId="423" r:id="rId30"/>
    <sheet name="3.payment" sheetId="424" r:id="rId31"/>
    <sheet name="3.rental" sheetId="425" r:id="rId32"/>
    <sheet name="3.sales_by_film_category" sheetId="426" r:id="rId33"/>
    <sheet name="3.sales_by_store" sheetId="427" r:id="rId34"/>
    <sheet name="3.staff" sheetId="428" r:id="rId35"/>
    <sheet name="3.staff_list" sheetId="429" r:id="rId36"/>
    <sheet name="3.store" sheetId="430" r:id="rId37"/>
    <sheet name="5.容量計算" sheetId="354" r:id="rId38"/>
    <sheet name="空白" sheetId="355" r:id="rId39"/>
  </sheets>
  <functionGroups builtInGroupCount="18"/>
  <definedNames>
    <definedName name="■VBA用の設定">'&lt;設定-MySQL&gt;'!$B$3</definedName>
    <definedName name="Char_NotNull">'&lt;設定-MySQL&gt;'!$B$32</definedName>
    <definedName name="Char_PK">'&lt;設定-MySQL&gt;'!$B$31</definedName>
    <definedName name="CreateAt">'&lt;設定-MySQL&gt;'!$B$16</definedName>
    <definedName name="CreateBy">'&lt;設定-MySQL&gt;'!$B$15</definedName>
    <definedName name="CustomerName">'&lt;設定-MySQL&gt;'!$B$11</definedName>
    <definedName name="CustomRibbon">'&lt;設定-MySQL&gt;'!$B$6</definedName>
    <definedName name="DBList">'&lt;設定-MySQL&gt;'!$H$5:$H$8</definedName>
    <definedName name="DBMS">'&lt;設定-MySQL&gt;'!$B$18</definedName>
    <definedName name="DBName">'&lt;設定-MySQL&gt;'!$B$21</definedName>
    <definedName name="DBServer">'&lt;設定-MySQL&gt;'!$B$20</definedName>
    <definedName name="defaultRowHeight">'&lt;設定-MySQL&gt;'!$B$28</definedName>
    <definedName name="defVal_MSAccess">'&lt;defaultVal&gt;'!$A$2:$A$3</definedName>
    <definedName name="defVal_MySQL">'&lt;defaultVal&gt;'!$B$2:$B$4</definedName>
    <definedName name="defVal_PostgreSQL">'&lt;defaultVal&gt;'!$C$2:$C$3</definedName>
    <definedName name="defVal_SQLServer">'&lt;defaultVal&gt;'!$D$2:$D$3</definedName>
    <definedName name="HighLightColor">'&lt;設定-MySQL&gt;'!$B$8</definedName>
    <definedName name="IndexTypeList">'&lt;設定-MySQL&gt;'!$J$5:$J$8</definedName>
    <definedName name="Instance">'&lt;設定-MySQL&gt;'!$B$23</definedName>
    <definedName name="int">'&lt;設定-MySQL&gt;'!$K$1:$K$5</definedName>
    <definedName name="LogLevel">'&lt;設定-MySQL&gt;'!$B$5</definedName>
    <definedName name="MSAccess">'&lt;DataType&gt;'!$M$3:$M$16</definedName>
    <definedName name="MySQL">'&lt;DataType&gt;'!$D$3:$D$24</definedName>
    <definedName name="ODBCDriver">'&lt;設定-MySQL&gt;'!$B$19</definedName>
    <definedName name="ODBCDriverList">'&lt;設定-MySQL&gt;'!$I$5:$I$7</definedName>
    <definedName name="Oracle">'&lt;DataType&gt;'!$G$3:$G$11</definedName>
    <definedName name="outputDir">'&lt;設定-MySQL&gt;'!$B$29</definedName>
    <definedName name="passwd">'&lt;設定-MySQL&gt;'!$B$26</definedName>
    <definedName name="Port">'&lt;設定-MySQL&gt;'!$B$22</definedName>
    <definedName name="PostgreSQL">'&lt;DataType&gt;'!$A$3:$A$35</definedName>
    <definedName name="ProjectName">'&lt;設定-MySQL&gt;'!$B$12</definedName>
    <definedName name="ribbonHighLightFlg">'&lt;設定-MySQL&gt;'!$B$7</definedName>
    <definedName name="Schema">'&lt;設定-MySQL&gt;'!$B$24</definedName>
    <definedName name="SQLServer">'&lt;DataType&gt;'!$J$3:$J$34</definedName>
    <definedName name="subSystemName">'&lt;設定-MySQL&gt;'!$B$14</definedName>
    <definedName name="systemName">'&lt;設定-MySQL&gt;'!$B$13</definedName>
    <definedName name="TableTypeList">'&lt;設定-MySQL&gt;'!$G$5:$G$10</definedName>
    <definedName name="useImage">'&lt;設定-MySQL&gt;'!$B$37</definedName>
    <definedName name="useLogicalName">'&lt;設定-MySQL&gt;'!$B$35</definedName>
    <definedName name="usePhysicalName">'&lt;設定-MySQL&gt;'!$B$36</definedName>
    <definedName name="userID">'&lt;設定-MySQL&gt;'!$B$25</definedName>
    <definedName name="zoomLevel">'&lt;設定-MySQL&gt;'!$B$9</definedName>
    <definedName name="項目名">'&lt;設定-MySQL&gt;'!$B$4</definedName>
  </definedNames>
  <calcPr calcId="162913" refMode="R1C1"/>
  <customWorkbookViews>
    <customWorkbookView name="Administrator - 個人用ビュー" guid="{11FF3D1A-B611-4935-A0EC-72FFAD7F9EAF}" mergeInterval="0" personalView="1" maximized="1" xWindow="-8" yWindow="-8" windowWidth="1696" windowHeight="1036" tabRatio="882" activeSheetId="18"/>
    <customWorkbookView name="LHT0220001 - 個人用ビュー" guid="{1D8BE6F4-405A-4FC6-B1E3-D9618F9FD7A8}" mergeInterval="0" personalView="1" maximized="1" xWindow="1" yWindow="1" windowWidth="1916" windowHeight="788" tabRatio="766" activeSheetId="5" showComments="commIndAndComment"/>
    <customWorkbookView name="kaneko - 個人用ビュー" guid="{898DF6CC-64C7-4F2D-A13E-0A476B60DF75}" mergeInterval="0" personalView="1" maximized="1" xWindow="1" yWindow="1" windowWidth="1276" windowHeight="797" tabRatio="882" activeSheetId="5"/>
    <customWorkbookView name="TCI_小泉文平 - 個人用ビュー" guid="{809E84AF-EE5E-4456-99E6-0390B35F6AD9}" mergeInterval="0" personalView="1" maximized="1" xWindow="1" yWindow="1" windowWidth="1276" windowHeight="746" tabRatio="766" activeSheetId="4"/>
  </customWorkbookViews>
</workbook>
</file>

<file path=xl/calcChain.xml><?xml version="1.0" encoding="utf-8"?>
<calcChain xmlns="http://schemas.openxmlformats.org/spreadsheetml/2006/main">
  <c r="A38" i="430" l="1"/>
  <c r="A37" i="430"/>
  <c r="A36" i="430"/>
  <c r="A35" i="430"/>
  <c r="A40" i="430"/>
  <c r="A39" i="430"/>
  <c r="BH31" i="430"/>
  <c r="A31" i="430"/>
  <c r="BH30" i="430"/>
  <c r="A30" i="430"/>
  <c r="BH29" i="430"/>
  <c r="A29" i="430"/>
  <c r="BH28" i="430"/>
  <c r="A28" i="430"/>
  <c r="BH27" i="430"/>
  <c r="A27" i="430"/>
  <c r="BH26" i="430"/>
  <c r="A26" i="430"/>
  <c r="BH25" i="430"/>
  <c r="A25" i="430"/>
  <c r="BH24" i="430"/>
  <c r="A24" i="430"/>
  <c r="BH23" i="430"/>
  <c r="A23" i="430"/>
  <c r="BH22" i="430"/>
  <c r="A22" i="430"/>
  <c r="BH21" i="430"/>
  <c r="A21" i="430"/>
  <c r="BH20" i="430"/>
  <c r="A20" i="430"/>
  <c r="BH19" i="430"/>
  <c r="A19" i="430"/>
  <c r="BH18" i="430"/>
  <c r="A18" i="430"/>
  <c r="BH17" i="430"/>
  <c r="A17" i="430"/>
  <c r="BH16" i="430"/>
  <c r="A16" i="430"/>
  <c r="AB2" i="430"/>
  <c r="H2" i="430"/>
  <c r="H1" i="430"/>
  <c r="A39" i="429"/>
  <c r="A38" i="429"/>
  <c r="A37" i="429"/>
  <c r="A36" i="429"/>
  <c r="A35" i="429"/>
  <c r="BH31" i="429"/>
  <c r="A31" i="429"/>
  <c r="BH30" i="429"/>
  <c r="A30" i="429"/>
  <c r="BH29" i="429"/>
  <c r="A29" i="429"/>
  <c r="BH28" i="429"/>
  <c r="A28" i="429"/>
  <c r="BH27" i="429"/>
  <c r="A27" i="429"/>
  <c r="BH26" i="429"/>
  <c r="A26" i="429"/>
  <c r="BH25" i="429"/>
  <c r="A25" i="429"/>
  <c r="BH24" i="429"/>
  <c r="A24" i="429"/>
  <c r="BH23" i="429"/>
  <c r="A23" i="429"/>
  <c r="BH22" i="429"/>
  <c r="A22" i="429"/>
  <c r="BH21" i="429"/>
  <c r="A21" i="429"/>
  <c r="BH20" i="429"/>
  <c r="A20" i="429"/>
  <c r="BH19" i="429"/>
  <c r="A19" i="429"/>
  <c r="BH18" i="429"/>
  <c r="A18" i="429"/>
  <c r="BH17" i="429"/>
  <c r="A17" i="429"/>
  <c r="BH16" i="429"/>
  <c r="A16" i="429"/>
  <c r="AB2" i="429"/>
  <c r="H2" i="429"/>
  <c r="H1" i="429"/>
  <c r="A38" i="428"/>
  <c r="A37" i="428"/>
  <c r="A36" i="428"/>
  <c r="A35" i="428"/>
  <c r="A40" i="428"/>
  <c r="A39" i="428"/>
  <c r="BH31" i="428"/>
  <c r="A31" i="428"/>
  <c r="BH30" i="428"/>
  <c r="A30" i="428"/>
  <c r="BH29" i="428"/>
  <c r="A29" i="428"/>
  <c r="BH28" i="428"/>
  <c r="A28" i="428"/>
  <c r="BH27" i="428"/>
  <c r="A27" i="428"/>
  <c r="BH26" i="428"/>
  <c r="A26" i="428"/>
  <c r="BH25" i="428"/>
  <c r="A25" i="428"/>
  <c r="BH24" i="428"/>
  <c r="A24" i="428"/>
  <c r="BH23" i="428"/>
  <c r="A23" i="428"/>
  <c r="BH22" i="428"/>
  <c r="A22" i="428"/>
  <c r="BH21" i="428"/>
  <c r="A21" i="428"/>
  <c r="BH20" i="428"/>
  <c r="A20" i="428"/>
  <c r="BH19" i="428"/>
  <c r="A19" i="428"/>
  <c r="BH18" i="428"/>
  <c r="A18" i="428"/>
  <c r="BH17" i="428"/>
  <c r="A17" i="428"/>
  <c r="BH16" i="428"/>
  <c r="A16" i="428"/>
  <c r="AB2" i="428"/>
  <c r="H2" i="428"/>
  <c r="H1" i="428"/>
  <c r="A39" i="427"/>
  <c r="A38" i="427"/>
  <c r="A37" i="427"/>
  <c r="A36" i="427"/>
  <c r="A35" i="427"/>
  <c r="BH31" i="427"/>
  <c r="A31" i="427"/>
  <c r="BH30" i="427"/>
  <c r="A30" i="427"/>
  <c r="BH29" i="427"/>
  <c r="A29" i="427"/>
  <c r="BH28" i="427"/>
  <c r="A28" i="427"/>
  <c r="BH27" i="427"/>
  <c r="A27" i="427"/>
  <c r="BH26" i="427"/>
  <c r="A26" i="427"/>
  <c r="BH25" i="427"/>
  <c r="A25" i="427"/>
  <c r="BH24" i="427"/>
  <c r="A24" i="427"/>
  <c r="BH23" i="427"/>
  <c r="A23" i="427"/>
  <c r="BH22" i="427"/>
  <c r="A22" i="427"/>
  <c r="BH21" i="427"/>
  <c r="A21" i="427"/>
  <c r="BH20" i="427"/>
  <c r="A20" i="427"/>
  <c r="BH19" i="427"/>
  <c r="A19" i="427"/>
  <c r="BH18" i="427"/>
  <c r="A18" i="427"/>
  <c r="BH17" i="427"/>
  <c r="A17" i="427"/>
  <c r="BH16" i="427"/>
  <c r="A16" i="427"/>
  <c r="AB2" i="427"/>
  <c r="H2" i="427"/>
  <c r="H1" i="427"/>
  <c r="A39" i="426"/>
  <c r="A38" i="426"/>
  <c r="A37" i="426"/>
  <c r="A36" i="426"/>
  <c r="A35" i="426"/>
  <c r="BH31" i="426"/>
  <c r="A31" i="426"/>
  <c r="BH30" i="426"/>
  <c r="A30" i="426"/>
  <c r="BH29" i="426"/>
  <c r="A29" i="426"/>
  <c r="BH28" i="426"/>
  <c r="A28" i="426"/>
  <c r="BH27" i="426"/>
  <c r="A27" i="426"/>
  <c r="BH26" i="426"/>
  <c r="A26" i="426"/>
  <c r="BH25" i="426"/>
  <c r="A25" i="426"/>
  <c r="BH24" i="426"/>
  <c r="A24" i="426"/>
  <c r="BH23" i="426"/>
  <c r="A23" i="426"/>
  <c r="BH22" i="426"/>
  <c r="A22" i="426"/>
  <c r="BH21" i="426"/>
  <c r="A21" i="426"/>
  <c r="BH20" i="426"/>
  <c r="A20" i="426"/>
  <c r="BH19" i="426"/>
  <c r="A19" i="426"/>
  <c r="BH18" i="426"/>
  <c r="A18" i="426"/>
  <c r="BH17" i="426"/>
  <c r="A17" i="426"/>
  <c r="BH16" i="426"/>
  <c r="A16" i="426"/>
  <c r="AB2" i="426"/>
  <c r="H2" i="426"/>
  <c r="H1" i="426"/>
  <c r="A40" i="425"/>
  <c r="A39" i="425"/>
  <c r="A38" i="425"/>
  <c r="A37" i="425"/>
  <c r="A36" i="425"/>
  <c r="A35" i="425"/>
  <c r="A42" i="425"/>
  <c r="A41" i="425"/>
  <c r="BH31" i="425"/>
  <c r="A31" i="425"/>
  <c r="BH30" i="425"/>
  <c r="A30" i="425"/>
  <c r="BH29" i="425"/>
  <c r="A29" i="425"/>
  <c r="BH28" i="425"/>
  <c r="A28" i="425"/>
  <c r="BH27" i="425"/>
  <c r="A27" i="425"/>
  <c r="BH26" i="425"/>
  <c r="A26" i="425"/>
  <c r="BH25" i="425"/>
  <c r="A25" i="425"/>
  <c r="BH24" i="425"/>
  <c r="A24" i="425"/>
  <c r="BH23" i="425"/>
  <c r="A23" i="425"/>
  <c r="BH22" i="425"/>
  <c r="A22" i="425"/>
  <c r="BH21" i="425"/>
  <c r="A21" i="425"/>
  <c r="BH20" i="425"/>
  <c r="A20" i="425"/>
  <c r="BH19" i="425"/>
  <c r="A19" i="425"/>
  <c r="BH18" i="425"/>
  <c r="A18" i="425"/>
  <c r="BH17" i="425"/>
  <c r="A17" i="425"/>
  <c r="BH16" i="425"/>
  <c r="A16" i="425"/>
  <c r="AB2" i="425"/>
  <c r="H2" i="425"/>
  <c r="H1" i="425"/>
  <c r="A39" i="424"/>
  <c r="A38" i="424"/>
  <c r="A37" i="424"/>
  <c r="A36" i="424"/>
  <c r="A35" i="424"/>
  <c r="A41" i="424"/>
  <c r="A40" i="424"/>
  <c r="BH31" i="424"/>
  <c r="A31" i="424"/>
  <c r="BH30" i="424"/>
  <c r="A30" i="424"/>
  <c r="BH29" i="424"/>
  <c r="A29" i="424"/>
  <c r="BH28" i="424"/>
  <c r="A28" i="424"/>
  <c r="BH27" i="424"/>
  <c r="A27" i="424"/>
  <c r="BH26" i="424"/>
  <c r="A26" i="424"/>
  <c r="BH25" i="424"/>
  <c r="A25" i="424"/>
  <c r="BH24" i="424"/>
  <c r="A24" i="424"/>
  <c r="BH23" i="424"/>
  <c r="A23" i="424"/>
  <c r="BH22" i="424"/>
  <c r="A22" i="424"/>
  <c r="BH21" i="424"/>
  <c r="A21" i="424"/>
  <c r="BH20" i="424"/>
  <c r="A20" i="424"/>
  <c r="BH19" i="424"/>
  <c r="A19" i="424"/>
  <c r="BH18" i="424"/>
  <c r="A18" i="424"/>
  <c r="BH17" i="424"/>
  <c r="A17" i="424"/>
  <c r="BH16" i="424"/>
  <c r="A16" i="424"/>
  <c r="AB2" i="424"/>
  <c r="H2" i="424"/>
  <c r="H1" i="424"/>
  <c r="A39" i="423"/>
  <c r="A38" i="423"/>
  <c r="A37" i="423"/>
  <c r="A36" i="423"/>
  <c r="A35" i="423"/>
  <c r="BH31" i="423"/>
  <c r="A31" i="423"/>
  <c r="BH30" i="423"/>
  <c r="A30" i="423"/>
  <c r="BH29" i="423"/>
  <c r="A29" i="423"/>
  <c r="BH28" i="423"/>
  <c r="A28" i="423"/>
  <c r="BH27" i="423"/>
  <c r="A27" i="423"/>
  <c r="BH26" i="423"/>
  <c r="A26" i="423"/>
  <c r="BH25" i="423"/>
  <c r="A25" i="423"/>
  <c r="BH24" i="423"/>
  <c r="A24" i="423"/>
  <c r="BH23" i="423"/>
  <c r="A23" i="423"/>
  <c r="BH22" i="423"/>
  <c r="A22" i="423"/>
  <c r="BH21" i="423"/>
  <c r="A21" i="423"/>
  <c r="BH20" i="423"/>
  <c r="A20" i="423"/>
  <c r="BH19" i="423"/>
  <c r="A19" i="423"/>
  <c r="BH18" i="423"/>
  <c r="A18" i="423"/>
  <c r="BH17" i="423"/>
  <c r="A17" i="423"/>
  <c r="BH16" i="423"/>
  <c r="A16" i="423"/>
  <c r="AB2" i="423"/>
  <c r="H2" i="423"/>
  <c r="H1" i="423"/>
  <c r="A35" i="422"/>
  <c r="A39" i="422"/>
  <c r="A38" i="422"/>
  <c r="A37" i="422"/>
  <c r="A36" i="422"/>
  <c r="BH31" i="422"/>
  <c r="A31" i="422"/>
  <c r="BH30" i="422"/>
  <c r="A30" i="422"/>
  <c r="BH29" i="422"/>
  <c r="A29" i="422"/>
  <c r="BH28" i="422"/>
  <c r="A28" i="422"/>
  <c r="BH27" i="422"/>
  <c r="A27" i="422"/>
  <c r="BH26" i="422"/>
  <c r="A26" i="422"/>
  <c r="BH25" i="422"/>
  <c r="A25" i="422"/>
  <c r="BH24" i="422"/>
  <c r="A24" i="422"/>
  <c r="BH23" i="422"/>
  <c r="A23" i="422"/>
  <c r="BH22" i="422"/>
  <c r="A22" i="422"/>
  <c r="BH21" i="422"/>
  <c r="A21" i="422"/>
  <c r="BH20" i="422"/>
  <c r="A20" i="422"/>
  <c r="BH19" i="422"/>
  <c r="A19" i="422"/>
  <c r="BH18" i="422"/>
  <c r="A18" i="422"/>
  <c r="BH17" i="422"/>
  <c r="A17" i="422"/>
  <c r="BH16" i="422"/>
  <c r="A16" i="422"/>
  <c r="AB2" i="422"/>
  <c r="H2" i="422"/>
  <c r="H1" i="422"/>
  <c r="A37" i="421"/>
  <c r="A38" i="421"/>
  <c r="A36" i="421"/>
  <c r="A35" i="421"/>
  <c r="A40" i="421"/>
  <c r="A39" i="421"/>
  <c r="BH31" i="421"/>
  <c r="A31" i="421"/>
  <c r="BH30" i="421"/>
  <c r="A30" i="421"/>
  <c r="BH29" i="421"/>
  <c r="A29" i="421"/>
  <c r="BH28" i="421"/>
  <c r="A28" i="421"/>
  <c r="BH27" i="421"/>
  <c r="A27" i="421"/>
  <c r="BH26" i="421"/>
  <c r="A26" i="421"/>
  <c r="BH25" i="421"/>
  <c r="A25" i="421"/>
  <c r="BH24" i="421"/>
  <c r="A24" i="421"/>
  <c r="BH23" i="421"/>
  <c r="A23" i="421"/>
  <c r="BH22" i="421"/>
  <c r="A22" i="421"/>
  <c r="BH21" i="421"/>
  <c r="A21" i="421"/>
  <c r="BH20" i="421"/>
  <c r="A20" i="421"/>
  <c r="BH19" i="421"/>
  <c r="A19" i="421"/>
  <c r="BH18" i="421"/>
  <c r="A18" i="421"/>
  <c r="BH17" i="421"/>
  <c r="A17" i="421"/>
  <c r="BH16" i="421"/>
  <c r="A16" i="421"/>
  <c r="AB2" i="421"/>
  <c r="H2" i="421"/>
  <c r="H1" i="421"/>
  <c r="A36" i="420"/>
  <c r="A35" i="420"/>
  <c r="A39" i="420"/>
  <c r="A38" i="420"/>
  <c r="A37" i="420"/>
  <c r="BH31" i="420"/>
  <c r="A31" i="420"/>
  <c r="BH30" i="420"/>
  <c r="A30" i="420"/>
  <c r="BH29" i="420"/>
  <c r="A29" i="420"/>
  <c r="BH28" i="420"/>
  <c r="A28" i="420"/>
  <c r="BH27" i="420"/>
  <c r="A27" i="420"/>
  <c r="BH26" i="420"/>
  <c r="A26" i="420"/>
  <c r="BH25" i="420"/>
  <c r="A25" i="420"/>
  <c r="BH24" i="420"/>
  <c r="A24" i="420"/>
  <c r="BH23" i="420"/>
  <c r="A23" i="420"/>
  <c r="BH22" i="420"/>
  <c r="A22" i="420"/>
  <c r="BH21" i="420"/>
  <c r="A21" i="420"/>
  <c r="BH20" i="420"/>
  <c r="A20" i="420"/>
  <c r="BH19" i="420"/>
  <c r="A19" i="420"/>
  <c r="BH18" i="420"/>
  <c r="A18" i="420"/>
  <c r="BH17" i="420"/>
  <c r="A17" i="420"/>
  <c r="BH16" i="420"/>
  <c r="A16" i="420"/>
  <c r="AB2" i="420"/>
  <c r="H2" i="420"/>
  <c r="H1" i="420"/>
  <c r="A39" i="419"/>
  <c r="A38" i="419"/>
  <c r="A37" i="419"/>
  <c r="A36" i="419"/>
  <c r="A35" i="419"/>
  <c r="BH31" i="419"/>
  <c r="A31" i="419"/>
  <c r="BH30" i="419"/>
  <c r="A30" i="419"/>
  <c r="BH29" i="419"/>
  <c r="A29" i="419"/>
  <c r="BH28" i="419"/>
  <c r="A28" i="419"/>
  <c r="BH27" i="419"/>
  <c r="A27" i="419"/>
  <c r="BH26" i="419"/>
  <c r="A26" i="419"/>
  <c r="BH25" i="419"/>
  <c r="A25" i="419"/>
  <c r="BH24" i="419"/>
  <c r="A24" i="419"/>
  <c r="BH23" i="419"/>
  <c r="A23" i="419"/>
  <c r="BH22" i="419"/>
  <c r="A22" i="419"/>
  <c r="BH21" i="419"/>
  <c r="A21" i="419"/>
  <c r="BH20" i="419"/>
  <c r="A20" i="419"/>
  <c r="BH19" i="419"/>
  <c r="A19" i="419"/>
  <c r="BH18" i="419"/>
  <c r="A18" i="419"/>
  <c r="BH17" i="419"/>
  <c r="A17" i="419"/>
  <c r="BH16" i="419"/>
  <c r="A16" i="419"/>
  <c r="AB2" i="419"/>
  <c r="H2" i="419"/>
  <c r="H1" i="419"/>
  <c r="A36" i="418"/>
  <c r="A35" i="418"/>
  <c r="A39" i="418"/>
  <c r="A38" i="418"/>
  <c r="A37" i="418"/>
  <c r="BH31" i="418"/>
  <c r="A31" i="418"/>
  <c r="BH30" i="418"/>
  <c r="A30" i="418"/>
  <c r="BH29" i="418"/>
  <c r="A29" i="418"/>
  <c r="BH28" i="418"/>
  <c r="A28" i="418"/>
  <c r="BH27" i="418"/>
  <c r="A27" i="418"/>
  <c r="BH26" i="418"/>
  <c r="A26" i="418"/>
  <c r="BH25" i="418"/>
  <c r="A25" i="418"/>
  <c r="BH24" i="418"/>
  <c r="A24" i="418"/>
  <c r="BH23" i="418"/>
  <c r="A23" i="418"/>
  <c r="BH22" i="418"/>
  <c r="A22" i="418"/>
  <c r="BH21" i="418"/>
  <c r="A21" i="418"/>
  <c r="BH20" i="418"/>
  <c r="A20" i="418"/>
  <c r="BH19" i="418"/>
  <c r="A19" i="418"/>
  <c r="BH18" i="418"/>
  <c r="A18" i="418"/>
  <c r="BH17" i="418"/>
  <c r="A17" i="418"/>
  <c r="BH16" i="418"/>
  <c r="A16" i="418"/>
  <c r="AB2" i="418"/>
  <c r="H2" i="418"/>
  <c r="H1" i="418"/>
  <c r="A36" i="417"/>
  <c r="A35" i="417"/>
  <c r="A39" i="417"/>
  <c r="A38" i="417"/>
  <c r="A37" i="417"/>
  <c r="BH31" i="417"/>
  <c r="A31" i="417"/>
  <c r="BH30" i="417"/>
  <c r="A30" i="417"/>
  <c r="BH29" i="417"/>
  <c r="A29" i="417"/>
  <c r="BH28" i="417"/>
  <c r="A28" i="417"/>
  <c r="BH27" i="417"/>
  <c r="A27" i="417"/>
  <c r="BH26" i="417"/>
  <c r="A26" i="417"/>
  <c r="BH25" i="417"/>
  <c r="A25" i="417"/>
  <c r="BH24" i="417"/>
  <c r="A24" i="417"/>
  <c r="BH23" i="417"/>
  <c r="A23" i="417"/>
  <c r="BH22" i="417"/>
  <c r="A22" i="417"/>
  <c r="BH21" i="417"/>
  <c r="A21" i="417"/>
  <c r="BH20" i="417"/>
  <c r="A20" i="417"/>
  <c r="BH19" i="417"/>
  <c r="A19" i="417"/>
  <c r="BH18" i="417"/>
  <c r="A18" i="417"/>
  <c r="BH17" i="417"/>
  <c r="A17" i="417"/>
  <c r="BH16" i="417"/>
  <c r="A16" i="417"/>
  <c r="AB2" i="417"/>
  <c r="H2" i="417"/>
  <c r="H1" i="417"/>
  <c r="A39" i="416"/>
  <c r="A38" i="416"/>
  <c r="A37" i="416"/>
  <c r="A36" i="416"/>
  <c r="A35" i="416"/>
  <c r="A41" i="416"/>
  <c r="A40" i="416"/>
  <c r="BH31" i="416"/>
  <c r="A31" i="416"/>
  <c r="BH30" i="416"/>
  <c r="A30" i="416"/>
  <c r="BH29" i="416"/>
  <c r="A29" i="416"/>
  <c r="BH28" i="416"/>
  <c r="A28" i="416"/>
  <c r="BH27" i="416"/>
  <c r="A27" i="416"/>
  <c r="BH26" i="416"/>
  <c r="A26" i="416"/>
  <c r="BH25" i="416"/>
  <c r="A25" i="416"/>
  <c r="BH24" i="416"/>
  <c r="A24" i="416"/>
  <c r="BH23" i="416"/>
  <c r="A23" i="416"/>
  <c r="BH22" i="416"/>
  <c r="A22" i="416"/>
  <c r="BH21" i="416"/>
  <c r="A21" i="416"/>
  <c r="BH20" i="416"/>
  <c r="A20" i="416"/>
  <c r="BH19" i="416"/>
  <c r="A19" i="416"/>
  <c r="BH18" i="416"/>
  <c r="A18" i="416"/>
  <c r="BH17" i="416"/>
  <c r="A17" i="416"/>
  <c r="BH16" i="416"/>
  <c r="A16" i="416"/>
  <c r="AB2" i="416"/>
  <c r="H2" i="416"/>
  <c r="H1" i="416"/>
  <c r="A39" i="415"/>
  <c r="A38" i="415"/>
  <c r="A37" i="415"/>
  <c r="A36" i="415"/>
  <c r="A35" i="415"/>
  <c r="BH31" i="415"/>
  <c r="A31" i="415"/>
  <c r="BH30" i="415"/>
  <c r="A30" i="415"/>
  <c r="BH29" i="415"/>
  <c r="A29" i="415"/>
  <c r="BH28" i="415"/>
  <c r="A28" i="415"/>
  <c r="BH27" i="415"/>
  <c r="A27" i="415"/>
  <c r="BH26" i="415"/>
  <c r="A26" i="415"/>
  <c r="BH25" i="415"/>
  <c r="A25" i="415"/>
  <c r="BH24" i="415"/>
  <c r="A24" i="415"/>
  <c r="BH23" i="415"/>
  <c r="A23" i="415"/>
  <c r="BH22" i="415"/>
  <c r="A22" i="415"/>
  <c r="BH21" i="415"/>
  <c r="A21" i="415"/>
  <c r="BH20" i="415"/>
  <c r="A20" i="415"/>
  <c r="BH19" i="415"/>
  <c r="A19" i="415"/>
  <c r="BH18" i="415"/>
  <c r="A18" i="415"/>
  <c r="BH17" i="415"/>
  <c r="A17" i="415"/>
  <c r="BH16" i="415"/>
  <c r="A16" i="415"/>
  <c r="AB2" i="415"/>
  <c r="H2" i="415"/>
  <c r="H1" i="415"/>
  <c r="A39" i="414"/>
  <c r="A38" i="414"/>
  <c r="A37" i="414"/>
  <c r="A36" i="414"/>
  <c r="A35" i="414"/>
  <c r="A41" i="414"/>
  <c r="A40" i="414"/>
  <c r="BH31" i="414"/>
  <c r="A31" i="414"/>
  <c r="BH30" i="414"/>
  <c r="A30" i="414"/>
  <c r="BH29" i="414"/>
  <c r="A29" i="414"/>
  <c r="BH28" i="414"/>
  <c r="A28" i="414"/>
  <c r="BH27" i="414"/>
  <c r="A27" i="414"/>
  <c r="BH26" i="414"/>
  <c r="A26" i="414"/>
  <c r="BH25" i="414"/>
  <c r="A25" i="414"/>
  <c r="BH24" i="414"/>
  <c r="A24" i="414"/>
  <c r="BH23" i="414"/>
  <c r="A23" i="414"/>
  <c r="BH22" i="414"/>
  <c r="A22" i="414"/>
  <c r="BH21" i="414"/>
  <c r="A21" i="414"/>
  <c r="BH20" i="414"/>
  <c r="A20" i="414"/>
  <c r="BH19" i="414"/>
  <c r="A19" i="414"/>
  <c r="BH18" i="414"/>
  <c r="A18" i="414"/>
  <c r="BH17" i="414"/>
  <c r="A17" i="414"/>
  <c r="BH16" i="414"/>
  <c r="A16" i="414"/>
  <c r="AB2" i="414"/>
  <c r="H2" i="414"/>
  <c r="H1" i="414"/>
  <c r="A35" i="413"/>
  <c r="A39" i="413"/>
  <c r="A38" i="413"/>
  <c r="A37" i="413"/>
  <c r="A36" i="413"/>
  <c r="BH31" i="413"/>
  <c r="A31" i="413"/>
  <c r="BH30" i="413"/>
  <c r="A30" i="413"/>
  <c r="BH29" i="413"/>
  <c r="A29" i="413"/>
  <c r="BH28" i="413"/>
  <c r="A28" i="413"/>
  <c r="BH27" i="413"/>
  <c r="A27" i="413"/>
  <c r="BH26" i="413"/>
  <c r="A26" i="413"/>
  <c r="BH25" i="413"/>
  <c r="A25" i="413"/>
  <c r="BH24" i="413"/>
  <c r="A24" i="413"/>
  <c r="BH23" i="413"/>
  <c r="A23" i="413"/>
  <c r="BH22" i="413"/>
  <c r="A22" i="413"/>
  <c r="BH21" i="413"/>
  <c r="A21" i="413"/>
  <c r="BH20" i="413"/>
  <c r="A20" i="413"/>
  <c r="BH19" i="413"/>
  <c r="A19" i="413"/>
  <c r="BH18" i="413"/>
  <c r="A18" i="413"/>
  <c r="BH17" i="413"/>
  <c r="A17" i="413"/>
  <c r="BH16" i="413"/>
  <c r="A16" i="413"/>
  <c r="AB2" i="413"/>
  <c r="H2" i="413"/>
  <c r="H1" i="413"/>
  <c r="A36" i="412"/>
  <c r="A35" i="412"/>
  <c r="A39" i="412"/>
  <c r="A38" i="412"/>
  <c r="A37" i="412"/>
  <c r="BH31" i="412"/>
  <c r="A31" i="412"/>
  <c r="BH30" i="412"/>
  <c r="A30" i="412"/>
  <c r="BH29" i="412"/>
  <c r="A29" i="412"/>
  <c r="BH28" i="412"/>
  <c r="A28" i="412"/>
  <c r="BH27" i="412"/>
  <c r="A27" i="412"/>
  <c r="BH26" i="412"/>
  <c r="A26" i="412"/>
  <c r="BH25" i="412"/>
  <c r="A25" i="412"/>
  <c r="BH24" i="412"/>
  <c r="A24" i="412"/>
  <c r="BH23" i="412"/>
  <c r="A23" i="412"/>
  <c r="BH22" i="412"/>
  <c r="A22" i="412"/>
  <c r="BH21" i="412"/>
  <c r="A21" i="412"/>
  <c r="BH20" i="412"/>
  <c r="A20" i="412"/>
  <c r="BH19" i="412"/>
  <c r="A19" i="412"/>
  <c r="BH18" i="412"/>
  <c r="A18" i="412"/>
  <c r="BH17" i="412"/>
  <c r="A17" i="412"/>
  <c r="BH16" i="412"/>
  <c r="A16" i="412"/>
  <c r="AB2" i="412"/>
  <c r="H2" i="412"/>
  <c r="H1" i="412"/>
  <c r="A35" i="411"/>
  <c r="A39" i="411"/>
  <c r="A38" i="411"/>
  <c r="A37" i="411"/>
  <c r="A36" i="411"/>
  <c r="BH31" i="411"/>
  <c r="A31" i="411"/>
  <c r="BH30" i="411"/>
  <c r="A30" i="411"/>
  <c r="BH29" i="411"/>
  <c r="A29" i="411"/>
  <c r="BH28" i="411"/>
  <c r="A28" i="411"/>
  <c r="BH27" i="411"/>
  <c r="A27" i="411"/>
  <c r="BH26" i="411"/>
  <c r="A26" i="411"/>
  <c r="BH25" i="411"/>
  <c r="A25" i="411"/>
  <c r="BH24" i="411"/>
  <c r="A24" i="411"/>
  <c r="BH23" i="411"/>
  <c r="A23" i="411"/>
  <c r="BH22" i="411"/>
  <c r="A22" i="411"/>
  <c r="BH21" i="411"/>
  <c r="A21" i="411"/>
  <c r="BH20" i="411"/>
  <c r="A20" i="411"/>
  <c r="BH19" i="411"/>
  <c r="A19" i="411"/>
  <c r="BH18" i="411"/>
  <c r="A18" i="411"/>
  <c r="BH17" i="411"/>
  <c r="A17" i="411"/>
  <c r="BH16" i="411"/>
  <c r="A16" i="411"/>
  <c r="AB2" i="411"/>
  <c r="H2" i="411"/>
  <c r="H1" i="411"/>
  <c r="A38" i="410"/>
  <c r="A37" i="410"/>
  <c r="A36" i="410"/>
  <c r="A35" i="410"/>
  <c r="A40" i="410"/>
  <c r="A39" i="410"/>
  <c r="BH31" i="410"/>
  <c r="A31" i="410"/>
  <c r="BH30" i="410"/>
  <c r="A30" i="410"/>
  <c r="BH29" i="410"/>
  <c r="A29" i="410"/>
  <c r="BH28" i="410"/>
  <c r="A28" i="410"/>
  <c r="BH27" i="410"/>
  <c r="A27" i="410"/>
  <c r="BH26" i="410"/>
  <c r="A26" i="410"/>
  <c r="BH25" i="410"/>
  <c r="A25" i="410"/>
  <c r="BH24" i="410"/>
  <c r="A24" i="410"/>
  <c r="BH23" i="410"/>
  <c r="A23" i="410"/>
  <c r="BH22" i="410"/>
  <c r="A22" i="410"/>
  <c r="BH21" i="410"/>
  <c r="A21" i="410"/>
  <c r="BH20" i="410"/>
  <c r="A20" i="410"/>
  <c r="BH19" i="410"/>
  <c r="A19" i="410"/>
  <c r="BH18" i="410"/>
  <c r="A18" i="410"/>
  <c r="BH17" i="410"/>
  <c r="A17" i="410"/>
  <c r="BH16" i="410"/>
  <c r="A16" i="410"/>
  <c r="AB2" i="410"/>
  <c r="H2" i="410"/>
  <c r="H1" i="410"/>
  <c r="A39" i="409"/>
  <c r="A38" i="409"/>
  <c r="A37" i="409"/>
  <c r="A36" i="409"/>
  <c r="A35" i="409"/>
  <c r="BH31" i="409"/>
  <c r="A31" i="409"/>
  <c r="BH30" i="409"/>
  <c r="A30" i="409"/>
  <c r="BH29" i="409"/>
  <c r="A29" i="409"/>
  <c r="BH28" i="409"/>
  <c r="A28" i="409"/>
  <c r="BH27" i="409"/>
  <c r="A27" i="409"/>
  <c r="BH26" i="409"/>
  <c r="A26" i="409"/>
  <c r="BH25" i="409"/>
  <c r="A25" i="409"/>
  <c r="BH24" i="409"/>
  <c r="A24" i="409"/>
  <c r="BH23" i="409"/>
  <c r="A23" i="409"/>
  <c r="BH22" i="409"/>
  <c r="A22" i="409"/>
  <c r="BH21" i="409"/>
  <c r="A21" i="409"/>
  <c r="BH20" i="409"/>
  <c r="A20" i="409"/>
  <c r="BH19" i="409"/>
  <c r="A19" i="409"/>
  <c r="BH18" i="409"/>
  <c r="A18" i="409"/>
  <c r="BH17" i="409"/>
  <c r="A17" i="409"/>
  <c r="BH16" i="409"/>
  <c r="A16" i="409"/>
  <c r="AB2" i="409"/>
  <c r="H2" i="409"/>
  <c r="H1" i="409"/>
  <c r="A36" i="408"/>
  <c r="A35" i="408"/>
  <c r="A39" i="408"/>
  <c r="A38" i="408"/>
  <c r="A37" i="408"/>
  <c r="BH31" i="408"/>
  <c r="A31" i="408"/>
  <c r="BH30" i="408"/>
  <c r="A30" i="408"/>
  <c r="BH29" i="408"/>
  <c r="A29" i="408"/>
  <c r="BH28" i="408"/>
  <c r="A28" i="408"/>
  <c r="BH27" i="408"/>
  <c r="A27" i="408"/>
  <c r="BH26" i="408"/>
  <c r="A26" i="408"/>
  <c r="BH25" i="408"/>
  <c r="A25" i="408"/>
  <c r="BH24" i="408"/>
  <c r="A24" i="408"/>
  <c r="BH23" i="408"/>
  <c r="A23" i="408"/>
  <c r="BH22" i="408"/>
  <c r="A22" i="408"/>
  <c r="BH21" i="408"/>
  <c r="A21" i="408"/>
  <c r="BH20" i="408"/>
  <c r="A20" i="408"/>
  <c r="BH19" i="408"/>
  <c r="A19" i="408"/>
  <c r="BH18" i="408"/>
  <c r="A18" i="408"/>
  <c r="BH17" i="408"/>
  <c r="A17" i="408"/>
  <c r="BH16" i="408"/>
  <c r="A16" i="408"/>
  <c r="AB2" i="408"/>
  <c r="H2" i="408"/>
  <c r="H1" i="408"/>
  <c r="F7" i="349" l="1"/>
  <c r="AO3" i="349"/>
  <c r="AB2" i="349"/>
  <c r="H2" i="349"/>
  <c r="AX1" i="349"/>
  <c r="AO1" i="349"/>
  <c r="H1" i="349"/>
  <c r="D6" i="351" l="1"/>
  <c r="G6" i="351"/>
  <c r="X20" i="350"/>
  <c r="AX1" i="354" l="1"/>
  <c r="AO1" i="354"/>
  <c r="AX1" i="355"/>
  <c r="AO1" i="355"/>
  <c r="AX1" i="353"/>
  <c r="AO1" i="353"/>
  <c r="AX1" i="352"/>
  <c r="AO1" i="352"/>
  <c r="AX1" i="351"/>
  <c r="AO1" i="351"/>
  <c r="AG41" i="350" l="1"/>
  <c r="N27" i="350"/>
  <c r="A35" i="106" l="1"/>
  <c r="A36" i="106"/>
  <c r="A37" i="106"/>
  <c r="A38" i="106"/>
  <c r="A39" i="106"/>
  <c r="A16" i="106"/>
  <c r="A17" i="106"/>
  <c r="A18" i="106"/>
  <c r="A19" i="106"/>
  <c r="A20" i="106"/>
  <c r="A21" i="106"/>
  <c r="A22" i="106"/>
  <c r="A23" i="106"/>
  <c r="A24" i="106"/>
  <c r="A25" i="106"/>
  <c r="A26" i="106"/>
  <c r="A27" i="106"/>
  <c r="A28" i="106"/>
  <c r="A29" i="106"/>
  <c r="A30" i="106"/>
  <c r="A31" i="106"/>
  <c r="BH31" i="106" l="1"/>
  <c r="BH30" i="106"/>
  <c r="BH29" i="106"/>
  <c r="BH28" i="106"/>
  <c r="BH27" i="106"/>
  <c r="BH26" i="106"/>
  <c r="BH25" i="106"/>
  <c r="BH24" i="106"/>
  <c r="BH23" i="106"/>
  <c r="BH22" i="106"/>
  <c r="BH21" i="106"/>
  <c r="BH20" i="106"/>
  <c r="BH19" i="106"/>
  <c r="BH18" i="106"/>
  <c r="BH17" i="106"/>
  <c r="BH16" i="106"/>
  <c r="F7" i="106" l="1"/>
  <c r="AO1" i="106" l="1"/>
  <c r="AX1" i="106"/>
  <c r="AB2" i="106"/>
  <c r="H2" i="106"/>
  <c r="H1" i="106"/>
  <c r="N35" i="350"/>
  <c r="AB2" i="352" s="1"/>
  <c r="N31" i="350"/>
  <c r="H2" i="353" s="1"/>
  <c r="H1" i="355"/>
  <c r="AO3" i="355"/>
  <c r="H3" i="355"/>
  <c r="AZ20" i="354"/>
  <c r="AW20" i="354"/>
  <c r="AT20" i="354"/>
  <c r="AH20" i="354"/>
  <c r="AZ19" i="354"/>
  <c r="AW19" i="354"/>
  <c r="AT19" i="354"/>
  <c r="AH19" i="354"/>
  <c r="AZ18" i="354"/>
  <c r="AW18" i="354"/>
  <c r="AT18" i="354"/>
  <c r="AH18" i="354"/>
  <c r="AZ17" i="354"/>
  <c r="AW17" i="354"/>
  <c r="AT17" i="354"/>
  <c r="AH17" i="354"/>
  <c r="AZ16" i="354"/>
  <c r="AW16" i="354"/>
  <c r="AT16" i="354"/>
  <c r="AH16" i="354"/>
  <c r="AZ15" i="354"/>
  <c r="AW15" i="354"/>
  <c r="AT15" i="354"/>
  <c r="AH15" i="354"/>
  <c r="AZ14" i="354"/>
  <c r="AW14" i="354"/>
  <c r="AT14" i="354"/>
  <c r="AH14" i="354"/>
  <c r="AZ13" i="354"/>
  <c r="AW13" i="354"/>
  <c r="AT13" i="354"/>
  <c r="AH13" i="354"/>
  <c r="AZ12" i="354"/>
  <c r="AW12" i="354"/>
  <c r="AT12" i="354"/>
  <c r="AH12" i="354"/>
  <c r="AZ11" i="354"/>
  <c r="AW11" i="354"/>
  <c r="AT11" i="354"/>
  <c r="AH11" i="354"/>
  <c r="AZ10" i="354"/>
  <c r="AW10" i="354"/>
  <c r="AT10" i="354"/>
  <c r="AH10" i="354"/>
  <c r="A10" i="354"/>
  <c r="A11" i="354" s="1"/>
  <c r="A12" i="354" s="1"/>
  <c r="A13" i="354" s="1"/>
  <c r="A14" i="354" s="1"/>
  <c r="A15" i="354" s="1"/>
  <c r="A16" i="354" s="1"/>
  <c r="A17" i="354" s="1"/>
  <c r="A18" i="354" s="1"/>
  <c r="A19" i="354" s="1"/>
  <c r="A20" i="354" s="1"/>
  <c r="AZ9" i="354"/>
  <c r="AW9" i="354"/>
  <c r="AT9" i="354"/>
  <c r="AH9" i="354"/>
  <c r="AO3" i="354"/>
  <c r="H3" i="354"/>
  <c r="AO3" i="353"/>
  <c r="H3" i="353"/>
  <c r="AO3" i="352"/>
  <c r="H3" i="352"/>
  <c r="AO3" i="351"/>
  <c r="H3" i="351"/>
  <c r="A16" i="349"/>
  <c r="A17" i="349" s="1"/>
  <c r="AO3" i="106"/>
  <c r="AZ21" i="354" l="1"/>
  <c r="AZ23" i="354" s="1"/>
  <c r="AH21" i="354"/>
  <c r="AH23" i="354" s="1"/>
  <c r="AT21" i="354"/>
  <c r="AT23" i="354" s="1"/>
  <c r="AW21" i="354"/>
  <c r="AW23" i="354" s="1"/>
  <c r="H1" i="354"/>
  <c r="H1" i="352"/>
  <c r="H2" i="355"/>
  <c r="H1" i="351"/>
  <c r="H2" i="351"/>
  <c r="H2" i="352"/>
  <c r="H2" i="354"/>
  <c r="AB2" i="354"/>
  <c r="AB2" i="351"/>
  <c r="AB2" i="355"/>
  <c r="AB2" i="353"/>
  <c r="H1" i="353"/>
  <c r="V12" i="104"/>
  <c r="V1" i="104"/>
  <c r="U1" i="104"/>
  <c r="T1" i="104"/>
  <c r="S1" i="104"/>
  <c r="R1" i="104"/>
  <c r="Q1" i="104"/>
  <c r="P1" i="104"/>
  <c r="O1" i="104"/>
  <c r="N1" i="104"/>
  <c r="M1" i="104"/>
  <c r="L1" i="104"/>
  <c r="K1" i="104"/>
  <c r="J1" i="104"/>
  <c r="I1" i="104"/>
  <c r="H1" i="104"/>
  <c r="G1" i="104"/>
  <c r="F1" i="104"/>
  <c r="E1" i="104"/>
  <c r="D1" i="104"/>
  <c r="C1" i="104"/>
  <c r="B1" i="104"/>
  <c r="A1" i="104"/>
  <c r="E1" i="46" l="1"/>
  <c r="A1" i="46" l="1"/>
  <c r="B1" i="46"/>
  <c r="C1" i="46"/>
  <c r="D1" i="46"/>
  <c r="F1" i="46"/>
  <c r="G1" i="46"/>
  <c r="H1" i="46"/>
  <c r="I1" i="46"/>
  <c r="J1" i="46"/>
  <c r="K1" i="46"/>
  <c r="L1" i="46"/>
  <c r="M1" i="46"/>
  <c r="N1" i="46"/>
  <c r="O1" i="46"/>
  <c r="P1" i="46"/>
  <c r="Q1" i="46"/>
  <c r="R1" i="46"/>
  <c r="S1" i="46"/>
  <c r="T1" i="46"/>
  <c r="U1" i="46"/>
  <c r="U12" i="47" l="1"/>
  <c r="U12" i="46"/>
</calcChain>
</file>

<file path=xl/sharedStrings.xml><?xml version="1.0" encoding="utf-8"?>
<sst xmlns="http://schemas.openxmlformats.org/spreadsheetml/2006/main" count="3361" uniqueCount="804">
  <si>
    <t>整数型。別名でintEGER型がある。暦の日付（年月日）</t>
  </si>
  <si>
    <t>プロジェクト名</t>
    <rPh sb="6" eb="7">
      <t>メイ</t>
    </rPh>
    <phoneticPr fontId="4"/>
  </si>
  <si>
    <t>作成者</t>
    <rPh sb="0" eb="3">
      <t>サクセイシャ</t>
    </rPh>
    <phoneticPr fontId="4"/>
  </si>
  <si>
    <t>作成日</t>
    <rPh sb="0" eb="3">
      <t>サクセイビ</t>
    </rPh>
    <phoneticPr fontId="4"/>
  </si>
  <si>
    <t>更新者</t>
    <rPh sb="0" eb="3">
      <t>コウシンシャ</t>
    </rPh>
    <phoneticPr fontId="4"/>
  </si>
  <si>
    <t>更新日</t>
    <rPh sb="0" eb="3">
      <t>コウシンビ</t>
    </rPh>
    <phoneticPr fontId="4"/>
  </si>
  <si>
    <t>bigint</t>
  </si>
  <si>
    <t>int8</t>
  </si>
  <si>
    <t>8バイト符号付整数</t>
  </si>
  <si>
    <t>serial8</t>
  </si>
  <si>
    <t>bigserial</t>
  </si>
  <si>
    <t>bit</t>
  </si>
  <si>
    <t>固定長ビット列</t>
  </si>
  <si>
    <t>可変長ビット列</t>
  </si>
  <si>
    <t>bool</t>
  </si>
  <si>
    <t>boolean</t>
  </si>
  <si>
    <t>論理（ブール）値（真/偽）</t>
  </si>
  <si>
    <t>box</t>
  </si>
  <si>
    <t>平面上の矩形</t>
  </si>
  <si>
    <t>bytea</t>
  </si>
  <si>
    <t>バイナリデータ</t>
  </si>
  <si>
    <t>可変長文字列</t>
  </si>
  <si>
    <t>固定長文字列</t>
  </si>
  <si>
    <t>cidr</t>
  </si>
  <si>
    <t>IPv4もしくはIPv6ネットワークアドレス</t>
  </si>
  <si>
    <t>circle</t>
  </si>
  <si>
    <t>平面上の円</t>
  </si>
  <si>
    <t>date</t>
  </si>
  <si>
    <t>暦の日付（年月日）</t>
  </si>
  <si>
    <t>float8</t>
  </si>
  <si>
    <t>double precision</t>
  </si>
  <si>
    <t>倍精度浮動小数点</t>
  </si>
  <si>
    <t>inet</t>
  </si>
  <si>
    <t>IPv4もしくはIPv6ホストアドレス</t>
  </si>
  <si>
    <t>integer</t>
  </si>
  <si>
    <t>4バイト符号付整数</t>
  </si>
  <si>
    <t>時間間隔</t>
  </si>
  <si>
    <t>line</t>
  </si>
  <si>
    <t>平面上の無限直線(完全に実装されていません)</t>
  </si>
  <si>
    <t>lseg</t>
  </si>
  <si>
    <t>平面上の線分</t>
  </si>
  <si>
    <t>macaddr</t>
  </si>
  <si>
    <t>MAC アドレス</t>
  </si>
  <si>
    <t>money</t>
  </si>
  <si>
    <t>貨幣金額</t>
  </si>
  <si>
    <t>精度の選択可能な高精度数値</t>
  </si>
  <si>
    <t>path</t>
  </si>
  <si>
    <t>平面上の経路(開経路および閉経路)</t>
  </si>
  <si>
    <t>point</t>
  </si>
  <si>
    <t>平面上の幾何学的点</t>
  </si>
  <si>
    <t>polygon</t>
  </si>
  <si>
    <t>平面上の閉じた幾何学的経路</t>
  </si>
  <si>
    <t>real</t>
  </si>
  <si>
    <t>単精度浮動小数点</t>
  </si>
  <si>
    <t>smallint</t>
  </si>
  <si>
    <t>2 バイト符号付整数</t>
  </si>
  <si>
    <t>serial</t>
  </si>
  <si>
    <t>text</t>
  </si>
  <si>
    <t>時刻</t>
  </si>
  <si>
    <t>timetz</t>
  </si>
  <si>
    <t>時間帯付き時刻</t>
  </si>
  <si>
    <t>timestamp</t>
  </si>
  <si>
    <t>日付と時刻</t>
  </si>
  <si>
    <t>timestamptz</t>
  </si>
  <si>
    <t>時間帯付き日付と時刻</t>
  </si>
  <si>
    <t>顧客名</t>
    <rPh sb="0" eb="2">
      <t>コキャク</t>
    </rPh>
    <rPh sb="2" eb="3">
      <t>メイ</t>
    </rPh>
    <phoneticPr fontId="4"/>
  </si>
  <si>
    <t>BlockSize</t>
  </si>
  <si>
    <t>自動増分 4 バイト整数   1から2147483647</t>
  </si>
  <si>
    <t>int</t>
  </si>
  <si>
    <t>varchar</t>
  </si>
  <si>
    <t>character varying(n)</t>
  </si>
  <si>
    <t>varchar(n)</t>
  </si>
  <si>
    <t>timestamp [ (p) ] [ without time zone ]</t>
  </si>
  <si>
    <t>char</t>
  </si>
  <si>
    <t>character(n)</t>
  </si>
  <si>
    <t>char(n)</t>
  </si>
  <si>
    <t>自動増分8バイト整数　1から9223372036854775807</t>
  </si>
  <si>
    <t>varbit</t>
  </si>
  <si>
    <t>bit varying(n)</t>
  </si>
  <si>
    <t>interval</t>
  </si>
  <si>
    <t>interval(p)</t>
  </si>
  <si>
    <t>time [ (p) ] with time zone</t>
  </si>
  <si>
    <t>timestamp [ (p) ] with time zone</t>
  </si>
  <si>
    <t>time</t>
  </si>
  <si>
    <t>time [ (p) ] [ without time zone ]</t>
  </si>
  <si>
    <t>numeric</t>
  </si>
  <si>
    <t>numeric [ (p, s) ]</t>
  </si>
  <si>
    <t xml:space="preserve">8バイト </t>
  </si>
  <si>
    <t>浮動小数点型で最大のデータ型。</t>
  </si>
  <si>
    <t xml:space="preserve">4バイト </t>
  </si>
  <si>
    <t xml:space="preserve">3バイト </t>
  </si>
  <si>
    <t>整数型。-8,388,608から、8,388,607まで。符号なしなら、0から4,294,967,295まで。</t>
  </si>
  <si>
    <t xml:space="preserve">2バイト </t>
  </si>
  <si>
    <t>整数型。-32,768から32,767まで。符号なしなら0から65,535まで。</t>
  </si>
  <si>
    <t xml:space="preserve">1バイト </t>
  </si>
  <si>
    <t>整数型。-128から127まで。符号なしなら、0から255まで。</t>
  </si>
  <si>
    <t>浮動小数点型。4バイト符号付整数</t>
  </si>
  <si>
    <t>整数型で最大のデータ型。IDなど、プライマリキーなどに使用する。可変長文字列</t>
  </si>
  <si>
    <t xml:space="preserve">255バイト </t>
  </si>
  <si>
    <t xml:space="preserve">65,535バイト </t>
  </si>
  <si>
    <t xml:space="preserve">16,777,215バイト </t>
  </si>
  <si>
    <t xml:space="preserve">4,294,967,295バイト </t>
  </si>
  <si>
    <t>YYYYMMDDHHMMSSという形式で格納される。UNIXでよく使われるタイムスタンプ型。</t>
  </si>
  <si>
    <t>■　ページ基本項目の設定</t>
    <rPh sb="5" eb="7">
      <t>キホン</t>
    </rPh>
    <rPh sb="7" eb="9">
      <t>コウモク</t>
    </rPh>
    <rPh sb="10" eb="12">
      <t>セッテイ</t>
    </rPh>
    <phoneticPr fontId="4"/>
  </si>
  <si>
    <t>項目名</t>
    <rPh sb="0" eb="2">
      <t>コウモク</t>
    </rPh>
    <rPh sb="2" eb="3">
      <t>メイ</t>
    </rPh>
    <phoneticPr fontId="4"/>
  </si>
  <si>
    <t>値</t>
    <rPh sb="0" eb="1">
      <t>アタイ</t>
    </rPh>
    <phoneticPr fontId="4"/>
  </si>
  <si>
    <t>テーブル用パラメータ</t>
    <rPh sb="4" eb="5">
      <t>ヨウ</t>
    </rPh>
    <phoneticPr fontId="4"/>
  </si>
  <si>
    <t>初期値</t>
    <rPh sb="0" eb="3">
      <t>ショキチ</t>
    </rPh>
    <phoneticPr fontId="4"/>
  </si>
  <si>
    <t>リスト用</t>
    <rPh sb="3" eb="4">
      <t>ヨウ</t>
    </rPh>
    <phoneticPr fontId="4"/>
  </si>
  <si>
    <t>説明</t>
    <rPh sb="0" eb="2">
      <t>セツメイ</t>
    </rPh>
    <phoneticPr fontId="4"/>
  </si>
  <si>
    <t>ログインID</t>
    <phoneticPr fontId="4"/>
  </si>
  <si>
    <t>PostgreSQL</t>
    <phoneticPr fontId="4"/>
  </si>
  <si>
    <t>timestamp without time zone</t>
    <phoneticPr fontId="4"/>
  </si>
  <si>
    <t>MySQL</t>
    <phoneticPr fontId="4"/>
  </si>
  <si>
    <t>YYYY-MM-DDという形式で格納される。</t>
    <phoneticPr fontId="4"/>
  </si>
  <si>
    <t>Oracle</t>
    <phoneticPr fontId="4"/>
  </si>
  <si>
    <t>serial</t>
    <phoneticPr fontId="4"/>
  </si>
  <si>
    <t>自動増分 4 バイト整数   1から2147483647</t>
    <phoneticPr fontId="4"/>
  </si>
  <si>
    <t>可変長文字列（～254バイト）</t>
    <phoneticPr fontId="4"/>
  </si>
  <si>
    <t>varchar2</t>
    <phoneticPr fontId="4"/>
  </si>
  <si>
    <t>character varying2(n)</t>
    <phoneticPr fontId="4"/>
  </si>
  <si>
    <t>可変長文字列（～4000バイト）</t>
    <phoneticPr fontId="4"/>
  </si>
  <si>
    <t>number</t>
    <phoneticPr fontId="4"/>
  </si>
  <si>
    <t>パスワード</t>
    <phoneticPr fontId="4"/>
  </si>
  <si>
    <t>マスターテーブル</t>
    <phoneticPr fontId="4"/>
  </si>
  <si>
    <t>ビュー</t>
    <phoneticPr fontId="4"/>
  </si>
  <si>
    <t>datetime</t>
  </si>
  <si>
    <t>■ VBA用の設定項目</t>
    <rPh sb="5" eb="6">
      <t>ヨウ</t>
    </rPh>
    <rPh sb="7" eb="9">
      <t>セッテイ</t>
    </rPh>
    <rPh sb="9" eb="11">
      <t>コウモク</t>
    </rPh>
    <phoneticPr fontId="4"/>
  </si>
  <si>
    <t>作成者</t>
    <rPh sb="0" eb="2">
      <t>サクセイ</t>
    </rPh>
    <rPh sb="2" eb="3">
      <t>シャ</t>
    </rPh>
    <phoneticPr fontId="4"/>
  </si>
  <si>
    <t>date</t>
    <phoneticPr fontId="4"/>
  </si>
  <si>
    <t>tinyint</t>
  </si>
  <si>
    <t>0 ～ 255　の範囲の数値</t>
  </si>
  <si>
    <t>おおよそ　-3万 ～ 3万の範囲の数値</t>
  </si>
  <si>
    <t>おおよそ　-20億 ～ 20億の範囲の数値</t>
  </si>
  <si>
    <t>おおよそ　-900京 ～ 900京の範囲の数値</t>
  </si>
  <si>
    <t>decimal(p, s)</t>
  </si>
  <si>
    <t>p：全体桁数　s：小数点以下桁数</t>
  </si>
  <si>
    <t>numeric(p, s)</t>
  </si>
  <si>
    <t>固定長の有効桁数と小数点以下桁数を持つため誤差は発生しない（10進数）</t>
  </si>
  <si>
    <t>float(n)</t>
  </si>
  <si>
    <t>n：仮数のビット数　浮動小数点数</t>
  </si>
  <si>
    <t>浮動小数点数</t>
  </si>
  <si>
    <t>固定長文字列(8000バイトまで)</t>
  </si>
  <si>
    <t>可変長文字列(8000バイトまで)</t>
  </si>
  <si>
    <t>nchar(n)</t>
  </si>
  <si>
    <t>Unicode固定長文字列(8000バイトまで)</t>
  </si>
  <si>
    <t>nvarchar(n)</t>
  </si>
  <si>
    <t>Unicode可変長文字列(8000バイトまで)</t>
  </si>
  <si>
    <t>ntext</t>
  </si>
  <si>
    <t>smalldatetime</t>
  </si>
  <si>
    <t>精度：1分</t>
  </si>
  <si>
    <t>精度：3.33ミリ秒</t>
  </si>
  <si>
    <t>精度：1日</t>
  </si>
  <si>
    <t>1日の時刻のみを格納し、精度は100ナノ秒</t>
  </si>
  <si>
    <t>datetime2</t>
  </si>
  <si>
    <t>精度：100ナノ秒</t>
  </si>
  <si>
    <t>datetimeoffset</t>
  </si>
  <si>
    <t>精度：100ナノ秒　タイムゾーン付き</t>
  </si>
  <si>
    <t>smallmoney</t>
  </si>
  <si>
    <t>金額や通貨を表す(範囲狭)</t>
  </si>
  <si>
    <t>金額や通貨を表す(範囲広)</t>
  </si>
  <si>
    <t>binary(n)</t>
  </si>
  <si>
    <t>固定長バイナリデータ(8000バイトまで)</t>
  </si>
  <si>
    <t>varbinary(n)</t>
  </si>
  <si>
    <t>可変長バイナリデータ(8000バイトまで)</t>
  </si>
  <si>
    <t>varvinary(max)</t>
  </si>
  <si>
    <t>可変長バイナリデータ(2GBまで)</t>
  </si>
  <si>
    <t>1, 0, NULL のどれか</t>
  </si>
  <si>
    <t>table</t>
  </si>
  <si>
    <t>SELECT文実行結果のテーブルを格納可能</t>
  </si>
  <si>
    <t>XML</t>
  </si>
  <si>
    <t>XMLデータを格納可能</t>
  </si>
  <si>
    <t>uniqueidentifier</t>
  </si>
  <si>
    <t>16バイトのGUID(グローバルユニークID)</t>
  </si>
  <si>
    <t>テーブルのデータが更新される度に加算されるカウンタ(行バージョンを格納)</t>
  </si>
  <si>
    <t>sql_variant</t>
  </si>
  <si>
    <t>複数のデータ型を格納可能</t>
  </si>
  <si>
    <t>decimal</t>
    <phoneticPr fontId="4"/>
  </si>
  <si>
    <t>numeric</t>
    <phoneticPr fontId="4"/>
  </si>
  <si>
    <t>float</t>
    <phoneticPr fontId="4"/>
  </si>
  <si>
    <t>char</t>
    <phoneticPr fontId="4"/>
  </si>
  <si>
    <t>varchar</t>
    <phoneticPr fontId="4"/>
  </si>
  <si>
    <t>nchar</t>
    <phoneticPr fontId="4"/>
  </si>
  <si>
    <t>nvarchar</t>
    <phoneticPr fontId="4"/>
  </si>
  <si>
    <t>binary</t>
    <phoneticPr fontId="4"/>
  </si>
  <si>
    <t>varbinary</t>
    <phoneticPr fontId="4"/>
  </si>
  <si>
    <t>varvinary</t>
    <phoneticPr fontId="4"/>
  </si>
  <si>
    <t>トランザクションテーブル</t>
  </si>
  <si>
    <t>ワークテーブル</t>
    <phoneticPr fontId="4"/>
  </si>
  <si>
    <t>YYYY-MM-DD HH：MM：SSという形式で格納される。</t>
  </si>
  <si>
    <t>HH：MM：SSという形式で格納される。</t>
  </si>
  <si>
    <t>自動採番</t>
    <rPh sb="0" eb="2">
      <t>ジドウ</t>
    </rPh>
    <rPh sb="2" eb="4">
      <t>サイバン</t>
    </rPh>
    <phoneticPr fontId="4"/>
  </si>
  <si>
    <t>IDENTITY</t>
    <phoneticPr fontId="4"/>
  </si>
  <si>
    <t>double</t>
  </si>
  <si>
    <t>float</t>
  </si>
  <si>
    <t>mediumint</t>
  </si>
  <si>
    <t>tinytext</t>
  </si>
  <si>
    <t>mediumtext</t>
  </si>
  <si>
    <t>longtext</t>
  </si>
  <si>
    <t>ODBC ドライバー</t>
    <phoneticPr fontId="4"/>
  </si>
  <si>
    <t>SQLServer</t>
  </si>
  <si>
    <t>PostgreSQL Unicode</t>
    <phoneticPr fontId="4"/>
  </si>
  <si>
    <t>論理テーブル名</t>
    <rPh sb="0" eb="2">
      <t>ロンリ</t>
    </rPh>
    <rPh sb="6" eb="7">
      <t>メイ</t>
    </rPh>
    <phoneticPr fontId="4"/>
  </si>
  <si>
    <t>DBサーバー</t>
    <phoneticPr fontId="4"/>
  </si>
  <si>
    <t>ポート</t>
    <phoneticPr fontId="4"/>
  </si>
  <si>
    <t>NONCLUSTERED</t>
    <phoneticPr fontId="4"/>
  </si>
  <si>
    <t>UNIQUE NONCLUSTERED</t>
  </si>
  <si>
    <t>UNIQUE</t>
    <phoneticPr fontId="4"/>
  </si>
  <si>
    <t>DDL保存場所</t>
    <rPh sb="3" eb="5">
      <t>ホゾン</t>
    </rPh>
    <rPh sb="5" eb="7">
      <t>バショ</t>
    </rPh>
    <phoneticPr fontId="4"/>
  </si>
  <si>
    <t>文字コード</t>
    <rPh sb="0" eb="2">
      <t>モジ</t>
    </rPh>
    <phoneticPr fontId="4"/>
  </si>
  <si>
    <t>改行コード</t>
    <rPh sb="0" eb="2">
      <t>カイギョウ</t>
    </rPh>
    <phoneticPr fontId="4"/>
  </si>
  <si>
    <t>PCTFREE</t>
    <phoneticPr fontId="4"/>
  </si>
  <si>
    <t>INITRANS</t>
    <phoneticPr fontId="5"/>
  </si>
  <si>
    <t>インスタンス</t>
    <phoneticPr fontId="4"/>
  </si>
  <si>
    <t>スキーマ</t>
    <phoneticPr fontId="4"/>
  </si>
  <si>
    <t>＊＊＊＊＊株式会社</t>
    <rPh sb="5" eb="9">
      <t>カブシキガイシャ</t>
    </rPh>
    <phoneticPr fontId="4"/>
  </si>
  <si>
    <t>小泉　文平</t>
    <rPh sb="0" eb="2">
      <t>コイズミ</t>
    </rPh>
    <rPh sb="3" eb="5">
      <t>ブンペイ</t>
    </rPh>
    <phoneticPr fontId="4"/>
  </si>
  <si>
    <t>UTF-8</t>
  </si>
  <si>
    <t>LF</t>
  </si>
  <si>
    <t>MySQL ODBC 8.0 Unicode Driver</t>
    <phoneticPr fontId="4"/>
  </si>
  <si>
    <t>MSAccess</t>
    <phoneticPr fontId="4"/>
  </si>
  <si>
    <t>クエリビュー</t>
    <phoneticPr fontId="4"/>
  </si>
  <si>
    <t>小泉　文平</t>
    <phoneticPr fontId="4"/>
  </si>
  <si>
    <t>NTP-296\SQLEXPRESS</t>
  </si>
  <si>
    <t>perSummary</t>
  </si>
  <si>
    <t>ID</t>
    <phoneticPr fontId="4"/>
  </si>
  <si>
    <t>■VBA用の設定</t>
    <rPh sb="4" eb="5">
      <t>ヨウ</t>
    </rPh>
    <rPh sb="6" eb="8">
      <t>セッテイ</t>
    </rPh>
    <phoneticPr fontId="4"/>
  </si>
  <si>
    <t>■レジストリ初期設定</t>
    <rPh sb="6" eb="10">
      <t>ショキセッテイ</t>
    </rPh>
    <phoneticPr fontId="4"/>
  </si>
  <si>
    <t>debugMode</t>
    <phoneticPr fontId="4"/>
  </si>
  <si>
    <t>develop</t>
    <phoneticPr fontId="51"/>
  </si>
  <si>
    <t>subKey</t>
    <phoneticPr fontId="8"/>
  </si>
  <si>
    <t>Main</t>
  </si>
  <si>
    <t>CustomRibbon</t>
  </si>
  <si>
    <t>ribbonHighLightFlg</t>
    <phoneticPr fontId="51"/>
  </si>
  <si>
    <t>HighLightColor</t>
    <phoneticPr fontId="52"/>
  </si>
  <si>
    <t>10222585</t>
    <phoneticPr fontId="8"/>
  </si>
  <si>
    <t>zoomLevel</t>
  </si>
  <si>
    <t>100</t>
    <phoneticPr fontId="8"/>
  </si>
  <si>
    <t>■Book用の設定</t>
    <rPh sb="5" eb="6">
      <t>ヨウ</t>
    </rPh>
    <rPh sb="7" eb="9">
      <t>セッテイ</t>
    </rPh>
    <phoneticPr fontId="4"/>
  </si>
  <si>
    <t>ODBCDriver</t>
    <phoneticPr fontId="4"/>
  </si>
  <si>
    <t>DBServer</t>
    <phoneticPr fontId="4"/>
  </si>
  <si>
    <t>DBName</t>
  </si>
  <si>
    <t>DBName</t>
    <phoneticPr fontId="4"/>
  </si>
  <si>
    <t>Message</t>
    <phoneticPr fontId="4"/>
  </si>
  <si>
    <t>ヘッダーの項目が異なります</t>
  </si>
  <si>
    <t>ExcelError：インデックスが有効範囲にありません。</t>
    <phoneticPr fontId="51"/>
  </si>
  <si>
    <t>ExcelError：型が一致しません。</t>
    <phoneticPr fontId="25"/>
  </si>
  <si>
    <t>ExcelError：オブジェクト変数または With ブロック変数が設定されていません。</t>
    <phoneticPr fontId="51"/>
  </si>
  <si>
    <t>ExcelError：アプリケーション定義またはオブジェクト定義のエラーです。</t>
    <rPh sb="19" eb="21">
      <t>テイギ</t>
    </rPh>
    <rPh sb="30" eb="32">
      <t>テイギ</t>
    </rPh>
    <phoneticPr fontId="25"/>
  </si>
  <si>
    <t>名称</t>
    <phoneticPr fontId="4"/>
  </si>
  <si>
    <t>説明</t>
    <phoneticPr fontId="4"/>
  </si>
  <si>
    <t>userID</t>
    <phoneticPr fontId="4"/>
  </si>
  <si>
    <t>passwd</t>
    <phoneticPr fontId="4"/>
  </si>
  <si>
    <t>ProjectName</t>
    <phoneticPr fontId="4"/>
  </si>
  <si>
    <t>systemName</t>
    <phoneticPr fontId="4"/>
  </si>
  <si>
    <t>SQLServer</t>
    <phoneticPr fontId="4"/>
  </si>
  <si>
    <t>CreateBy</t>
    <phoneticPr fontId="4"/>
  </si>
  <si>
    <t>CreateAt</t>
    <phoneticPr fontId="4"/>
  </si>
  <si>
    <t>dbo</t>
  </si>
  <si>
    <t>ExcelError：ファイルが存在しません</t>
    <phoneticPr fontId="51"/>
  </si>
  <si>
    <t>&lt;&lt;メッセージ[情報]&gt;&gt; 0～399</t>
    <rPh sb="8" eb="10">
      <t>ジョウホウ</t>
    </rPh>
    <phoneticPr fontId="8"/>
  </si>
  <si>
    <t>&lt;&lt;メッセージ[注意]&gt;&gt; 600～799</t>
    <rPh sb="8" eb="10">
      <t>チュウイ</t>
    </rPh>
    <phoneticPr fontId="8"/>
  </si>
  <si>
    <t>Frm_NewSheetTop</t>
  </si>
  <si>
    <t>Frm_NewSheetLeft</t>
  </si>
  <si>
    <t>○△□プロジェクト</t>
    <phoneticPr fontId="4"/>
  </si>
  <si>
    <t>○✕システム</t>
  </si>
  <si>
    <t>○○　✕✕</t>
    <phoneticPr fontId="4"/>
  </si>
  <si>
    <t>MySQL</t>
  </si>
  <si>
    <t>PostgreSQL</t>
  </si>
  <si>
    <t>MSAccess</t>
  </si>
  <si>
    <t>DBList</t>
    <phoneticPr fontId="4"/>
  </si>
  <si>
    <t>ODBCDriverList</t>
    <phoneticPr fontId="4"/>
  </si>
  <si>
    <t>IndexTypeList</t>
    <phoneticPr fontId="4"/>
  </si>
  <si>
    <t>TableTypeList</t>
    <phoneticPr fontId="4"/>
  </si>
  <si>
    <t>数値</t>
  </si>
  <si>
    <t>定数名</t>
  </si>
  <si>
    <t>adSmallInt</t>
    <phoneticPr fontId="4"/>
  </si>
  <si>
    <t>adSingle</t>
    <phoneticPr fontId="4"/>
  </si>
  <si>
    <t>adDouble</t>
    <phoneticPr fontId="4"/>
  </si>
  <si>
    <t>adBSTR</t>
    <phoneticPr fontId="4"/>
  </si>
  <si>
    <t>adIDispatch</t>
    <phoneticPr fontId="4"/>
  </si>
  <si>
    <t>adError</t>
    <phoneticPr fontId="4"/>
  </si>
  <si>
    <t>adVariant</t>
    <phoneticPr fontId="4"/>
  </si>
  <si>
    <t>adIUnknown</t>
    <phoneticPr fontId="4"/>
  </si>
  <si>
    <t>adDecimal</t>
    <phoneticPr fontId="4"/>
  </si>
  <si>
    <t>adTinyInt</t>
    <phoneticPr fontId="4"/>
  </si>
  <si>
    <t>adUnsignedTinyInt</t>
    <phoneticPr fontId="4"/>
  </si>
  <si>
    <t>adUnsignedSmallInt</t>
    <phoneticPr fontId="4"/>
  </si>
  <si>
    <t>adUnsignedInt</t>
    <phoneticPr fontId="4"/>
  </si>
  <si>
    <t>adBigInt</t>
    <phoneticPr fontId="4"/>
  </si>
  <si>
    <t>adUnsignedBigInt</t>
    <phoneticPr fontId="4"/>
  </si>
  <si>
    <t>adFileTime</t>
    <phoneticPr fontId="4"/>
  </si>
  <si>
    <t>adGUID</t>
    <phoneticPr fontId="4"/>
  </si>
  <si>
    <t>adBinary</t>
    <phoneticPr fontId="4"/>
  </si>
  <si>
    <t>adChar</t>
    <phoneticPr fontId="4"/>
  </si>
  <si>
    <t>adWChar</t>
    <phoneticPr fontId="4"/>
  </si>
  <si>
    <t>adNumeric</t>
    <phoneticPr fontId="4"/>
  </si>
  <si>
    <t>adUserDefined</t>
    <phoneticPr fontId="4"/>
  </si>
  <si>
    <t>adDBDate</t>
    <phoneticPr fontId="4"/>
  </si>
  <si>
    <t>adDBTime</t>
    <phoneticPr fontId="4"/>
  </si>
  <si>
    <t>adDBTimeStamp</t>
    <phoneticPr fontId="4"/>
  </si>
  <si>
    <t>adChapter</t>
    <phoneticPr fontId="4"/>
  </si>
  <si>
    <t>adPropVariant</t>
    <phoneticPr fontId="4"/>
  </si>
  <si>
    <t>adVarNumeric</t>
    <phoneticPr fontId="4"/>
  </si>
  <si>
    <t>adVarChar</t>
    <phoneticPr fontId="4"/>
  </si>
  <si>
    <t>adLongVarChar</t>
    <phoneticPr fontId="4"/>
  </si>
  <si>
    <t>adVarBinary</t>
    <phoneticPr fontId="4"/>
  </si>
  <si>
    <t>Schema</t>
    <phoneticPr fontId="4"/>
  </si>
  <si>
    <t>Instance</t>
    <phoneticPr fontId="4"/>
  </si>
  <si>
    <t>リンクテーブル</t>
  </si>
  <si>
    <t>■MS ACCESS用の設定</t>
    <rPh sb="10" eb="11">
      <t>ヨウ</t>
    </rPh>
    <rPh sb="12" eb="14">
      <t>セッテイ</t>
    </rPh>
    <phoneticPr fontId="4"/>
  </si>
  <si>
    <t>Port</t>
  </si>
  <si>
    <t>MySQL ODBC 8.0 Unicode Driver</t>
  </si>
  <si>
    <t>localhost</t>
    <phoneticPr fontId="4"/>
  </si>
  <si>
    <t>root</t>
    <phoneticPr fontId="4"/>
  </si>
  <si>
    <t>mmH6Fep</t>
    <phoneticPr fontId="4"/>
  </si>
  <si>
    <t>DBMS</t>
    <phoneticPr fontId="4"/>
  </si>
  <si>
    <t>NONUNIQUE</t>
    <phoneticPr fontId="4"/>
  </si>
  <si>
    <t>C:\WorkSpace\VBA\Template\Database.accdb</t>
  </si>
  <si>
    <t>Database.accdb</t>
    <phoneticPr fontId="8"/>
  </si>
  <si>
    <t>INT</t>
    <phoneticPr fontId="4"/>
  </si>
  <si>
    <t>DATE</t>
    <phoneticPr fontId="4"/>
  </si>
  <si>
    <t>テキスト型</t>
  </si>
  <si>
    <t>メモ型</t>
  </si>
  <si>
    <t>MEMO</t>
  </si>
  <si>
    <t>数値型（Byte型）</t>
  </si>
  <si>
    <t>BYTE</t>
  </si>
  <si>
    <t>数値型（整数型）</t>
  </si>
  <si>
    <t>数値型（長整数型）</t>
  </si>
  <si>
    <t>LONG</t>
  </si>
  <si>
    <t>数値型（単精度浮動小数点型）</t>
  </si>
  <si>
    <t>SINGLE</t>
  </si>
  <si>
    <t>数値型（倍精度浮動小数点型）</t>
  </si>
  <si>
    <t>DOUBLE</t>
  </si>
  <si>
    <t>数値型（レプリケーションID型）</t>
  </si>
  <si>
    <t>GUID</t>
  </si>
  <si>
    <t>日付/時刻型</t>
  </si>
  <si>
    <t>DATETIME</t>
  </si>
  <si>
    <t>通貨型</t>
  </si>
  <si>
    <t>CURRENCY</t>
  </si>
  <si>
    <t>オートナンバー型</t>
  </si>
  <si>
    <t>COUNTER</t>
  </si>
  <si>
    <t>Yes/No型</t>
  </si>
  <si>
    <t>YESNO</t>
  </si>
  <si>
    <t>Oleオブジェクト型</t>
  </si>
  <si>
    <t>LONGBINARY</t>
  </si>
  <si>
    <t>バイナリ型</t>
  </si>
  <si>
    <t>TEXT</t>
    <phoneticPr fontId="4"/>
  </si>
  <si>
    <t>BINARY</t>
    <phoneticPr fontId="4"/>
  </si>
  <si>
    <t>TEXT</t>
    <phoneticPr fontId="4"/>
  </si>
  <si>
    <t>MEMO</t>
    <phoneticPr fontId="4"/>
  </si>
  <si>
    <t>CURRENCY</t>
    <phoneticPr fontId="4"/>
  </si>
  <si>
    <t>LONGBINARY</t>
    <phoneticPr fontId="4"/>
  </si>
  <si>
    <t>Cell_physicalName</t>
    <phoneticPr fontId="8"/>
  </si>
  <si>
    <t>Cell_logicalName</t>
    <phoneticPr fontId="8"/>
  </si>
  <si>
    <t>D</t>
    <phoneticPr fontId="8"/>
  </si>
  <si>
    <t>E</t>
    <phoneticPr fontId="8"/>
  </si>
  <si>
    <t>Cell_dateType</t>
    <phoneticPr fontId="8"/>
  </si>
  <si>
    <t>F</t>
    <phoneticPr fontId="8"/>
  </si>
  <si>
    <t>Cell_digits</t>
    <phoneticPr fontId="8"/>
  </si>
  <si>
    <t>G</t>
    <phoneticPr fontId="8"/>
  </si>
  <si>
    <t>Cell_PK</t>
    <phoneticPr fontId="8"/>
  </si>
  <si>
    <t>Cell_Idx01</t>
    <phoneticPr fontId="8"/>
  </si>
  <si>
    <t>I</t>
    <phoneticPr fontId="8"/>
  </si>
  <si>
    <t>J</t>
    <phoneticPr fontId="8"/>
  </si>
  <si>
    <t>Cell_Null</t>
    <phoneticPr fontId="8"/>
  </si>
  <si>
    <t>Cell_Default</t>
    <phoneticPr fontId="8"/>
  </si>
  <si>
    <t>Cell_Note</t>
    <phoneticPr fontId="8"/>
  </si>
  <si>
    <t>T</t>
    <phoneticPr fontId="8"/>
  </si>
  <si>
    <t>U</t>
    <phoneticPr fontId="8"/>
  </si>
  <si>
    <t>V</t>
    <phoneticPr fontId="8"/>
  </si>
  <si>
    <t>Cell_logicalTableName</t>
    <phoneticPr fontId="8"/>
  </si>
  <si>
    <t>Cell_physicalTableName</t>
    <phoneticPr fontId="8"/>
  </si>
  <si>
    <t>E5</t>
    <phoneticPr fontId="8"/>
  </si>
  <si>
    <t>G5</t>
    <phoneticPr fontId="8"/>
  </si>
  <si>
    <t>Cell_TableType</t>
    <phoneticPr fontId="8"/>
  </si>
  <si>
    <t>C2</t>
    <phoneticPr fontId="8"/>
  </si>
  <si>
    <t>E6</t>
    <phoneticPr fontId="8"/>
  </si>
  <si>
    <t>Cell_tableNote</t>
    <phoneticPr fontId="8"/>
  </si>
  <si>
    <t>小泉　文平</t>
  </si>
  <si>
    <t>ファイルを全て選択してください</t>
  </si>
  <si>
    <t>ファイルを選択してください</t>
  </si>
  <si>
    <t>を入力してください</t>
  </si>
  <si>
    <t>フォルダを選択してください</t>
  </si>
  <si>
    <t>キャンセルされました</t>
  </si>
  <si>
    <t>処理が完了しました</t>
  </si>
  <si>
    <t>インポート処理が完了しました</t>
  </si>
  <si>
    <t>エクスポート処理が完了しました</t>
  </si>
  <si>
    <t>登録処理が完了しました</t>
  </si>
  <si>
    <t>集計処理が完了しました</t>
  </si>
  <si>
    <t>取得処理が完了しました</t>
  </si>
  <si>
    <t>&lt;&lt;メッセージ[警告]&gt;&gt; 400～599</t>
  </si>
  <si>
    <t>エラーが発生しました</t>
  </si>
  <si>
    <t>インストールバージョンが一致しません</t>
  </si>
  <si>
    <t>インストールファイルが存在しません</t>
  </si>
  <si>
    <t>フォルダーが存在しません</t>
  </si>
  <si>
    <t>ファイルが存在しません</t>
  </si>
  <si>
    <t>シートが存在しません</t>
  </si>
  <si>
    <t>データが存在しません</t>
  </si>
  <si>
    <t>同名ファイルが開かれています</t>
  </si>
  <si>
    <t>データベースへの接続に失敗しました</t>
  </si>
  <si>
    <t>データベースへの切断に失敗しました</t>
  </si>
  <si>
    <t>データベースの更新に失敗しました</t>
  </si>
  <si>
    <t>インサート中にエラーが発生しました</t>
  </si>
  <si>
    <t>INT</t>
    <phoneticPr fontId="4"/>
  </si>
  <si>
    <t>YESNO</t>
    <phoneticPr fontId="4"/>
  </si>
  <si>
    <t>Cell_colMaxLen</t>
    <phoneticPr fontId="8"/>
  </si>
  <si>
    <t>H</t>
    <phoneticPr fontId="8"/>
  </si>
  <si>
    <t>Cell_UpdateBy</t>
    <phoneticPr fontId="8"/>
  </si>
  <si>
    <t>W2</t>
    <phoneticPr fontId="8"/>
  </si>
  <si>
    <t>Cell_UpdateAt</t>
    <phoneticPr fontId="8"/>
  </si>
  <si>
    <t>Cell_CreateBy</t>
    <phoneticPr fontId="8"/>
  </si>
  <si>
    <t>Cell_CreateAt</t>
    <phoneticPr fontId="8"/>
  </si>
  <si>
    <t>W3</t>
    <phoneticPr fontId="8"/>
  </si>
  <si>
    <t>S</t>
    <phoneticPr fontId="8"/>
  </si>
  <si>
    <t>AA</t>
    <phoneticPr fontId="8"/>
  </si>
  <si>
    <t>Cell_internalDigit</t>
    <phoneticPr fontId="8"/>
  </si>
  <si>
    <t>AB</t>
    <phoneticPr fontId="8"/>
  </si>
  <si>
    <t>U2</t>
    <phoneticPr fontId="8"/>
  </si>
  <si>
    <t>U3</t>
    <phoneticPr fontId="8"/>
  </si>
  <si>
    <t>defaultRowHeight</t>
    <phoneticPr fontId="8"/>
  </si>
  <si>
    <t>18</t>
    <phoneticPr fontId="8"/>
  </si>
  <si>
    <t>outputDir</t>
    <phoneticPr fontId="8"/>
  </si>
  <si>
    <t>C:\WorkSpace\VBA\Template\SQL</t>
  </si>
  <si>
    <t>CustomerName</t>
    <phoneticPr fontId="8"/>
  </si>
  <si>
    <t>○○株式会社</t>
    <rPh sb="2" eb="6">
      <t>カブ</t>
    </rPh>
    <phoneticPr fontId="4"/>
  </si>
  <si>
    <t>作成日</t>
  </si>
  <si>
    <t>useLogicalName</t>
  </si>
  <si>
    <t>usePhysicalName</t>
  </si>
  <si>
    <t>useImage</t>
  </si>
  <si>
    <t>True</t>
    <phoneticPr fontId="8"/>
  </si>
  <si>
    <t>False</t>
    <phoneticPr fontId="8"/>
  </si>
  <si>
    <t>defaultVal</t>
    <phoneticPr fontId="4"/>
  </si>
  <si>
    <t>CURRENT_TIMESTAMP</t>
  </si>
  <si>
    <t>AUTO_INCREMENT</t>
  </si>
  <si>
    <t>CURRENT_TIMESTAMP  ON UPDATE CURRENT_TIMESTAMP</t>
  </si>
  <si>
    <t>Cell_Idx10</t>
    <phoneticPr fontId="8"/>
  </si>
  <si>
    <t>R</t>
    <phoneticPr fontId="4"/>
  </si>
  <si>
    <t>Cell_Idx02</t>
  </si>
  <si>
    <t>Cell_Idx03</t>
  </si>
  <si>
    <t>Cell_Idx04</t>
  </si>
  <si>
    <t>Cell_Idx05</t>
  </si>
  <si>
    <t>Cell_Idx06</t>
  </si>
  <si>
    <t>Cell_Idx07</t>
  </si>
  <si>
    <t>Cell_Idx08</t>
  </si>
  <si>
    <t>Cell_Idx09</t>
  </si>
  <si>
    <t>K</t>
    <phoneticPr fontId="8"/>
  </si>
  <si>
    <t>L</t>
    <phoneticPr fontId="8"/>
  </si>
  <si>
    <t>M</t>
    <phoneticPr fontId="8"/>
  </si>
  <si>
    <t>N</t>
    <phoneticPr fontId="8"/>
  </si>
  <si>
    <t>O</t>
    <phoneticPr fontId="8"/>
  </si>
  <si>
    <t>P</t>
    <phoneticPr fontId="8"/>
  </si>
  <si>
    <t>Q</t>
    <phoneticPr fontId="8"/>
  </si>
  <si>
    <t>indexStart</t>
    <phoneticPr fontId="4"/>
  </si>
  <si>
    <t>columnEnd</t>
    <phoneticPr fontId="4"/>
  </si>
  <si>
    <t>■setLine</t>
    <phoneticPr fontId="4"/>
  </si>
  <si>
    <t>triggerStart</t>
    <phoneticPr fontId="4"/>
  </si>
  <si>
    <t>1433</t>
    <phoneticPr fontId="8"/>
  </si>
  <si>
    <t>dbo</t>
    <phoneticPr fontId="8"/>
  </si>
  <si>
    <t>情報反映が完了しました</t>
    <phoneticPr fontId="8"/>
  </si>
  <si>
    <t>AdventureWorks2019</t>
  </si>
  <si>
    <t>工程</t>
    <rPh sb="0" eb="2">
      <t>コウテイ</t>
    </rPh>
    <phoneticPr fontId="4"/>
  </si>
  <si>
    <t>基本設計</t>
    <phoneticPr fontId="4"/>
  </si>
  <si>
    <t>作成者</t>
  </si>
  <si>
    <t>システム名</t>
    <rPh sb="4" eb="5">
      <t>メイ</t>
    </rPh>
    <phoneticPr fontId="60"/>
  </si>
  <si>
    <t>サブシステム名</t>
    <rPh sb="6" eb="7">
      <t>メイ</t>
    </rPh>
    <phoneticPr fontId="4"/>
  </si>
  <si>
    <t>更新者</t>
  </si>
  <si>
    <t>更新日</t>
  </si>
  <si>
    <t>成果物名</t>
    <rPh sb="0" eb="3">
      <t>セイカブツ</t>
    </rPh>
    <rPh sb="3" eb="4">
      <t>メイ</t>
    </rPh>
    <phoneticPr fontId="4"/>
  </si>
  <si>
    <t>セクション</t>
    <phoneticPr fontId="60"/>
  </si>
  <si>
    <t>テーブル情報</t>
    <rPh sb="4" eb="6">
      <t>ジョウホウ</t>
    </rPh>
    <phoneticPr fontId="62"/>
  </si>
  <si>
    <t>スキーマ名</t>
    <rPh sb="4" eb="5">
      <t>メイ</t>
    </rPh>
    <phoneticPr fontId="4"/>
  </si>
  <si>
    <t>物理テーブル名</t>
    <rPh sb="0" eb="2">
      <t>ブツリ</t>
    </rPh>
    <rPh sb="6" eb="7">
      <t>メイ</t>
    </rPh>
    <phoneticPr fontId="4"/>
  </si>
  <si>
    <t>備考</t>
    <rPh sb="0" eb="2">
      <t>ビコウ</t>
    </rPh>
    <phoneticPr fontId="4"/>
  </si>
  <si>
    <t>カラム情報</t>
    <rPh sb="3" eb="5">
      <t>ジョウホウ</t>
    </rPh>
    <phoneticPr fontId="62"/>
  </si>
  <si>
    <t>№</t>
  </si>
  <si>
    <t>論理名</t>
    <rPh sb="0" eb="2">
      <t>ロンリ</t>
    </rPh>
    <rPh sb="2" eb="3">
      <t>メイ</t>
    </rPh>
    <phoneticPr fontId="4"/>
  </si>
  <si>
    <t>物理名</t>
    <rPh sb="0" eb="2">
      <t>ブツリ</t>
    </rPh>
    <rPh sb="2" eb="3">
      <t>メイ</t>
    </rPh>
    <phoneticPr fontId="4"/>
  </si>
  <si>
    <t>データ型(サイズ)</t>
    <rPh sb="3" eb="4">
      <t>ガタ</t>
    </rPh>
    <phoneticPr fontId="4"/>
  </si>
  <si>
    <t>主キー</t>
    <rPh sb="0" eb="1">
      <t>シュ</t>
    </rPh>
    <phoneticPr fontId="4"/>
  </si>
  <si>
    <t>ユニーク
キー</t>
    <phoneticPr fontId="4"/>
  </si>
  <si>
    <t>外部キー</t>
    <rPh sb="0" eb="2">
      <t>ガイブ</t>
    </rPh>
    <phoneticPr fontId="4"/>
  </si>
  <si>
    <t>Not
NULL</t>
    <phoneticPr fontId="4"/>
  </si>
  <si>
    <t>必須</t>
    <rPh sb="0" eb="2">
      <t>ヒッス</t>
    </rPh>
    <phoneticPr fontId="4"/>
  </si>
  <si>
    <t>インデックス情報</t>
    <rPh sb="6" eb="8">
      <t>ジョウホウ</t>
    </rPh>
    <phoneticPr fontId="62"/>
  </si>
  <si>
    <t>インデックス名</t>
    <rPh sb="6" eb="7">
      <t>メイ</t>
    </rPh>
    <phoneticPr fontId="4"/>
  </si>
  <si>
    <t>対象カラム</t>
    <rPh sb="0" eb="2">
      <t>タイショウ</t>
    </rPh>
    <phoneticPr fontId="4"/>
  </si>
  <si>
    <t>ビュー情報</t>
    <rPh sb="3" eb="5">
      <t>ジョウホウ</t>
    </rPh>
    <phoneticPr fontId="62"/>
  </si>
  <si>
    <t>論理ビュー名</t>
    <rPh sb="0" eb="2">
      <t>ロンリ</t>
    </rPh>
    <rPh sb="5" eb="6">
      <t>メイ</t>
    </rPh>
    <phoneticPr fontId="4"/>
  </si>
  <si>
    <t>参照元テーブル名</t>
    <rPh sb="0" eb="2">
      <t>サンショウ</t>
    </rPh>
    <rPh sb="2" eb="3">
      <t>モト</t>
    </rPh>
    <rPh sb="7" eb="8">
      <t>メイ</t>
    </rPh>
    <phoneticPr fontId="4"/>
  </si>
  <si>
    <t>参照元カラム名</t>
    <rPh sb="0" eb="2">
      <t>サンショウ</t>
    </rPh>
    <rPh sb="2" eb="3">
      <t>モト</t>
    </rPh>
    <rPh sb="6" eb="7">
      <t>メイ</t>
    </rPh>
    <phoneticPr fontId="4"/>
  </si>
  <si>
    <t>詳細設計書</t>
    <rPh sb="0" eb="2">
      <t>ショウサイ</t>
    </rPh>
    <rPh sb="2" eb="4">
      <t>セッケイ</t>
    </rPh>
    <rPh sb="4" eb="5">
      <t>ショ</t>
    </rPh>
    <phoneticPr fontId="4"/>
  </si>
  <si>
    <t>データベース設計書</t>
    <rPh sb="6" eb="8">
      <t>セッケイ</t>
    </rPh>
    <rPh sb="8" eb="9">
      <t>ショ</t>
    </rPh>
    <phoneticPr fontId="4"/>
  </si>
  <si>
    <t>プロジェクト名</t>
    <phoneticPr fontId="4"/>
  </si>
  <si>
    <t>システム名</t>
    <phoneticPr fontId="4"/>
  </si>
  <si>
    <t>サブシステム名</t>
    <phoneticPr fontId="4"/>
  </si>
  <si>
    <t>transcosmos</t>
    <phoneticPr fontId="4"/>
  </si>
  <si>
    <t>ご承認</t>
    <rPh sb="1" eb="3">
      <t>ショウニン</t>
    </rPh>
    <phoneticPr fontId="4"/>
  </si>
  <si>
    <t>責任者</t>
    <rPh sb="0" eb="3">
      <t>セキニンシャ</t>
    </rPh>
    <phoneticPr fontId="4"/>
  </si>
  <si>
    <t>確認者</t>
    <rPh sb="0" eb="2">
      <t>カクニン</t>
    </rPh>
    <rPh sb="2" eb="3">
      <t>シャ</t>
    </rPh>
    <phoneticPr fontId="4"/>
  </si>
  <si>
    <t>版数</t>
    <rPh sb="0" eb="2">
      <t>ハンスウ</t>
    </rPh>
    <phoneticPr fontId="4"/>
  </si>
  <si>
    <t>改定日</t>
    <rPh sb="0" eb="3">
      <t>カイテイビ</t>
    </rPh>
    <phoneticPr fontId="62"/>
  </si>
  <si>
    <t>変更者</t>
    <rPh sb="0" eb="2">
      <t>ヘンコウ</t>
    </rPh>
    <rPh sb="2" eb="3">
      <t>シャ</t>
    </rPh>
    <phoneticPr fontId="4"/>
  </si>
  <si>
    <t>変 更 内 容</t>
  </si>
  <si>
    <t>変 更 理 由</t>
  </si>
  <si>
    <t>備 考</t>
  </si>
  <si>
    <t>エンティティ情報</t>
    <rPh sb="6" eb="8">
      <t>ジョウホウ</t>
    </rPh>
    <phoneticPr fontId="62"/>
  </si>
  <si>
    <t>エンティティ名</t>
    <rPh sb="6" eb="7">
      <t>メイ</t>
    </rPh>
    <phoneticPr fontId="4"/>
  </si>
  <si>
    <t>属性名</t>
    <rPh sb="0" eb="2">
      <t>ゾクセイ</t>
    </rPh>
    <rPh sb="2" eb="3">
      <t>メイ</t>
    </rPh>
    <phoneticPr fontId="4"/>
  </si>
  <si>
    <t>属性の説明</t>
    <rPh sb="0" eb="2">
      <t>ゾクセイ</t>
    </rPh>
    <rPh sb="3" eb="5">
      <t>セツメイ</t>
    </rPh>
    <phoneticPr fontId="4"/>
  </si>
  <si>
    <t>ER図</t>
    <rPh sb="2" eb="3">
      <t>ズ</t>
    </rPh>
    <phoneticPr fontId="62"/>
  </si>
  <si>
    <t>凡例</t>
    <rPh sb="0" eb="2">
      <t>ハンレイ</t>
    </rPh>
    <phoneticPr fontId="4"/>
  </si>
  <si>
    <t>多重度表現用</t>
    <rPh sb="0" eb="2">
      <t>タジュウ</t>
    </rPh>
    <rPh sb="2" eb="3">
      <t>ド</t>
    </rPh>
    <rPh sb="3" eb="5">
      <t>ヒョウゲン</t>
    </rPh>
    <rPh sb="5" eb="6">
      <t>ヨウ</t>
    </rPh>
    <phoneticPr fontId="4"/>
  </si>
  <si>
    <t>マスタ系</t>
    <rPh sb="3" eb="4">
      <t>ケイ</t>
    </rPh>
    <phoneticPr fontId="4"/>
  </si>
  <si>
    <t>1～n</t>
    <phoneticPr fontId="4"/>
  </si>
  <si>
    <t>トランザクション系</t>
    <rPh sb="8" eb="9">
      <t>ケイ</t>
    </rPh>
    <phoneticPr fontId="4"/>
  </si>
  <si>
    <t>0～n</t>
    <phoneticPr fontId="4"/>
  </si>
  <si>
    <t>容量計算</t>
    <rPh sb="0" eb="2">
      <t>ヨウリョウ</t>
    </rPh>
    <rPh sb="2" eb="4">
      <t>ケイサン</t>
    </rPh>
    <phoneticPr fontId="62"/>
  </si>
  <si>
    <t>テーブル名</t>
    <rPh sb="4" eb="5">
      <t>メイ</t>
    </rPh>
    <phoneticPr fontId="4"/>
  </si>
  <si>
    <t>レコード件数の概要</t>
    <rPh sb="4" eb="6">
      <t>ケンスウ</t>
    </rPh>
    <rPh sb="7" eb="9">
      <t>ガイヨウ</t>
    </rPh>
    <phoneticPr fontId="4"/>
  </si>
  <si>
    <t>1レコードあたりのサイズ（Byte）</t>
    <phoneticPr fontId="4"/>
  </si>
  <si>
    <t>レコードあたりの占有率</t>
    <rPh sb="8" eb="10">
      <t>センユウ</t>
    </rPh>
    <rPh sb="10" eb="11">
      <t>リツ</t>
    </rPh>
    <phoneticPr fontId="4"/>
  </si>
  <si>
    <t>初期件数</t>
    <rPh sb="0" eb="2">
      <t>ショキ</t>
    </rPh>
    <rPh sb="2" eb="4">
      <t>ケンスウ</t>
    </rPh>
    <phoneticPr fontId="4"/>
  </si>
  <si>
    <t>初期容量
(MByte)</t>
    <rPh sb="0" eb="2">
      <t>ショキ</t>
    </rPh>
    <rPh sb="2" eb="4">
      <t>ヨウリョウ</t>
    </rPh>
    <phoneticPr fontId="4"/>
  </si>
  <si>
    <t>想定データ増加件数</t>
    <rPh sb="0" eb="2">
      <t>ソウテイ</t>
    </rPh>
    <rPh sb="5" eb="7">
      <t>ゾウカ</t>
    </rPh>
    <rPh sb="7" eb="9">
      <t>ケンスウ</t>
    </rPh>
    <phoneticPr fontId="4"/>
  </si>
  <si>
    <t>想定データ増加量(MByte)</t>
    <rPh sb="0" eb="2">
      <t>ソウテイ</t>
    </rPh>
    <rPh sb="5" eb="7">
      <t>ゾウカ</t>
    </rPh>
    <rPh sb="7" eb="8">
      <t>リョウ</t>
    </rPh>
    <phoneticPr fontId="4"/>
  </si>
  <si>
    <t>1日</t>
    <rPh sb="1" eb="2">
      <t>ニチ</t>
    </rPh>
    <phoneticPr fontId="4"/>
  </si>
  <si>
    <t>1ヶ月</t>
    <rPh sb="2" eb="3">
      <t>ゲツ</t>
    </rPh>
    <phoneticPr fontId="4"/>
  </si>
  <si>
    <t>1年</t>
    <rPh sb="1" eb="2">
      <t>ネン</t>
    </rPh>
    <phoneticPr fontId="4"/>
  </si>
  <si>
    <t>小計</t>
    <rPh sb="0" eb="2">
      <t>ショウケイ</t>
    </rPh>
    <phoneticPr fontId="4"/>
  </si>
  <si>
    <t>安全値</t>
    <rPh sb="0" eb="2">
      <t>アンゼン</t>
    </rPh>
    <rPh sb="2" eb="3">
      <t>アタイ</t>
    </rPh>
    <phoneticPr fontId="4"/>
  </si>
  <si>
    <t>合計</t>
    <rPh sb="0" eb="2">
      <t>ゴウケイ</t>
    </rPh>
    <phoneticPr fontId="4"/>
  </si>
  <si>
    <t>○△□サブシステム</t>
    <phoneticPr fontId="4"/>
  </si>
  <si>
    <t>subSystemName</t>
    <phoneticPr fontId="4"/>
  </si>
  <si>
    <t>ProjectName</t>
  </si>
  <si>
    <t>○✕サイト構築プロジェクト</t>
    <phoneticPr fontId="4"/>
  </si>
  <si>
    <t>14</t>
    <phoneticPr fontId="8"/>
  </si>
  <si>
    <t>○○株式会社</t>
    <phoneticPr fontId="4"/>
  </si>
  <si>
    <t>○✕システム</t>
    <phoneticPr fontId="4"/>
  </si>
  <si>
    <t>C:\WorkSpace\VBA\Template\SQL</t>
    <phoneticPr fontId="4"/>
  </si>
  <si>
    <t>3306</t>
    <phoneticPr fontId="4"/>
  </si>
  <si>
    <t>indexEnd</t>
  </si>
  <si>
    <t>カラム情報取得に失敗しました</t>
    <rPh sb="3" eb="5">
      <t>ジョウホウ</t>
    </rPh>
    <rPh sb="5" eb="7">
      <t>シュ</t>
    </rPh>
    <rPh sb="8" eb="10">
      <t>シッパイ</t>
    </rPh>
    <phoneticPr fontId="8"/>
  </si>
  <si>
    <t>データベース設計書</t>
  </si>
  <si>
    <t>MySQL</t>
    <phoneticPr fontId="4"/>
  </si>
  <si>
    <t>文字数</t>
    <rPh sb="0" eb="3">
      <t>モジスウ</t>
    </rPh>
    <phoneticPr fontId="8"/>
  </si>
  <si>
    <t>ワークテーブル</t>
    <phoneticPr fontId="4"/>
  </si>
  <si>
    <t>属性：</t>
    <phoneticPr fontId="8"/>
  </si>
  <si>
    <t>🔑</t>
    <phoneticPr fontId="4"/>
  </si>
  <si>
    <t>Char_PK</t>
    <phoneticPr fontId="4"/>
  </si>
  <si>
    <t>ユニーク</t>
  </si>
  <si>
    <t>タイプ</t>
  </si>
  <si>
    <t>システム設定値</t>
    <rPh sb="4" eb="6">
      <t>セ</t>
    </rPh>
    <rPh sb="6" eb="7">
      <t>チ</t>
    </rPh>
    <phoneticPr fontId="8"/>
  </si>
  <si>
    <t>テーブル名</t>
    <rPh sb="4" eb="5">
      <t>メイ</t>
    </rPh>
    <phoneticPr fontId="8"/>
  </si>
  <si>
    <t>カラム名</t>
    <phoneticPr fontId="8"/>
  </si>
  <si>
    <t>useLogicalName</t>
    <phoneticPr fontId="4"/>
  </si>
  <si>
    <t>主キー</t>
    <phoneticPr fontId="8"/>
  </si>
  <si>
    <t>型</t>
    <rPh sb="0" eb="1">
      <t>カタ</t>
    </rPh>
    <phoneticPr fontId="8"/>
  </si>
  <si>
    <t>NotNull</t>
    <phoneticPr fontId="8"/>
  </si>
  <si>
    <t>Char_NotNull</t>
    <phoneticPr fontId="4"/>
  </si>
  <si>
    <t>◾</t>
    <phoneticPr fontId="4"/>
  </si>
  <si>
    <t>テーブルが存在しません</t>
    <rPh sb="5" eb="7">
      <t>ソンザ</t>
    </rPh>
    <phoneticPr fontId="8"/>
  </si>
  <si>
    <t>シート名</t>
    <rPh sb="3" eb="4">
      <t>メイ</t>
    </rPh>
    <phoneticPr fontId="8"/>
  </si>
  <si>
    <t>外部キー</t>
  </si>
  <si>
    <t>ユニークキー</t>
    <phoneticPr fontId="8"/>
  </si>
  <si>
    <t>インデックス</t>
    <phoneticPr fontId="8"/>
  </si>
  <si>
    <t>varchar(20)</t>
  </si>
  <si>
    <t>varchar(50)</t>
  </si>
  <si>
    <t>LogLevel</t>
    <phoneticPr fontId="4"/>
  </si>
  <si>
    <t>debug</t>
  </si>
  <si>
    <t>編集</t>
    <rPh sb="0" eb="2">
      <t>ヘン</t>
    </rPh>
    <phoneticPr fontId="8"/>
  </si>
  <si>
    <t>行追加</t>
    <rPh sb="0" eb="1">
      <t>ギョウ</t>
    </rPh>
    <rPh sb="1" eb="3">
      <t>ツイカ</t>
    </rPh>
    <phoneticPr fontId="8"/>
  </si>
  <si>
    <t>default</t>
    <phoneticPr fontId="8"/>
  </si>
  <si>
    <t>ColumStart</t>
    <phoneticPr fontId="8"/>
  </si>
  <si>
    <t>Colum</t>
    <phoneticPr fontId="8"/>
  </si>
  <si>
    <t>ColumEnd</t>
    <phoneticPr fontId="8"/>
  </si>
  <si>
    <t>IndexStart</t>
    <phoneticPr fontId="8"/>
  </si>
  <si>
    <t>IndexEnd</t>
    <phoneticPr fontId="8"/>
  </si>
  <si>
    <t>実行できませんでした</t>
    <phoneticPr fontId="8"/>
  </si>
  <si>
    <t>このシートでは実行できません</t>
    <phoneticPr fontId="8"/>
  </si>
  <si>
    <t>3.city</t>
  </si>
  <si>
    <t>city</t>
  </si>
  <si>
    <t>3.country</t>
  </si>
  <si>
    <t>country</t>
  </si>
  <si>
    <t>sakila</t>
    <phoneticPr fontId="4"/>
  </si>
  <si>
    <t>物理ビュー名</t>
    <rPh sb="5" eb="6">
      <t>メイ</t>
    </rPh>
    <phoneticPr fontId="4"/>
  </si>
  <si>
    <t>3.actor</t>
  </si>
  <si>
    <t>マスターテーブル</t>
  </si>
  <si>
    <t>sakila</t>
  </si>
  <si>
    <t>actor</t>
  </si>
  <si>
    <t>actor_id</t>
  </si>
  <si>
    <t>smallint unsigned</t>
  </si>
  <si>
    <t>auto_increment</t>
  </si>
  <si>
    <t>first_name</t>
  </si>
  <si>
    <t>varchar(45)</t>
  </si>
  <si>
    <t>last_name</t>
  </si>
  <si>
    <t>last_update</t>
  </si>
  <si>
    <t>CURRENT_TIMESTAMP on update CURRENT_TIMESTAMP</t>
    <phoneticPr fontId="8"/>
  </si>
  <si>
    <t>PRIMARY</t>
  </si>
  <si>
    <t>UNIQUE</t>
  </si>
  <si>
    <t>BTREE</t>
    <phoneticPr fontId="8"/>
  </si>
  <si>
    <t>idx_actor_last_name</t>
  </si>
  <si>
    <t>NONUNIQUE</t>
  </si>
  <si>
    <t>3.actor_info</t>
  </si>
  <si>
    <t>actor_info</t>
  </si>
  <si>
    <t>VIEW</t>
  </si>
  <si>
    <t>0</t>
  </si>
  <si>
    <t>film_info</t>
  </si>
  <si>
    <t>3.address</t>
  </si>
  <si>
    <t>address</t>
  </si>
  <si>
    <t>address_id</t>
  </si>
  <si>
    <t>address2</t>
  </si>
  <si>
    <t>district</t>
  </si>
  <si>
    <t>city_id</t>
  </si>
  <si>
    <t>postal_code</t>
  </si>
  <si>
    <t>varchar(10)</t>
  </si>
  <si>
    <t>phone</t>
  </si>
  <si>
    <t>location</t>
  </si>
  <si>
    <t>geometry</t>
  </si>
  <si>
    <t>idx_fk_city_id</t>
  </si>
  <si>
    <t>idx_location</t>
  </si>
  <si>
    <t>SPATIAL</t>
    <phoneticPr fontId="8"/>
  </si>
  <si>
    <t>addLine</t>
    <phoneticPr fontId="8"/>
  </si>
  <si>
    <t>city.city_id</t>
  </si>
  <si>
    <t>fk_address_city</t>
  </si>
  <si>
    <t>FOREIGN KEY</t>
  </si>
  <si>
    <t>3.category</t>
  </si>
  <si>
    <t>category</t>
  </si>
  <si>
    <t>category_id</t>
  </si>
  <si>
    <t>tinyint unsigned</t>
  </si>
  <si>
    <t>name</t>
  </si>
  <si>
    <t>varchar(25)</t>
  </si>
  <si>
    <t>country_id</t>
  </si>
  <si>
    <t>idx_fk_country_id</t>
  </si>
  <si>
    <t>country.country_id</t>
  </si>
  <si>
    <t>fk_city_country</t>
  </si>
  <si>
    <t>3.customer</t>
  </si>
  <si>
    <t>customer</t>
  </si>
  <si>
    <t>customer_id</t>
  </si>
  <si>
    <t>store_id</t>
  </si>
  <si>
    <t>email</t>
  </si>
  <si>
    <t>active</t>
  </si>
  <si>
    <t>tinyint(1)</t>
  </si>
  <si>
    <t>1</t>
  </si>
  <si>
    <t>create_date</t>
  </si>
  <si>
    <t>idx_fk_store_id</t>
  </si>
  <si>
    <t>idx_fk_address_id</t>
  </si>
  <si>
    <t>idx_last_name</t>
  </si>
  <si>
    <t>address.address_id</t>
  </si>
  <si>
    <t>fk_customer_address</t>
  </si>
  <si>
    <t>store.store_id</t>
  </si>
  <si>
    <t>fk_customer_store</t>
  </si>
  <si>
    <t>3.customer_list</t>
  </si>
  <si>
    <t>customer_list</t>
  </si>
  <si>
    <t>ID</t>
  </si>
  <si>
    <t>varchar(91)</t>
  </si>
  <si>
    <t>zip code</t>
  </si>
  <si>
    <t>notes</t>
  </si>
  <si>
    <t>varchar(6)</t>
  </si>
  <si>
    <t/>
  </si>
  <si>
    <t>SID</t>
  </si>
  <si>
    <t>3.film</t>
  </si>
  <si>
    <t>film</t>
  </si>
  <si>
    <t>film_id</t>
  </si>
  <si>
    <t>title</t>
  </si>
  <si>
    <t>varchar(128)</t>
  </si>
  <si>
    <t>description</t>
  </si>
  <si>
    <t>release_year</t>
  </si>
  <si>
    <t>year</t>
  </si>
  <si>
    <t>language_id</t>
  </si>
  <si>
    <t>original_language_id</t>
  </si>
  <si>
    <t>rental_duration</t>
  </si>
  <si>
    <t>3</t>
  </si>
  <si>
    <t>rental_rate</t>
  </si>
  <si>
    <t>decimal(4,2)</t>
  </si>
  <si>
    <t>4.99</t>
  </si>
  <si>
    <t>length</t>
  </si>
  <si>
    <t>replacement_cost</t>
  </si>
  <si>
    <t>decimal(5,2)</t>
  </si>
  <si>
    <t>19.99</t>
  </si>
  <si>
    <t>rating</t>
  </si>
  <si>
    <t>enum('G','PG','PG-13','R','NC-17')</t>
  </si>
  <si>
    <t>G</t>
  </si>
  <si>
    <t>special_features</t>
  </si>
  <si>
    <t>set('Trailers','Commentaries','Deleted Scenes','Behind the Scenes')</t>
  </si>
  <si>
    <t>idx_title</t>
  </si>
  <si>
    <t>idx_fk_language_id</t>
  </si>
  <si>
    <t>idx_fk_original_language_id</t>
  </si>
  <si>
    <t>language.language_id</t>
  </si>
  <si>
    <t>fk_film_language</t>
  </si>
  <si>
    <t>fk_film_language_original</t>
  </si>
  <si>
    <t>3.film_actor</t>
  </si>
  <si>
    <t>film_actor</t>
  </si>
  <si>
    <t>PRIMARY</t>
    <phoneticPr fontId="8"/>
  </si>
  <si>
    <t>actor_id, film_id</t>
    <phoneticPr fontId="8"/>
  </si>
  <si>
    <t>UNIQUE</t>
    <phoneticPr fontId="8"/>
  </si>
  <si>
    <t>idx_fk_film_id</t>
  </si>
  <si>
    <t>actor.actor_id</t>
  </si>
  <si>
    <t>fk_film_actor_actor</t>
  </si>
  <si>
    <t>film.film_id</t>
  </si>
  <si>
    <t>fk_film_actor_film</t>
  </si>
  <si>
    <t>3.film_category</t>
  </si>
  <si>
    <t>film_category</t>
  </si>
  <si>
    <t>film_id, category_id</t>
    <phoneticPr fontId="8"/>
  </si>
  <si>
    <t>fk_film_category_category</t>
  </si>
  <si>
    <t>category.category_id</t>
  </si>
  <si>
    <t>fk_film_category_film</t>
  </si>
  <si>
    <t>3.film_list</t>
  </si>
  <si>
    <t>film_list</t>
  </si>
  <si>
    <t>FID</t>
  </si>
  <si>
    <t>price</t>
  </si>
  <si>
    <t>actors</t>
  </si>
  <si>
    <t>3.film_text</t>
  </si>
  <si>
    <t>film_text</t>
  </si>
  <si>
    <t>varchar(255)</t>
  </si>
  <si>
    <t>FULLTEXT</t>
    <phoneticPr fontId="8"/>
  </si>
  <si>
    <t>idx_title_description</t>
    <phoneticPr fontId="8"/>
  </si>
  <si>
    <t>title, description</t>
    <phoneticPr fontId="8"/>
  </si>
  <si>
    <t>NONUNIQUE</t>
    <phoneticPr fontId="8"/>
  </si>
  <si>
    <t>3.inventory</t>
  </si>
  <si>
    <t>inventory</t>
  </si>
  <si>
    <t>inventory_id</t>
  </si>
  <si>
    <t>mediumint unsigned</t>
  </si>
  <si>
    <t>idx_store_id_film_id</t>
    <phoneticPr fontId="8"/>
  </si>
  <si>
    <t>store_id, film_id</t>
    <phoneticPr fontId="8"/>
  </si>
  <si>
    <t>fk_inventory_film</t>
  </si>
  <si>
    <t>fk_inventory_store</t>
  </si>
  <si>
    <t>3.language</t>
  </si>
  <si>
    <t>language</t>
  </si>
  <si>
    <t>char(20)</t>
  </si>
  <si>
    <t>3.nicer_but_slower_film_l...</t>
  </si>
  <si>
    <t>nicer_but_slower_film_list</t>
  </si>
  <si>
    <t>3.payment</t>
  </si>
  <si>
    <t>payment</t>
  </si>
  <si>
    <t>payment_id</t>
  </si>
  <si>
    <t>staff_id</t>
  </si>
  <si>
    <t>rental_id</t>
  </si>
  <si>
    <t>amount</t>
  </si>
  <si>
    <t>payment_date</t>
  </si>
  <si>
    <t>idx_fk_staff_id</t>
  </si>
  <si>
    <t>idx_fk_customer_id</t>
  </si>
  <si>
    <t>fk_payment_rental</t>
  </si>
  <si>
    <t>customer.customer_id</t>
  </si>
  <si>
    <t>fk_payment_customer</t>
  </si>
  <si>
    <t>rental.rental_id</t>
  </si>
  <si>
    <t>staff.staff_id</t>
  </si>
  <si>
    <t>fk_payment_staff</t>
  </si>
  <si>
    <t>3.rental</t>
  </si>
  <si>
    <t>rental</t>
  </si>
  <si>
    <t>rental_date</t>
  </si>
  <si>
    <t>return_date</t>
  </si>
  <si>
    <t>rental_date</t>
    <phoneticPr fontId="8"/>
  </si>
  <si>
    <t>rental_date, inventory_id, customer_id</t>
    <phoneticPr fontId="8"/>
  </si>
  <si>
    <t>idx_fk_inventory_id</t>
  </si>
  <si>
    <t>fk_rental_customer</t>
  </si>
  <si>
    <t>inventory.inventory_id</t>
  </si>
  <si>
    <t>fk_rental_inventory</t>
  </si>
  <si>
    <t>fk_rental_staff</t>
  </si>
  <si>
    <t>3.sales_by_film_category</t>
  </si>
  <si>
    <t>sales_by_film_category</t>
  </si>
  <si>
    <t>total_sales</t>
  </si>
  <si>
    <t>decimal(27,2)</t>
  </si>
  <si>
    <t>3.sales_by_store</t>
  </si>
  <si>
    <t>sales_by_store</t>
  </si>
  <si>
    <t>store</t>
  </si>
  <si>
    <t>varchar(101)</t>
  </si>
  <si>
    <t>manager</t>
  </si>
  <si>
    <t>3.staff</t>
  </si>
  <si>
    <t>staff</t>
  </si>
  <si>
    <t>picture</t>
  </si>
  <si>
    <t>blob</t>
  </si>
  <si>
    <t>username</t>
  </si>
  <si>
    <t>varchar(16)</t>
  </si>
  <si>
    <t>password</t>
  </si>
  <si>
    <t>varchar(40)</t>
  </si>
  <si>
    <t>fk_staff_address</t>
  </si>
  <si>
    <t>fk_staff_store</t>
  </si>
  <si>
    <t>3.staff_list</t>
  </si>
  <si>
    <t>staff_list</t>
  </si>
  <si>
    <t>3.store</t>
  </si>
  <si>
    <t>manager_staff_id</t>
  </si>
  <si>
    <t>idx_unique_manager</t>
  </si>
  <si>
    <t>fk_store_address</t>
  </si>
  <si>
    <t>fk_store_staff</t>
  </si>
  <si>
    <t>tinyint unsigned</t>
    <phoneticPr fontId="8"/>
  </si>
  <si>
    <t>smallint unsigned</t>
    <phoneticPr fontId="4"/>
  </si>
  <si>
    <t>smallint</t>
    <phoneticPr fontId="4"/>
  </si>
  <si>
    <t>tinyint</t>
    <phoneticPr fontId="4"/>
  </si>
  <si>
    <t>tinyint unsigned</t>
    <phoneticPr fontId="4"/>
  </si>
  <si>
    <t>int unsigned</t>
    <phoneticPr fontId="4"/>
  </si>
  <si>
    <t>bigint unsigned</t>
    <phoneticPr fontId="4"/>
  </si>
  <si>
    <t>mediumint unsigned</t>
    <phoneticPr fontId="4"/>
  </si>
  <si>
    <t>整数型。0から4,294,967,295まで。</t>
    <phoneticPr fontId="4"/>
  </si>
  <si>
    <t>整数型。0から255まで。</t>
    <phoneticPr fontId="4"/>
  </si>
  <si>
    <t>整数型。0から65,535まで。</t>
    <phoneticPr fontId="4"/>
  </si>
  <si>
    <t>整数型。0から16,777,215まで。</t>
    <phoneticPr fontId="4"/>
  </si>
  <si>
    <t>整数型。0から18,446,744,073,709,551,615まで。</t>
    <phoneticPr fontId="4"/>
  </si>
  <si>
    <t>マスターテーブル</t>
    <phoneticPr fontId="8"/>
  </si>
  <si>
    <t>smallint unsigned</t>
    <phoneticPr fontId="8"/>
  </si>
  <si>
    <t>varchar(50)</t>
    <phoneticPr fontId="8"/>
  </si>
  <si>
    <t>last_update</t>
    <phoneticPr fontId="8"/>
  </si>
  <si>
    <t>timestamp</t>
    <phoneticPr fontId="8"/>
  </si>
  <si>
    <t>country_id</t>
    <phoneticPr fontId="8"/>
  </si>
  <si>
    <t>country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</si>
</sst>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6" formatCode="&quot;¥&quot;#,##0;[Red]&quot;¥&quot;\-#,##0"/>
    <numFmt numFmtId="8" formatCode="&quot;¥&quot;#,##0.00;[Red]&quot;¥&quot;\-#,##0.00"/>
    <numFmt numFmtId="176" formatCode="yyyy/mm/dd"/>
    <numFmt numFmtId="177" formatCode="#,##0_ ;[Red]\-#,##0\ "/>
    <numFmt numFmtId="178" formatCode="0.0%_ "/>
    <numFmt numFmtId="179" formatCode="&quot;¥&quot;#,##0_ ;[Red]&quot;¥&quot;\-#,##0\ "/>
    <numFmt numFmtId="180" formatCode="#,##0.0_ ;[Red]\-#,##0.0\ "/>
    <numFmt numFmtId="181" formatCode="yyyy/mm/dd\ hh:mm:ss"/>
    <numFmt numFmtId="182" formatCode="\ @"/>
    <numFmt numFmtId="183" formatCode="#,##0.0;[Red]\-#,##0.0"/>
    <numFmt numFmtId="184" formatCode="0_ ;[Red]\-0\ "/>
    <numFmt numFmtId="185" formatCode="&quot;YES&quot;"/>
  </numFmts>
  <fonts count="70">
    <font>
      <sz val="9"/>
      <color rgb="FF000000"/>
      <name val="メイリオ"/>
      <family val="3"/>
      <charset val="128"/>
    </font>
    <font>
      <sz val="9"/>
      <color theme="1"/>
      <name val="Meiryo UI"/>
      <family val="2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0"/>
      <name val="ＭＳ 明朝"/>
      <family val="1"/>
      <charset val="128"/>
    </font>
    <font>
      <sz val="11"/>
      <color rgb="FF000000"/>
      <name val="ＭＳ Ｐゴシック"/>
      <family val="3"/>
      <charset val="128"/>
    </font>
    <font>
      <u/>
      <sz val="9"/>
      <color theme="10"/>
      <name val="メイリオ"/>
      <family val="3"/>
      <charset val="128"/>
    </font>
    <font>
      <sz val="6"/>
      <name val="メイリオ"/>
      <family val="3"/>
      <charset val="128"/>
    </font>
    <font>
      <sz val="9"/>
      <color theme="0"/>
      <name val="Meiryo UI"/>
      <family val="2"/>
      <charset val="128"/>
    </font>
    <font>
      <b/>
      <sz val="18"/>
      <color theme="3"/>
      <name val="ＭＳ Ｐゴシック"/>
      <family val="2"/>
      <charset val="128"/>
      <scheme val="major"/>
    </font>
    <font>
      <b/>
      <sz val="9"/>
      <color theme="0"/>
      <name val="Meiryo UI"/>
      <family val="2"/>
      <charset val="128"/>
    </font>
    <font>
      <sz val="9"/>
      <color rgb="FF9C6500"/>
      <name val="Meiryo UI"/>
      <family val="2"/>
      <charset val="128"/>
    </font>
    <font>
      <sz val="9"/>
      <color rgb="FFFA7D00"/>
      <name val="Meiryo UI"/>
      <family val="2"/>
      <charset val="128"/>
    </font>
    <font>
      <sz val="9"/>
      <color rgb="FF9C0006"/>
      <name val="Meiryo UI"/>
      <family val="2"/>
      <charset val="128"/>
    </font>
    <font>
      <b/>
      <sz val="9"/>
      <color rgb="FFFA7D00"/>
      <name val="Meiryo UI"/>
      <family val="2"/>
      <charset val="128"/>
    </font>
    <font>
      <sz val="9"/>
      <color rgb="FFFF0000"/>
      <name val="Meiryo UI"/>
      <family val="2"/>
      <charset val="128"/>
    </font>
    <font>
      <b/>
      <sz val="15"/>
      <color theme="3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1"/>
      <color theme="3"/>
      <name val="Meiryo UI"/>
      <family val="2"/>
      <charset val="128"/>
    </font>
    <font>
      <b/>
      <sz val="9"/>
      <color theme="1"/>
      <name val="Meiryo UI"/>
      <family val="2"/>
      <charset val="128"/>
    </font>
    <font>
      <b/>
      <sz val="9"/>
      <color rgb="FF3F3F3F"/>
      <name val="Meiryo UI"/>
      <family val="2"/>
      <charset val="128"/>
    </font>
    <font>
      <i/>
      <sz val="9"/>
      <color rgb="FF7F7F7F"/>
      <name val="Meiryo UI"/>
      <family val="2"/>
      <charset val="128"/>
    </font>
    <font>
      <sz val="9"/>
      <color rgb="FF3F3F76"/>
      <name val="Meiryo UI"/>
      <family val="2"/>
      <charset val="128"/>
    </font>
    <font>
      <sz val="9"/>
      <color rgb="FF006100"/>
      <name val="Meiryo UI"/>
      <family val="2"/>
      <charset val="128"/>
    </font>
    <font>
      <sz val="6"/>
      <name val="Meiryo UI"/>
      <family val="2"/>
      <charset val="128"/>
    </font>
    <font>
      <u/>
      <sz val="9"/>
      <color theme="10"/>
      <name val="Meiryo UI"/>
      <family val="2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  <font>
      <sz val="9"/>
      <color rgb="FF000000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name val="メイリオ"/>
      <family val="3"/>
      <charset val="128"/>
    </font>
    <font>
      <b/>
      <sz val="9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Meiryo UI"/>
      <family val="3"/>
      <charset val="128"/>
    </font>
    <font>
      <sz val="6"/>
      <name val="游ゴシック"/>
      <family val="3"/>
      <charset val="128"/>
    </font>
    <font>
      <u/>
      <sz val="9"/>
      <color theme="11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9"/>
      <name val="ＭＳ Ｐゴシック"/>
      <family val="3"/>
      <charset val="128"/>
      <scheme val="minor"/>
    </font>
    <font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6"/>
      <name val="ＭＳ ゴシック"/>
      <family val="3"/>
      <charset val="128"/>
    </font>
    <font>
      <b/>
      <sz val="12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b/>
      <sz val="36"/>
      <name val="ＭＳ Ｐゴシック"/>
      <family val="3"/>
      <charset val="128"/>
      <scheme val="minor"/>
    </font>
    <font>
      <b/>
      <sz val="9"/>
      <name val="ＭＳ Ｐゴシック"/>
      <family val="3"/>
      <charset val="128"/>
      <scheme val="minor"/>
    </font>
    <font>
      <b/>
      <sz val="26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b/>
      <sz val="14"/>
      <name val="ＭＳ Ｐゴシック"/>
      <family val="3"/>
      <charset val="128"/>
      <scheme val="minor"/>
    </font>
    <font>
      <b/>
      <sz val="10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ajor"/>
    </font>
  </fonts>
  <fills count="6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19">
    <xf numFmtId="0" fontId="0" fillId="0" borderId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27" borderId="42" applyNumberFormat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29" borderId="43" applyNumberFormat="0" applyFont="0" applyAlignment="0" applyProtection="0">
      <alignment vertical="center"/>
    </xf>
    <xf numFmtId="0" fontId="13" fillId="0" borderId="44" applyNumberFormat="0" applyFill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5" fillId="31" borderId="45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46" applyNumberFormat="0" applyFill="0" applyAlignment="0" applyProtection="0">
      <alignment vertical="center"/>
    </xf>
    <xf numFmtId="0" fontId="18" fillId="0" borderId="47" applyNumberFormat="0" applyFill="0" applyAlignment="0" applyProtection="0">
      <alignment vertical="center"/>
    </xf>
    <xf numFmtId="0" fontId="19" fillId="0" borderId="48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49" applyNumberFormat="0" applyFill="0" applyAlignment="0" applyProtection="0">
      <alignment vertical="center"/>
    </xf>
    <xf numFmtId="0" fontId="21" fillId="31" borderId="50" applyNumberForma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32" borderId="45" applyNumberFormat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  <xf numFmtId="0" fontId="26" fillId="0" borderId="0" applyNumberFormat="0" applyFill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7" fillId="36" borderId="0" applyNumberFormat="0" applyBorder="0" applyAlignment="0" applyProtection="0">
      <alignment vertical="center"/>
    </xf>
    <xf numFmtId="0" fontId="27" fillId="37" borderId="0" applyNumberFormat="0" applyBorder="0" applyAlignment="0" applyProtection="0">
      <alignment vertical="center"/>
    </xf>
    <xf numFmtId="0" fontId="27" fillId="38" borderId="0" applyNumberFormat="0" applyBorder="0" applyAlignment="0" applyProtection="0">
      <alignment vertical="center"/>
    </xf>
    <xf numFmtId="0" fontId="27" fillId="39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37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1" borderId="0" applyNumberFormat="0" applyBorder="0" applyAlignment="0" applyProtection="0">
      <alignment vertical="center"/>
    </xf>
    <xf numFmtId="0" fontId="28" fillId="42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8" borderId="0" applyNumberFormat="0" applyBorder="0" applyAlignment="0" applyProtection="0">
      <alignment vertical="center"/>
    </xf>
    <xf numFmtId="0" fontId="28" fillId="49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52" borderId="51" applyNumberFormat="0" applyAlignment="0" applyProtection="0">
      <alignment vertical="center"/>
    </xf>
    <xf numFmtId="0" fontId="31" fillId="53" borderId="0" applyNumberFormat="0" applyBorder="0" applyAlignment="0" applyProtection="0">
      <alignment vertical="center"/>
    </xf>
    <xf numFmtId="0" fontId="27" fillId="54" borderId="52" applyNumberFormat="0" applyFont="0" applyAlignment="0" applyProtection="0">
      <alignment vertical="center"/>
    </xf>
    <xf numFmtId="0" fontId="32" fillId="0" borderId="53" applyNumberFormat="0" applyFill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34" fillId="55" borderId="54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55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8" fillId="0" borderId="57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58" applyNumberFormat="0" applyFill="0" applyAlignment="0" applyProtection="0">
      <alignment vertical="center"/>
    </xf>
    <xf numFmtId="0" fontId="40" fillId="55" borderId="59" applyNumberFormat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39" borderId="54" applyNumberFormat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177" fontId="46" fillId="0" borderId="0" applyFont="0" applyFill="0" applyBorder="0" applyAlignment="0" applyProtection="0">
      <alignment vertical="center"/>
    </xf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40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46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8" fontId="46" fillId="0" borderId="0" applyFon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46" fillId="61" borderId="0" applyNumberFormat="0" applyFont="0" applyBorder="0" applyAlignment="0" applyProtection="0">
      <alignment vertical="center"/>
    </xf>
    <xf numFmtId="181" fontId="46" fillId="0" borderId="0" applyNumberFormat="0" applyFill="0" applyBorder="0" applyAlignment="0" applyProtection="0">
      <alignment vertical="center"/>
    </xf>
    <xf numFmtId="0" fontId="56" fillId="60" borderId="0" applyBorder="0" applyProtection="0">
      <alignment horizontal="center" vertical="center"/>
    </xf>
    <xf numFmtId="180" fontId="46" fillId="0" borderId="0" applyFont="0" applyFill="0" applyBorder="0" applyAlignment="0" applyProtection="0">
      <alignment vertical="center"/>
    </xf>
    <xf numFmtId="177" fontId="46" fillId="0" borderId="0" applyFont="0" applyFill="0" applyBorder="0" applyAlignment="0" applyProtection="0">
      <alignment vertical="center"/>
    </xf>
    <xf numFmtId="0" fontId="55" fillId="59" borderId="0" applyBorder="0" applyProtection="0">
      <alignment vertical="center"/>
    </xf>
    <xf numFmtId="0" fontId="54" fillId="58" borderId="0" applyBorder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60" borderId="0" applyBorder="0" applyProtection="0">
      <alignment horizontal="centerContinuous" vertical="center"/>
    </xf>
    <xf numFmtId="0" fontId="47" fillId="0" borderId="0">
      <alignment vertical="center"/>
    </xf>
    <xf numFmtId="0" fontId="2" fillId="0" borderId="0">
      <alignment vertical="center"/>
    </xf>
    <xf numFmtId="0" fontId="58" fillId="0" borderId="0"/>
    <xf numFmtId="0" fontId="59" fillId="0" borderId="0"/>
    <xf numFmtId="0" fontId="58" fillId="0" borderId="0"/>
    <xf numFmtId="0" fontId="59" fillId="0" borderId="0"/>
    <xf numFmtId="0" fontId="2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467">
    <xf numFmtId="0" fontId="0" fillId="0" borderId="0" xfId="0">
      <alignment vertical="center"/>
    </xf>
    <xf numFmtId="0" fontId="49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>
      <alignment vertical="center"/>
    </xf>
    <xf numFmtId="0" fontId="47" fillId="0" borderId="0" xfId="0" applyFont="1" applyFill="1" applyAlignment="1">
      <alignment horizontal="center" wrapText="1"/>
    </xf>
    <xf numFmtId="0" fontId="0" fillId="0" borderId="0" xfId="0" applyFont="1" applyFill="1" applyAlignment="1">
      <alignment vertical="center"/>
    </xf>
    <xf numFmtId="0" fontId="0" fillId="2" borderId="1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vertical="center"/>
    </xf>
    <xf numFmtId="0" fontId="47" fillId="0" borderId="0" xfId="0" applyFont="1" applyFill="1" applyAlignment="1">
      <alignment wrapText="1"/>
    </xf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>
      <alignment vertical="center"/>
    </xf>
    <xf numFmtId="0" fontId="0" fillId="0" borderId="41" xfId="0" applyFont="1" applyFill="1" applyBorder="1" applyAlignment="1">
      <alignment vertical="center"/>
    </xf>
    <xf numFmtId="0" fontId="0" fillId="0" borderId="40" xfId="0" applyFont="1" applyFill="1" applyBorder="1" applyAlignment="1">
      <alignment vertical="center"/>
    </xf>
    <xf numFmtId="0" fontId="47" fillId="0" borderId="27" xfId="0" applyFont="1" applyFill="1" applyBorder="1" applyAlignment="1" applyProtection="1">
      <alignment vertical="center" shrinkToFit="1"/>
      <protection locked="0"/>
    </xf>
    <xf numFmtId="49" fontId="47" fillId="0" borderId="27" xfId="0" applyNumberFormat="1" applyFont="1" applyFill="1" applyBorder="1" applyAlignment="1" applyProtection="1">
      <alignment horizontal="center" vertical="center" shrinkToFit="1"/>
      <protection locked="0"/>
    </xf>
    <xf numFmtId="0" fontId="47" fillId="0" borderId="0" xfId="0" applyNumberFormat="1" applyFont="1" applyFill="1" applyAlignment="1" applyProtection="1">
      <alignment vertical="center" shrinkToFit="1"/>
      <protection locked="0"/>
    </xf>
    <xf numFmtId="49" fontId="47" fillId="0" borderId="0" xfId="0" applyNumberFormat="1" applyFont="1" applyFill="1" applyAlignment="1" applyProtection="1">
      <alignment vertical="center" shrinkToFit="1"/>
      <protection locked="0"/>
    </xf>
    <xf numFmtId="0" fontId="50" fillId="56" borderId="1" xfId="0" applyFont="1" applyFill="1" applyBorder="1" applyAlignment="1" applyProtection="1">
      <alignment horizontal="center" vertical="center" wrapText="1"/>
      <protection locked="0"/>
    </xf>
    <xf numFmtId="0" fontId="48" fillId="0" borderId="0" xfId="0" applyFont="1" applyFill="1" applyProtection="1">
      <alignment vertical="center"/>
      <protection locked="0"/>
    </xf>
    <xf numFmtId="0" fontId="47" fillId="0" borderId="0" xfId="0" applyFont="1" applyFill="1" applyProtection="1">
      <alignment vertical="center"/>
      <protection locked="0"/>
    </xf>
    <xf numFmtId="0" fontId="47" fillId="57" borderId="60" xfId="0" applyFont="1" applyFill="1" applyBorder="1" applyAlignment="1" applyProtection="1">
      <alignment horizontal="centerContinuous" vertical="center"/>
      <protection locked="0"/>
    </xf>
    <xf numFmtId="0" fontId="48" fillId="57" borderId="60" xfId="0" applyFont="1" applyFill="1" applyBorder="1" applyAlignment="1" applyProtection="1">
      <alignment horizontal="center" vertical="center"/>
      <protection locked="0"/>
    </xf>
    <xf numFmtId="0" fontId="47" fillId="0" borderId="1" xfId="0" applyFont="1" applyFill="1" applyBorder="1" applyAlignment="1">
      <alignment vertical="center" shrinkToFit="1"/>
    </xf>
    <xf numFmtId="0" fontId="0" fillId="2" borderId="1" xfId="0" applyFont="1" applyFill="1" applyBorder="1" applyAlignment="1">
      <alignment vertical="center" wrapText="1"/>
    </xf>
    <xf numFmtId="0" fontId="47" fillId="2" borderId="1" xfId="0" applyFont="1" applyFill="1" applyBorder="1" applyAlignment="1">
      <alignment vertical="center" wrapText="1"/>
    </xf>
    <xf numFmtId="0" fontId="47" fillId="0" borderId="1" xfId="0" applyFont="1" applyFill="1" applyBorder="1" applyAlignment="1" applyProtection="1">
      <alignment vertical="center" shrinkToFit="1"/>
      <protection locked="0"/>
    </xf>
    <xf numFmtId="176" fontId="47" fillId="0" borderId="1" xfId="0" applyNumberFormat="1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shrinkToFit="1"/>
      <protection locked="0"/>
    </xf>
    <xf numFmtId="14" fontId="47" fillId="0" borderId="1" xfId="0" applyNumberFormat="1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wrapText="1"/>
      <protection locked="0"/>
    </xf>
    <xf numFmtId="0" fontId="47" fillId="0" borderId="1" xfId="0" applyFont="1" applyFill="1" applyBorder="1" applyAlignment="1">
      <alignment vertical="center"/>
    </xf>
    <xf numFmtId="0" fontId="0" fillId="0" borderId="0" xfId="0" applyFont="1" applyFill="1" applyBorder="1" applyAlignment="1" applyProtection="1">
      <alignment vertical="center"/>
      <protection locked="0"/>
    </xf>
    <xf numFmtId="0" fontId="48" fillId="0" borderId="0" xfId="0" applyFont="1" applyFill="1" applyAlignment="1" applyProtection="1">
      <alignment vertical="center"/>
      <protection locked="0"/>
    </xf>
    <xf numFmtId="0" fontId="48" fillId="0" borderId="0" xfId="0" applyFont="1" applyFill="1" applyAlignment="1">
      <alignment vertical="center"/>
    </xf>
    <xf numFmtId="0" fontId="56" fillId="60" borderId="3" xfId="101" applyBorder="1" applyAlignment="1" applyProtection="1">
      <alignment horizontal="centerContinuous" vertical="center"/>
      <protection locked="0"/>
    </xf>
    <xf numFmtId="0" fontId="56" fillId="60" borderId="5" xfId="101" applyBorder="1" applyAlignment="1" applyProtection="1">
      <alignment horizontal="centerContinuous" vertical="center"/>
      <protection locked="0"/>
    </xf>
    <xf numFmtId="0" fontId="56" fillId="60" borderId="13" xfId="101" applyBorder="1" applyAlignment="1" applyProtection="1">
      <alignment horizontal="centerContinuous" vertical="center"/>
      <protection locked="0"/>
    </xf>
    <xf numFmtId="0" fontId="56" fillId="60" borderId="64" xfId="101" applyBorder="1" applyProtection="1">
      <alignment horizontal="center" vertical="center"/>
      <protection locked="0"/>
    </xf>
    <xf numFmtId="0" fontId="56" fillId="60" borderId="40" xfId="101" applyBorder="1" applyProtection="1">
      <alignment horizontal="center" vertical="center"/>
      <protection locked="0"/>
    </xf>
    <xf numFmtId="0" fontId="56" fillId="60" borderId="65" xfId="101" applyBorder="1" applyProtection="1">
      <alignment horizontal="center" vertical="center"/>
      <protection locked="0"/>
    </xf>
    <xf numFmtId="0" fontId="48" fillId="0" borderId="66" xfId="0" applyFont="1" applyFill="1" applyBorder="1" applyAlignment="1" applyProtection="1">
      <alignment horizontal="left" vertical="center"/>
      <protection locked="0"/>
    </xf>
    <xf numFmtId="0" fontId="48" fillId="0" borderId="63" xfId="0" applyFont="1" applyFill="1" applyBorder="1" applyAlignment="1" applyProtection="1">
      <alignment horizontal="left" vertical="center"/>
      <protection locked="0"/>
    </xf>
    <xf numFmtId="0" fontId="0" fillId="0" borderId="63" xfId="0" applyFont="1" applyFill="1" applyBorder="1" applyAlignment="1" applyProtection="1">
      <alignment vertical="center"/>
      <protection locked="0"/>
    </xf>
    <xf numFmtId="0" fontId="0" fillId="0" borderId="67" xfId="0" applyFont="1" applyFill="1" applyBorder="1" applyAlignment="1">
      <alignment vertical="center"/>
    </xf>
    <xf numFmtId="0" fontId="0" fillId="0" borderId="63" xfId="0" applyFont="1" applyFill="1" applyBorder="1" applyAlignment="1">
      <alignment vertical="center"/>
    </xf>
    <xf numFmtId="0" fontId="56" fillId="60" borderId="68" xfId="101" applyBorder="1" applyProtection="1">
      <alignment horizontal="center" vertical="center"/>
      <protection locked="0"/>
    </xf>
    <xf numFmtId="0" fontId="47" fillId="0" borderId="69" xfId="0" applyFont="1" applyFill="1" applyBorder="1" applyAlignment="1" applyProtection="1">
      <alignment vertical="center" shrinkToFit="1"/>
      <protection locked="0"/>
    </xf>
    <xf numFmtId="49" fontId="47" fillId="0" borderId="69" xfId="0" applyNumberFormat="1" applyFont="1" applyFill="1" applyBorder="1" applyAlignment="1" applyProtection="1">
      <alignment vertical="center" shrinkToFit="1"/>
      <protection locked="0"/>
    </xf>
    <xf numFmtId="49" fontId="47" fillId="0" borderId="69" xfId="0" applyNumberFormat="1" applyFont="1" applyFill="1" applyBorder="1" applyAlignment="1" applyProtection="1">
      <alignment horizontal="left" vertical="center" shrinkToFit="1"/>
      <protection locked="0"/>
    </xf>
    <xf numFmtId="0" fontId="47" fillId="0" borderId="69" xfId="0" applyFont="1" applyFill="1" applyBorder="1" applyAlignment="1" applyProtection="1">
      <alignment vertical="center" wrapText="1" shrinkToFit="1"/>
      <protection locked="0"/>
    </xf>
    <xf numFmtId="0" fontId="47" fillId="0" borderId="70" xfId="0" applyFont="1" applyFill="1" applyBorder="1" applyAlignment="1" applyProtection="1">
      <alignment vertical="center" shrinkToFit="1"/>
      <protection locked="0"/>
    </xf>
    <xf numFmtId="49" fontId="47" fillId="0" borderId="70" xfId="0" applyNumberFormat="1" applyFont="1" applyFill="1" applyBorder="1" applyAlignment="1" applyProtection="1">
      <alignment vertical="center" shrinkToFit="1"/>
      <protection locked="0"/>
    </xf>
    <xf numFmtId="0" fontId="47" fillId="0" borderId="0" xfId="0" applyFont="1" applyFill="1" applyBorder="1" applyAlignment="1" applyProtection="1">
      <alignment vertical="center" shrinkToFit="1"/>
      <protection locked="0"/>
    </xf>
    <xf numFmtId="49" fontId="47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56" fillId="60" borderId="66" xfId="101" applyBorder="1" applyProtection="1">
      <alignment horizontal="center" vertical="center"/>
      <protection locked="0"/>
    </xf>
    <xf numFmtId="0" fontId="47" fillId="0" borderId="63" xfId="0" applyFont="1" applyFill="1" applyBorder="1" applyAlignment="1" applyProtection="1">
      <alignment vertical="center" shrinkToFit="1"/>
      <protection locked="0"/>
    </xf>
    <xf numFmtId="49" fontId="47" fillId="0" borderId="63" xfId="0" applyNumberFormat="1" applyFont="1" applyFill="1" applyBorder="1" applyAlignment="1" applyProtection="1">
      <alignment vertical="center" shrinkToFit="1"/>
      <protection locked="0"/>
    </xf>
    <xf numFmtId="49" fontId="47" fillId="0" borderId="63" xfId="0" applyNumberFormat="1" applyFont="1" applyFill="1" applyBorder="1" applyAlignment="1" applyProtection="1">
      <alignment horizontal="left" vertical="center" shrinkToFit="1"/>
      <protection locked="0"/>
    </xf>
    <xf numFmtId="0" fontId="47" fillId="0" borderId="63" xfId="0" applyFont="1" applyFill="1" applyBorder="1" applyAlignment="1" applyProtection="1">
      <alignment vertical="center" wrapText="1" shrinkToFit="1"/>
      <protection locked="0"/>
    </xf>
    <xf numFmtId="0" fontId="47" fillId="0" borderId="63" xfId="0" applyFont="1" applyFill="1" applyBorder="1" applyAlignment="1">
      <alignment vertical="center" shrinkToFit="1"/>
    </xf>
    <xf numFmtId="0" fontId="47" fillId="0" borderId="67" xfId="0" applyFont="1" applyFill="1" applyBorder="1" applyAlignment="1" applyProtection="1">
      <alignment vertical="center" shrinkToFit="1"/>
      <protection locked="0"/>
    </xf>
    <xf numFmtId="49" fontId="47" fillId="0" borderId="67" xfId="0" applyNumberFormat="1" applyFont="1" applyFill="1" applyBorder="1" applyAlignment="1" applyProtection="1">
      <alignment vertical="center" shrinkToFit="1"/>
      <protection locked="0"/>
    </xf>
    <xf numFmtId="0" fontId="47" fillId="57" borderId="69" xfId="0" applyFont="1" applyFill="1" applyBorder="1" applyAlignment="1" applyProtection="1">
      <alignment vertical="center"/>
      <protection locked="0"/>
    </xf>
    <xf numFmtId="0" fontId="47" fillId="0" borderId="0" xfId="0" applyNumberFormat="1" applyFont="1" applyFill="1" applyAlignment="1" applyProtection="1">
      <alignment horizontal="center" vertical="center" shrinkToFit="1"/>
      <protection locked="0"/>
    </xf>
    <xf numFmtId="49" fontId="47" fillId="0" borderId="0" xfId="0" applyNumberFormat="1" applyFont="1" applyFill="1" applyAlignment="1" applyProtection="1">
      <alignment horizontal="center" vertical="center" shrinkToFit="1"/>
      <protection locked="0"/>
    </xf>
    <xf numFmtId="0" fontId="48" fillId="0" borderId="63" xfId="0" applyFont="1" applyFill="1" applyBorder="1" applyAlignment="1" applyProtection="1">
      <alignment vertical="center"/>
      <protection locked="0"/>
    </xf>
    <xf numFmtId="0" fontId="48" fillId="0" borderId="67" xfId="0" applyFont="1" applyFill="1" applyBorder="1" applyAlignment="1" applyProtection="1">
      <alignment vertical="center"/>
      <protection locked="0"/>
    </xf>
    <xf numFmtId="0" fontId="48" fillId="0" borderId="67" xfId="0" applyFont="1" applyFill="1" applyBorder="1" applyAlignment="1">
      <alignment vertical="center"/>
    </xf>
    <xf numFmtId="176" fontId="47" fillId="0" borderId="63" xfId="0" applyNumberFormat="1" applyFont="1" applyFill="1" applyBorder="1" applyAlignment="1" applyProtection="1">
      <alignment vertical="center" shrinkToFit="1"/>
      <protection locked="0"/>
    </xf>
    <xf numFmtId="0" fontId="47" fillId="0" borderId="0" xfId="0" applyFont="1" applyFill="1" applyBorder="1" applyAlignment="1" applyProtection="1">
      <alignment vertical="center"/>
      <protection locked="0"/>
    </xf>
    <xf numFmtId="14" fontId="47" fillId="0" borderId="0" xfId="0" applyNumberFormat="1" applyFont="1" applyFill="1" applyProtection="1">
      <alignment vertical="center"/>
      <protection locked="0"/>
    </xf>
    <xf numFmtId="0" fontId="0" fillId="0" borderId="63" xfId="0" applyFont="1" applyFill="1" applyBorder="1" applyAlignment="1" applyProtection="1">
      <alignment vertical="center" shrinkToFit="1"/>
      <protection locked="0"/>
    </xf>
    <xf numFmtId="0" fontId="0" fillId="0" borderId="63" xfId="0" applyFont="1" applyFill="1" applyBorder="1" applyAlignment="1">
      <alignment vertical="center" shrinkToFit="1"/>
    </xf>
    <xf numFmtId="0" fontId="0" fillId="0" borderId="67" xfId="0" applyFont="1" applyFill="1" applyBorder="1" applyAlignment="1">
      <alignment vertical="center" shrinkToFit="1"/>
    </xf>
    <xf numFmtId="0" fontId="57" fillId="0" borderId="0" xfId="112" applyFont="1" applyFill="1" applyAlignment="1">
      <alignment vertical="center"/>
    </xf>
    <xf numFmtId="49" fontId="57" fillId="0" borderId="0" xfId="112" applyNumberFormat="1" applyFont="1" applyFill="1" applyAlignment="1">
      <alignment vertical="center"/>
    </xf>
    <xf numFmtId="49" fontId="57" fillId="0" borderId="0" xfId="112" applyNumberFormat="1" applyFont="1" applyFill="1" applyBorder="1" applyAlignment="1">
      <alignment vertical="center"/>
    </xf>
    <xf numFmtId="0" fontId="57" fillId="0" borderId="0" xfId="112" applyFont="1" applyFill="1">
      <alignment vertical="center"/>
    </xf>
    <xf numFmtId="0" fontId="57" fillId="0" borderId="10" xfId="112" applyFont="1" applyFill="1" applyBorder="1" applyAlignment="1">
      <alignment vertical="center"/>
    </xf>
    <xf numFmtId="0" fontId="57" fillId="0" borderId="11" xfId="112" applyFont="1" applyFill="1" applyBorder="1" applyAlignment="1">
      <alignment vertical="center"/>
    </xf>
    <xf numFmtId="0" fontId="57" fillId="0" borderId="4" xfId="112" applyNumberFormat="1" applyFont="1" applyFill="1" applyBorder="1" applyAlignment="1">
      <alignment horizontal="center" vertical="top"/>
    </xf>
    <xf numFmtId="0" fontId="57" fillId="62" borderId="15" xfId="116" applyFont="1" applyFill="1" applyBorder="1" applyAlignment="1">
      <alignment horizontal="center" vertical="center"/>
    </xf>
    <xf numFmtId="0" fontId="57" fillId="0" borderId="21" xfId="112" applyNumberFormat="1" applyFont="1" applyFill="1" applyBorder="1" applyAlignment="1">
      <alignment horizontal="center" vertical="top"/>
    </xf>
    <xf numFmtId="0" fontId="57" fillId="0" borderId="26" xfId="112" applyNumberFormat="1" applyFont="1" applyFill="1" applyBorder="1" applyAlignment="1">
      <alignment horizontal="center" vertical="top"/>
    </xf>
    <xf numFmtId="0" fontId="57" fillId="62" borderId="2" xfId="112" applyFont="1" applyFill="1" applyBorder="1" applyAlignment="1">
      <alignment vertical="center"/>
    </xf>
    <xf numFmtId="0" fontId="57" fillId="62" borderId="8" xfId="112" applyFont="1" applyFill="1" applyBorder="1" applyAlignment="1">
      <alignment vertical="center"/>
    </xf>
    <xf numFmtId="49" fontId="57" fillId="0" borderId="7" xfId="112" applyNumberFormat="1" applyFont="1" applyFill="1" applyBorder="1" applyAlignment="1">
      <alignment horizontal="centerContinuous"/>
    </xf>
    <xf numFmtId="49" fontId="57" fillId="0" borderId="2" xfId="112" applyNumberFormat="1" applyFont="1" applyFill="1" applyBorder="1" applyAlignment="1">
      <alignment horizontal="centerContinuous"/>
    </xf>
    <xf numFmtId="49" fontId="57" fillId="0" borderId="2" xfId="112" applyNumberFormat="1" applyFont="1" applyFill="1" applyBorder="1" applyAlignment="1">
      <alignment horizontal="centerContinuous" vertical="center"/>
    </xf>
    <xf numFmtId="0" fontId="57" fillId="0" borderId="2" xfId="112" applyFont="1" applyFill="1" applyBorder="1" applyAlignment="1">
      <alignment horizontal="centerContinuous"/>
    </xf>
    <xf numFmtId="0" fontId="57" fillId="0" borderId="2" xfId="112" applyFont="1" applyFill="1" applyBorder="1">
      <alignment vertical="center"/>
    </xf>
    <xf numFmtId="49" fontId="57" fillId="0" borderId="2" xfId="112" applyNumberFormat="1" applyFont="1" applyFill="1" applyBorder="1" applyAlignment="1">
      <alignment vertical="center"/>
    </xf>
    <xf numFmtId="49" fontId="57" fillId="0" borderId="8" xfId="112" applyNumberFormat="1" applyFont="1" applyFill="1" applyBorder="1" applyAlignment="1">
      <alignment vertical="center"/>
    </xf>
    <xf numFmtId="49" fontId="57" fillId="0" borderId="77" xfId="112" applyNumberFormat="1" applyFont="1" applyFill="1" applyBorder="1" applyAlignment="1">
      <alignment horizontal="centerContinuous"/>
    </xf>
    <xf numFmtId="49" fontId="57" fillId="0" borderId="0" xfId="112" applyNumberFormat="1" applyFont="1" applyFill="1" applyBorder="1" applyAlignment="1">
      <alignment horizontal="centerContinuous"/>
    </xf>
    <xf numFmtId="49" fontId="57" fillId="0" borderId="0" xfId="112" applyNumberFormat="1" applyFont="1" applyFill="1" applyBorder="1" applyAlignment="1">
      <alignment horizontal="centerContinuous" vertical="center"/>
    </xf>
    <xf numFmtId="0" fontId="57" fillId="0" borderId="0" xfId="112" applyFont="1" applyFill="1" applyBorder="1" applyAlignment="1">
      <alignment horizontal="centerContinuous"/>
    </xf>
    <xf numFmtId="0" fontId="57" fillId="0" borderId="0" xfId="112" applyFont="1" applyFill="1" applyBorder="1">
      <alignment vertical="center"/>
    </xf>
    <xf numFmtId="49" fontId="57" fillId="0" borderId="78" xfId="112" applyNumberFormat="1" applyFont="1" applyFill="1" applyBorder="1" applyAlignment="1">
      <alignment vertical="center"/>
    </xf>
    <xf numFmtId="49" fontId="57" fillId="0" borderId="77" xfId="112" applyNumberFormat="1" applyFont="1" applyFill="1" applyBorder="1" applyAlignment="1">
      <alignment vertical="center"/>
    </xf>
    <xf numFmtId="49" fontId="64" fillId="0" borderId="0" xfId="112" applyNumberFormat="1" applyFont="1" applyFill="1" applyBorder="1" applyAlignment="1">
      <alignment horizontal="centerContinuous" vertical="center"/>
    </xf>
    <xf numFmtId="49" fontId="57" fillId="0" borderId="77" xfId="112" applyNumberFormat="1" applyFont="1" applyFill="1" applyBorder="1" applyAlignment="1">
      <alignment horizontal="centerContinuous" vertical="top"/>
    </xf>
    <xf numFmtId="49" fontId="57" fillId="0" borderId="0" xfId="112" applyNumberFormat="1" applyFont="1" applyFill="1" applyBorder="1" applyAlignment="1">
      <alignment horizontal="centerContinuous" vertical="top"/>
    </xf>
    <xf numFmtId="0" fontId="57" fillId="0" borderId="77" xfId="112" applyFont="1" applyFill="1" applyBorder="1" applyAlignment="1">
      <alignment vertical="center"/>
    </xf>
    <xf numFmtId="0" fontId="57" fillId="0" borderId="0" xfId="112" applyFont="1" applyFill="1" applyBorder="1" applyAlignment="1">
      <alignment vertical="center"/>
    </xf>
    <xf numFmtId="0" fontId="57" fillId="0" borderId="78" xfId="112" applyFont="1" applyFill="1" applyBorder="1" applyAlignment="1">
      <alignment vertical="center"/>
    </xf>
    <xf numFmtId="49" fontId="64" fillId="0" borderId="0" xfId="112" applyNumberFormat="1" applyFont="1" applyFill="1" applyBorder="1" applyAlignment="1">
      <alignment vertical="center"/>
    </xf>
    <xf numFmtId="0" fontId="57" fillId="0" borderId="0" xfId="113" applyFont="1" applyFill="1" applyAlignment="1">
      <alignment vertical="center"/>
    </xf>
    <xf numFmtId="0" fontId="64" fillId="0" borderId="0" xfId="112" applyFont="1" applyFill="1" applyBorder="1" applyAlignment="1">
      <alignment horizontal="center" wrapText="1"/>
    </xf>
    <xf numFmtId="0" fontId="64" fillId="0" borderId="0" xfId="112" applyFont="1" applyFill="1" applyBorder="1" applyAlignment="1">
      <alignment horizontal="center"/>
    </xf>
    <xf numFmtId="0" fontId="64" fillId="0" borderId="0" xfId="112" applyFont="1" applyFill="1" applyBorder="1" applyAlignment="1">
      <alignment horizontal="centerContinuous" vertical="center"/>
    </xf>
    <xf numFmtId="0" fontId="64" fillId="0" borderId="0" xfId="112" applyFont="1" applyFill="1" applyBorder="1" applyAlignment="1">
      <alignment horizontal="center" vertical="center"/>
    </xf>
    <xf numFmtId="49" fontId="57" fillId="0" borderId="0" xfId="117" applyNumberFormat="1" applyFont="1" applyFill="1" applyBorder="1" applyAlignment="1">
      <alignment vertical="center"/>
    </xf>
    <xf numFmtId="49" fontId="57" fillId="0" borderId="37" xfId="117" applyNumberFormat="1" applyFont="1" applyFill="1" applyBorder="1" applyAlignment="1">
      <alignment vertical="center"/>
    </xf>
    <xf numFmtId="0" fontId="57" fillId="0" borderId="0" xfId="113" applyFont="1" applyFill="1" applyBorder="1" applyAlignment="1">
      <alignment vertical="center"/>
    </xf>
    <xf numFmtId="0" fontId="57" fillId="0" borderId="37" xfId="113" applyFont="1" applyFill="1" applyBorder="1" applyAlignment="1">
      <alignment vertical="center"/>
    </xf>
    <xf numFmtId="14" fontId="57" fillId="0" borderId="0" xfId="112" applyNumberFormat="1" applyFont="1" applyFill="1" applyBorder="1" applyAlignment="1">
      <alignment horizontal="centerContinuous"/>
    </xf>
    <xf numFmtId="49" fontId="57" fillId="0" borderId="9" xfId="112" applyNumberFormat="1" applyFont="1" applyFill="1" applyBorder="1" applyAlignment="1">
      <alignment vertical="center"/>
    </xf>
    <xf numFmtId="49" fontId="57" fillId="0" borderId="10" xfId="112" applyNumberFormat="1" applyFont="1" applyFill="1" applyBorder="1" applyAlignment="1">
      <alignment vertical="center"/>
    </xf>
    <xf numFmtId="49" fontId="57" fillId="0" borderId="11" xfId="112" applyNumberFormat="1" applyFont="1" applyFill="1" applyBorder="1" applyAlignment="1">
      <alignment vertical="center"/>
    </xf>
    <xf numFmtId="0" fontId="57" fillId="62" borderId="7" xfId="112" applyFont="1" applyFill="1" applyBorder="1" applyAlignment="1">
      <alignment vertical="center"/>
    </xf>
    <xf numFmtId="0" fontId="57" fillId="62" borderId="77" xfId="112" applyFont="1" applyFill="1" applyBorder="1" applyAlignment="1">
      <alignment vertical="center"/>
    </xf>
    <xf numFmtId="0" fontId="68" fillId="62" borderId="0" xfId="112" applyFont="1" applyFill="1" applyBorder="1" applyAlignment="1">
      <alignment vertical="center"/>
    </xf>
    <xf numFmtId="0" fontId="57" fillId="62" borderId="0" xfId="112" applyFont="1" applyFill="1" applyBorder="1" applyAlignment="1">
      <alignment vertical="center"/>
    </xf>
    <xf numFmtId="0" fontId="57" fillId="62" borderId="33" xfId="112" applyFont="1" applyFill="1" applyBorder="1" applyAlignment="1">
      <alignment vertical="center"/>
    </xf>
    <xf numFmtId="0" fontId="57" fillId="62" borderId="34" xfId="112" applyFont="1" applyFill="1" applyBorder="1" applyAlignment="1">
      <alignment vertical="center"/>
    </xf>
    <xf numFmtId="0" fontId="57" fillId="62" borderId="35" xfId="112" applyFont="1" applyFill="1" applyBorder="1" applyAlignment="1">
      <alignment vertical="center"/>
    </xf>
    <xf numFmtId="0" fontId="57" fillId="62" borderId="33" xfId="112" applyFont="1" applyFill="1" applyBorder="1" applyAlignment="1">
      <alignment horizontal="left" vertical="center"/>
    </xf>
    <xf numFmtId="0" fontId="57" fillId="62" borderId="34" xfId="112" applyFont="1" applyFill="1" applyBorder="1" applyAlignment="1">
      <alignment horizontal="left" vertical="center"/>
    </xf>
    <xf numFmtId="0" fontId="57" fillId="62" borderId="35" xfId="112" applyFont="1" applyFill="1" applyBorder="1" applyAlignment="1">
      <alignment horizontal="left" vertical="center"/>
    </xf>
    <xf numFmtId="0" fontId="57" fillId="62" borderId="78" xfId="112" applyFont="1" applyFill="1" applyBorder="1" applyAlignment="1">
      <alignment horizontal="left" vertical="center"/>
    </xf>
    <xf numFmtId="0" fontId="57" fillId="62" borderId="77" xfId="112" applyFont="1" applyFill="1" applyBorder="1">
      <alignment vertical="center"/>
    </xf>
    <xf numFmtId="0" fontId="57" fillId="62" borderId="0" xfId="112" applyFont="1" applyFill="1" applyBorder="1">
      <alignment vertical="center"/>
    </xf>
    <xf numFmtId="0" fontId="57" fillId="62" borderId="36" xfId="112" applyFont="1" applyFill="1" applyBorder="1">
      <alignment vertical="center"/>
    </xf>
    <xf numFmtId="0" fontId="57" fillId="63" borderId="1" xfId="112" applyFont="1" applyFill="1" applyBorder="1">
      <alignment vertical="center"/>
    </xf>
    <xf numFmtId="0" fontId="57" fillId="62" borderId="0" xfId="112" applyFont="1" applyFill="1" applyBorder="1" applyAlignment="1">
      <alignment horizontal="left" vertical="center"/>
    </xf>
    <xf numFmtId="0" fontId="57" fillId="62" borderId="37" xfId="112" applyFont="1" applyFill="1" applyBorder="1">
      <alignment vertical="center"/>
    </xf>
    <xf numFmtId="0" fontId="57" fillId="62" borderId="37" xfId="112" applyFont="1" applyFill="1" applyBorder="1" applyAlignment="1">
      <alignment horizontal="left" vertical="center"/>
    </xf>
    <xf numFmtId="0" fontId="57" fillId="62" borderId="36" xfId="112" applyFont="1" applyFill="1" applyBorder="1" applyAlignment="1">
      <alignment vertical="center"/>
    </xf>
    <xf numFmtId="0" fontId="57" fillId="64" borderId="1" xfId="112" applyFont="1" applyFill="1" applyBorder="1" applyAlignment="1">
      <alignment vertical="center"/>
    </xf>
    <xf numFmtId="0" fontId="57" fillId="62" borderId="37" xfId="112" applyFont="1" applyFill="1" applyBorder="1" applyAlignment="1">
      <alignment vertical="center"/>
    </xf>
    <xf numFmtId="0" fontId="57" fillId="62" borderId="38" xfId="112" applyFont="1" applyFill="1" applyBorder="1" applyAlignment="1">
      <alignment vertical="center"/>
    </xf>
    <xf numFmtId="0" fontId="57" fillId="62" borderId="27" xfId="112" applyFont="1" applyFill="1" applyBorder="1" applyAlignment="1">
      <alignment vertical="center"/>
    </xf>
    <xf numFmtId="0" fontId="57" fillId="62" borderId="28" xfId="112" applyFont="1" applyFill="1" applyBorder="1" applyAlignment="1">
      <alignment vertical="center"/>
    </xf>
    <xf numFmtId="0" fontId="57" fillId="62" borderId="38" xfId="112" applyFont="1" applyFill="1" applyBorder="1" applyAlignment="1">
      <alignment horizontal="left" vertical="center"/>
    </xf>
    <xf numFmtId="0" fontId="57" fillId="62" borderId="27" xfId="112" applyFont="1" applyFill="1" applyBorder="1" applyAlignment="1">
      <alignment horizontal="left" vertical="center"/>
    </xf>
    <xf numFmtId="0" fontId="57" fillId="62" borderId="28" xfId="112" applyFont="1" applyFill="1" applyBorder="1" applyAlignment="1">
      <alignment horizontal="left" vertical="center"/>
    </xf>
    <xf numFmtId="0" fontId="57" fillId="62" borderId="9" xfId="112" applyFont="1" applyFill="1" applyBorder="1" applyAlignment="1">
      <alignment vertical="center"/>
    </xf>
    <xf numFmtId="0" fontId="57" fillId="62" borderId="10" xfId="112" applyFont="1" applyFill="1" applyBorder="1" applyAlignment="1">
      <alignment vertical="center"/>
    </xf>
    <xf numFmtId="0" fontId="57" fillId="62" borderId="10" xfId="112" applyFont="1" applyFill="1" applyBorder="1" applyAlignment="1">
      <alignment horizontal="left" vertical="center"/>
    </xf>
    <xf numFmtId="0" fontId="57" fillId="62" borderId="11" xfId="112" applyFont="1" applyFill="1" applyBorder="1" applyAlignment="1">
      <alignment horizontal="left" vertical="center"/>
    </xf>
    <xf numFmtId="0" fontId="57" fillId="0" borderId="64" xfId="112" applyNumberFormat="1" applyFont="1" applyFill="1" applyBorder="1" applyAlignment="1">
      <alignment horizontal="center" vertical="top"/>
    </xf>
    <xf numFmtId="0" fontId="64" fillId="62" borderId="73" xfId="112" applyFont="1" applyFill="1" applyBorder="1" applyAlignment="1">
      <alignment vertical="center"/>
    </xf>
    <xf numFmtId="0" fontId="64" fillId="62" borderId="22" xfId="112" applyFont="1" applyFill="1" applyBorder="1" applyAlignment="1">
      <alignment vertical="center"/>
    </xf>
    <xf numFmtId="0" fontId="64" fillId="62" borderId="31" xfId="112" applyFont="1" applyFill="1" applyBorder="1" applyAlignment="1">
      <alignment vertical="center"/>
    </xf>
    <xf numFmtId="0" fontId="64" fillId="62" borderId="24" xfId="112" applyFont="1" applyFill="1" applyBorder="1" applyAlignment="1">
      <alignment vertical="center"/>
    </xf>
    <xf numFmtId="0" fontId="57" fillId="0" borderId="4" xfId="112" applyNumberFormat="1" applyFont="1" applyFill="1" applyBorder="1" applyAlignment="1">
      <alignment horizontal="center" vertical="center"/>
    </xf>
    <xf numFmtId="0" fontId="57" fillId="0" borderId="21" xfId="112" applyNumberFormat="1" applyFont="1" applyFill="1" applyBorder="1" applyAlignment="1">
      <alignment horizontal="center" vertical="center"/>
    </xf>
    <xf numFmtId="0" fontId="57" fillId="62" borderId="29" xfId="112" applyFont="1" applyFill="1" applyBorder="1" applyAlignment="1">
      <alignment horizontal="centerContinuous" vertical="center"/>
    </xf>
    <xf numFmtId="0" fontId="57" fillId="62" borderId="30" xfId="112" applyFont="1" applyFill="1" applyBorder="1" applyAlignment="1">
      <alignment horizontal="centerContinuous" vertical="center"/>
    </xf>
    <xf numFmtId="0" fontId="57" fillId="62" borderId="7" xfId="116" applyFont="1" applyFill="1" applyBorder="1" applyAlignment="1">
      <alignment horizontal="centerContinuous" vertical="center"/>
    </xf>
    <xf numFmtId="0" fontId="57" fillId="62" borderId="2" xfId="113" applyFont="1" applyFill="1" applyBorder="1" applyAlignment="1">
      <alignment horizontal="centerContinuous" vertical="center"/>
    </xf>
    <xf numFmtId="0" fontId="57" fillId="62" borderId="71" xfId="113" applyFont="1" applyFill="1" applyBorder="1" applyAlignment="1">
      <alignment horizontal="centerContinuous" vertical="center"/>
    </xf>
    <xf numFmtId="176" fontId="57" fillId="62" borderId="2" xfId="116" applyNumberFormat="1" applyFont="1" applyFill="1" applyBorder="1" applyAlignment="1">
      <alignment horizontal="centerContinuous" vertical="center"/>
    </xf>
    <xf numFmtId="176" fontId="57" fillId="62" borderId="71" xfId="116" applyNumberFormat="1" applyFont="1" applyFill="1" applyBorder="1" applyAlignment="1">
      <alignment horizontal="centerContinuous" vertical="center"/>
    </xf>
    <xf numFmtId="0" fontId="57" fillId="62" borderId="39" xfId="116" applyFont="1" applyFill="1" applyBorder="1" applyAlignment="1">
      <alignment horizontal="centerContinuous" vertical="center"/>
    </xf>
    <xf numFmtId="0" fontId="57" fillId="62" borderId="2" xfId="116" applyFont="1" applyFill="1" applyBorder="1" applyAlignment="1">
      <alignment horizontal="centerContinuous" vertical="center"/>
    </xf>
    <xf numFmtId="0" fontId="57" fillId="62" borderId="71" xfId="116" applyFont="1" applyFill="1" applyBorder="1" applyAlignment="1">
      <alignment horizontal="centerContinuous" vertical="center"/>
    </xf>
    <xf numFmtId="0" fontId="57" fillId="62" borderId="8" xfId="116" applyFont="1" applyFill="1" applyBorder="1" applyAlignment="1">
      <alignment horizontal="centerContinuous" vertical="center"/>
    </xf>
    <xf numFmtId="0" fontId="69" fillId="0" borderId="36" xfId="112" applyFont="1" applyFill="1" applyBorder="1" applyAlignment="1">
      <alignment vertical="center"/>
    </xf>
    <xf numFmtId="0" fontId="69" fillId="0" borderId="0" xfId="112" applyFont="1" applyFill="1" applyBorder="1" applyAlignment="1">
      <alignment vertical="center"/>
    </xf>
    <xf numFmtId="0" fontId="57" fillId="0" borderId="75" xfId="112" applyFont="1" applyFill="1" applyBorder="1" applyAlignment="1">
      <alignment horizontal="left" vertical="center" indent="1"/>
    </xf>
    <xf numFmtId="0" fontId="57" fillId="0" borderId="12" xfId="112" applyFont="1" applyFill="1" applyBorder="1" applyAlignment="1">
      <alignment vertical="center"/>
    </xf>
    <xf numFmtId="0" fontId="57" fillId="0" borderId="22" xfId="112" applyFont="1" applyFill="1" applyBorder="1" applyAlignment="1">
      <alignment vertical="center"/>
    </xf>
    <xf numFmtId="0" fontId="57" fillId="0" borderId="23" xfId="112" applyFont="1" applyFill="1" applyBorder="1" applyAlignment="1">
      <alignment vertical="center"/>
    </xf>
    <xf numFmtId="0" fontId="57" fillId="0" borderId="24" xfId="112" applyFont="1" applyFill="1" applyBorder="1" applyAlignment="1">
      <alignment vertical="center"/>
    </xf>
    <xf numFmtId="0" fontId="57" fillId="0" borderId="25" xfId="112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/>
    </xf>
    <xf numFmtId="0" fontId="0" fillId="0" borderId="63" xfId="0" applyFill="1" applyBorder="1">
      <alignment vertical="center"/>
    </xf>
    <xf numFmtId="0" fontId="0" fillId="0" borderId="67" xfId="0" applyFill="1" applyBorder="1">
      <alignment vertical="center"/>
    </xf>
    <xf numFmtId="0" fontId="47" fillId="0" borderId="60" xfId="0" applyFont="1" applyFill="1" applyBorder="1" applyAlignment="1" applyProtection="1">
      <alignment horizontal="center" vertical="center"/>
      <protection locked="0"/>
    </xf>
    <xf numFmtId="0" fontId="47" fillId="0" borderId="60" xfId="0" applyFont="1" applyFill="1" applyBorder="1" applyProtection="1">
      <alignment vertical="center"/>
      <protection locked="0"/>
    </xf>
    <xf numFmtId="0" fontId="47" fillId="0" borderId="69" xfId="0" applyFont="1" applyFill="1" applyBorder="1" applyAlignment="1" applyProtection="1">
      <alignment horizontal="center" vertical="center"/>
      <protection locked="0"/>
    </xf>
    <xf numFmtId="0" fontId="47" fillId="0" borderId="69" xfId="0" applyFont="1" applyFill="1" applyBorder="1" applyProtection="1">
      <alignment vertical="center"/>
      <protection locked="0"/>
    </xf>
    <xf numFmtId="0" fontId="0" fillId="0" borderId="60" xfId="0" applyFill="1" applyBorder="1" applyProtection="1">
      <alignment vertical="center"/>
      <protection locked="0"/>
    </xf>
    <xf numFmtId="0" fontId="47" fillId="0" borderId="61" xfId="0" applyFont="1" applyFill="1" applyBorder="1" applyAlignment="1" applyProtection="1">
      <alignment horizontal="center" vertical="center"/>
      <protection locked="0"/>
    </xf>
    <xf numFmtId="0" fontId="47" fillId="0" borderId="61" xfId="0" applyFont="1" applyFill="1" applyBorder="1" applyProtection="1">
      <alignment vertical="center"/>
      <protection locked="0"/>
    </xf>
    <xf numFmtId="0" fontId="47" fillId="0" borderId="0" xfId="0" applyFont="1" applyFill="1" applyAlignment="1" applyProtection="1">
      <alignment horizontal="center" vertical="center"/>
      <protection locked="0"/>
    </xf>
    <xf numFmtId="0" fontId="54" fillId="60" borderId="1" xfId="101" applyFont="1" applyBorder="1" applyAlignment="1" applyProtection="1">
      <alignment horizontal="centerContinuous" vertical="center"/>
    </xf>
    <xf numFmtId="0" fontId="54" fillId="60" borderId="1" xfId="101" applyFont="1" applyBorder="1" applyProtection="1">
      <alignment horizontal="center" vertical="center"/>
    </xf>
    <xf numFmtId="0" fontId="54" fillId="60" borderId="1" xfId="101" applyFont="1" applyBorder="1">
      <alignment horizontal="center" vertical="center"/>
    </xf>
    <xf numFmtId="0" fontId="48" fillId="0" borderId="1" xfId="0" applyFont="1" applyFill="1" applyBorder="1" applyAlignment="1">
      <alignment vertical="center"/>
    </xf>
    <xf numFmtId="0" fontId="48" fillId="0" borderId="0" xfId="112" applyFont="1" applyFill="1" applyAlignment="1">
      <alignment vertical="center"/>
    </xf>
    <xf numFmtId="0" fontId="48" fillId="0" borderId="0" xfId="112" applyFont="1" applyFill="1">
      <alignment vertical="center"/>
    </xf>
    <xf numFmtId="0" fontId="48" fillId="0" borderId="1" xfId="112" applyFont="1" applyFill="1" applyBorder="1" applyAlignment="1">
      <alignment vertical="center"/>
    </xf>
    <xf numFmtId="0" fontId="48" fillId="0" borderId="1" xfId="112" applyFont="1" applyFill="1" applyBorder="1" applyAlignment="1">
      <alignment horizontal="center" vertical="center"/>
    </xf>
    <xf numFmtId="184" fontId="48" fillId="0" borderId="1" xfId="112" applyNumberFormat="1" applyFont="1" applyFill="1" applyBorder="1" applyAlignment="1">
      <alignment vertical="center"/>
    </xf>
    <xf numFmtId="0" fontId="0" fillId="0" borderId="0" xfId="0" applyFill="1" applyAlignment="1">
      <alignment horizontal="center" vertical="center" wrapText="1"/>
    </xf>
    <xf numFmtId="0" fontId="0" fillId="0" borderId="69" xfId="0" applyFill="1" applyBorder="1" applyProtection="1">
      <alignment vertical="center"/>
      <protection locked="0"/>
    </xf>
    <xf numFmtId="0" fontId="57" fillId="62" borderId="15" xfId="116" applyFont="1" applyFill="1" applyBorder="1" applyAlignment="1">
      <alignment horizontal="center" vertical="center"/>
    </xf>
    <xf numFmtId="0" fontId="57" fillId="62" borderId="15" xfId="116" applyFont="1" applyFill="1" applyBorder="1" applyAlignment="1">
      <alignment horizontal="centerContinuous" vertical="center"/>
    </xf>
    <xf numFmtId="0" fontId="57" fillId="62" borderId="2" xfId="112" applyFont="1" applyFill="1" applyBorder="1" applyAlignment="1">
      <alignment horizontal="centerContinuous" vertical="center"/>
    </xf>
    <xf numFmtId="0" fontId="57" fillId="62" borderId="8" xfId="112" applyFont="1" applyFill="1" applyBorder="1" applyAlignment="1">
      <alignment horizontal="centerContinuous" vertical="center"/>
    </xf>
    <xf numFmtId="0" fontId="0" fillId="2" borderId="12" xfId="0" applyFont="1" applyFill="1" applyBorder="1" applyAlignment="1">
      <alignment vertical="center"/>
    </xf>
    <xf numFmtId="0" fontId="0" fillId="2" borderId="16" xfId="0" applyFont="1" applyFill="1" applyBorder="1" applyAlignment="1">
      <alignment vertical="center"/>
    </xf>
    <xf numFmtId="0" fontId="57" fillId="62" borderId="76" xfId="112" applyFont="1" applyFill="1" applyBorder="1" applyAlignment="1">
      <alignment horizontal="center" vertical="center"/>
    </xf>
    <xf numFmtId="0" fontId="57" fillId="62" borderId="34" xfId="112" applyFont="1" applyFill="1" applyBorder="1" applyAlignment="1">
      <alignment horizontal="center" vertical="center"/>
    </xf>
    <xf numFmtId="0" fontId="57" fillId="62" borderId="35" xfId="112" applyFont="1" applyFill="1" applyBorder="1" applyAlignment="1">
      <alignment horizontal="center" vertical="center"/>
    </xf>
    <xf numFmtId="0" fontId="57" fillId="62" borderId="9" xfId="112" applyFont="1" applyFill="1" applyBorder="1" applyAlignment="1">
      <alignment horizontal="center" vertical="center"/>
    </xf>
    <xf numFmtId="0" fontId="57" fillId="62" borderId="10" xfId="112" applyFont="1" applyFill="1" applyBorder="1" applyAlignment="1">
      <alignment horizontal="center" vertical="center"/>
    </xf>
    <xf numFmtId="0" fontId="57" fillId="62" borderId="72" xfId="112" applyFont="1" applyFill="1" applyBorder="1" applyAlignment="1">
      <alignment horizontal="center" vertical="center"/>
    </xf>
    <xf numFmtId="0" fontId="57" fillId="0" borderId="12" xfId="112" applyFont="1" applyFill="1" applyBorder="1" applyAlignment="1">
      <alignment horizontal="left" vertical="center"/>
    </xf>
    <xf numFmtId="0" fontId="57" fillId="0" borderId="22" xfId="112" applyFont="1" applyFill="1" applyBorder="1" applyAlignment="1">
      <alignment horizontal="left" vertical="center"/>
    </xf>
    <xf numFmtId="0" fontId="57" fillId="0" borderId="23" xfId="112" applyFont="1" applyFill="1" applyBorder="1" applyAlignment="1">
      <alignment horizontal="left" vertical="center"/>
    </xf>
    <xf numFmtId="0" fontId="57" fillId="0" borderId="17" xfId="112" applyFont="1" applyFill="1" applyBorder="1" applyAlignment="1">
      <alignment horizontal="left" vertical="center"/>
    </xf>
    <xf numFmtId="0" fontId="57" fillId="0" borderId="24" xfId="112" applyFont="1" applyFill="1" applyBorder="1" applyAlignment="1">
      <alignment horizontal="left" vertical="center"/>
    </xf>
    <xf numFmtId="0" fontId="57" fillId="0" borderId="25" xfId="112" applyFont="1" applyFill="1" applyBorder="1" applyAlignment="1">
      <alignment horizontal="left" vertical="center"/>
    </xf>
    <xf numFmtId="0" fontId="57" fillId="0" borderId="12" xfId="112" applyFont="1" applyFill="1" applyBorder="1" applyAlignment="1">
      <alignment vertical="center"/>
    </xf>
    <xf numFmtId="0" fontId="57" fillId="0" borderId="22" xfId="112" applyFont="1" applyFill="1" applyBorder="1" applyAlignment="1">
      <alignment vertical="center"/>
    </xf>
    <xf numFmtId="0" fontId="57" fillId="0" borderId="23" xfId="112" applyFont="1" applyFill="1" applyBorder="1" applyAlignment="1">
      <alignment vertical="center"/>
    </xf>
    <xf numFmtId="49" fontId="57" fillId="62" borderId="75" xfId="114" applyNumberFormat="1" applyFont="1" applyFill="1" applyBorder="1" applyAlignment="1">
      <alignment horizontal="center" vertical="center"/>
    </xf>
    <xf numFmtId="49" fontId="57" fillId="62" borderId="10" xfId="114" applyNumberFormat="1" applyFont="1" applyFill="1" applyBorder="1" applyAlignment="1">
      <alignment horizontal="center" vertical="center"/>
    </xf>
    <xf numFmtId="49" fontId="57" fillId="62" borderId="72" xfId="114" applyNumberFormat="1" applyFont="1" applyFill="1" applyBorder="1" applyAlignment="1">
      <alignment horizontal="center" vertical="center"/>
    </xf>
    <xf numFmtId="0" fontId="57" fillId="0" borderId="75" xfId="114" applyNumberFormat="1" applyFont="1" applyFill="1" applyBorder="1" applyAlignment="1">
      <alignment horizontal="left" vertical="center"/>
    </xf>
    <xf numFmtId="0" fontId="57" fillId="0" borderId="10" xfId="114" applyNumberFormat="1" applyFont="1" applyFill="1" applyBorder="1" applyAlignment="1">
      <alignment horizontal="left" vertical="center"/>
    </xf>
    <xf numFmtId="0" fontId="57" fillId="0" borderId="11" xfId="114" applyNumberFormat="1" applyFont="1" applyFill="1" applyBorder="1" applyAlignment="1">
      <alignment horizontal="left" vertical="center"/>
    </xf>
    <xf numFmtId="0" fontId="61" fillId="62" borderId="7" xfId="112" applyFont="1" applyFill="1" applyBorder="1" applyAlignment="1">
      <alignment horizontal="center" vertical="center"/>
    </xf>
    <xf numFmtId="0" fontId="61" fillId="62" borderId="2" xfId="112" applyFont="1" applyFill="1" applyBorder="1" applyAlignment="1">
      <alignment horizontal="center" vertical="center"/>
    </xf>
    <xf numFmtId="0" fontId="61" fillId="62" borderId="8" xfId="112" applyFont="1" applyFill="1" applyBorder="1" applyAlignment="1">
      <alignment horizontal="center" vertical="center"/>
    </xf>
    <xf numFmtId="0" fontId="61" fillId="62" borderId="9" xfId="112" applyFont="1" applyFill="1" applyBorder="1" applyAlignment="1">
      <alignment horizontal="center" vertical="center"/>
    </xf>
    <xf numFmtId="0" fontId="61" fillId="62" borderId="10" xfId="112" applyFont="1" applyFill="1" applyBorder="1" applyAlignment="1">
      <alignment horizontal="center" vertical="center"/>
    </xf>
    <xf numFmtId="0" fontId="61" fillId="62" borderId="11" xfId="112" applyFont="1" applyFill="1" applyBorder="1" applyAlignment="1">
      <alignment horizontal="center" vertical="center"/>
    </xf>
    <xf numFmtId="0" fontId="57" fillId="62" borderId="32" xfId="112" applyFont="1" applyFill="1" applyBorder="1" applyAlignment="1">
      <alignment horizontal="center" vertical="center"/>
    </xf>
    <xf numFmtId="0" fontId="57" fillId="62" borderId="29" xfId="112" applyFont="1" applyFill="1" applyBorder="1" applyAlignment="1">
      <alignment horizontal="center" vertical="center"/>
    </xf>
    <xf numFmtId="0" fontId="57" fillId="62" borderId="20" xfId="112" applyFont="1" applyFill="1" applyBorder="1" applyAlignment="1">
      <alignment horizontal="center" vertical="center"/>
    </xf>
    <xf numFmtId="0" fontId="57" fillId="62" borderId="73" xfId="112" applyFont="1" applyFill="1" applyBorder="1" applyAlignment="1">
      <alignment horizontal="center" vertical="center"/>
    </xf>
    <xf numFmtId="0" fontId="57" fillId="62" borderId="22" xfId="112" applyFont="1" applyFill="1" applyBorder="1" applyAlignment="1">
      <alignment horizontal="center" vertical="center"/>
    </xf>
    <xf numFmtId="0" fontId="57" fillId="62" borderId="16" xfId="112" applyFont="1" applyFill="1" applyBorder="1" applyAlignment="1">
      <alignment horizontal="center" vertical="center"/>
    </xf>
    <xf numFmtId="182" fontId="57" fillId="62" borderId="31" xfId="113" applyNumberFormat="1" applyFont="1" applyFill="1" applyBorder="1" applyAlignment="1">
      <alignment horizontal="center" vertical="center"/>
    </xf>
    <xf numFmtId="182" fontId="57" fillId="62" borderId="24" xfId="113" applyNumberFormat="1" applyFont="1" applyFill="1" applyBorder="1" applyAlignment="1">
      <alignment horizontal="center" vertical="center"/>
    </xf>
    <xf numFmtId="182" fontId="57" fillId="62" borderId="18" xfId="113" applyNumberFormat="1" applyFont="1" applyFill="1" applyBorder="1" applyAlignment="1">
      <alignment horizontal="center" vertical="center"/>
    </xf>
    <xf numFmtId="0" fontId="57" fillId="0" borderId="10" xfId="113" applyNumberFormat="1" applyFont="1" applyFill="1" applyBorder="1" applyAlignment="1">
      <alignment horizontal="left" vertical="center"/>
    </xf>
    <xf numFmtId="0" fontId="57" fillId="0" borderId="72" xfId="113" applyNumberFormat="1" applyFont="1" applyFill="1" applyBorder="1" applyAlignment="1">
      <alignment horizontal="left" vertical="center"/>
    </xf>
    <xf numFmtId="0" fontId="57" fillId="0" borderId="19" xfId="112" applyFont="1" applyFill="1" applyBorder="1" applyAlignment="1">
      <alignment vertical="center"/>
    </xf>
    <xf numFmtId="0" fontId="57" fillId="0" borderId="29" xfId="112" applyFont="1" applyFill="1" applyBorder="1" applyAlignment="1">
      <alignment vertical="center"/>
    </xf>
    <xf numFmtId="0" fontId="57" fillId="0" borderId="30" xfId="112" applyFont="1" applyFill="1" applyBorder="1" applyAlignment="1">
      <alignment vertical="center"/>
    </xf>
    <xf numFmtId="0" fontId="57" fillId="0" borderId="22" xfId="112" applyFont="1" applyBorder="1" applyAlignment="1">
      <alignment horizontal="left" vertical="center"/>
    </xf>
    <xf numFmtId="0" fontId="57" fillId="0" borderId="16" xfId="112" applyFont="1" applyBorder="1" applyAlignment="1">
      <alignment horizontal="left" vertical="center"/>
    </xf>
    <xf numFmtId="49" fontId="57" fillId="0" borderId="12" xfId="112" applyNumberFormat="1" applyFont="1" applyFill="1" applyBorder="1" applyAlignment="1">
      <alignment horizontal="left" vertical="center"/>
    </xf>
    <xf numFmtId="49" fontId="57" fillId="0" borderId="22" xfId="112" applyNumberFormat="1" applyFont="1" applyBorder="1" applyAlignment="1">
      <alignment horizontal="left" vertical="center"/>
    </xf>
    <xf numFmtId="49" fontId="57" fillId="0" borderId="16" xfId="112" applyNumberFormat="1" applyFont="1" applyBorder="1" applyAlignment="1">
      <alignment horizontal="left" vertical="center"/>
    </xf>
    <xf numFmtId="0" fontId="57" fillId="0" borderId="12" xfId="112" applyFont="1" applyFill="1" applyBorder="1" applyAlignment="1">
      <alignment horizontal="center" vertical="center"/>
    </xf>
    <xf numFmtId="0" fontId="57" fillId="0" borderId="16" xfId="112" applyFont="1" applyBorder="1" applyAlignment="1">
      <alignment horizontal="center" vertical="center"/>
    </xf>
    <xf numFmtId="0" fontId="57" fillId="0" borderId="19" xfId="114" applyNumberFormat="1" applyFont="1" applyFill="1" applyBorder="1" applyAlignment="1">
      <alignment horizontal="center" vertical="center"/>
    </xf>
    <xf numFmtId="0" fontId="57" fillId="0" borderId="29" xfId="114" applyNumberFormat="1" applyFont="1" applyFill="1" applyBorder="1" applyAlignment="1">
      <alignment horizontal="center" vertical="center"/>
    </xf>
    <xf numFmtId="0" fontId="57" fillId="0" borderId="20" xfId="114" applyNumberFormat="1" applyFont="1" applyFill="1" applyBorder="1" applyAlignment="1">
      <alignment horizontal="center" vertical="center"/>
    </xf>
    <xf numFmtId="49" fontId="57" fillId="62" borderId="19" xfId="114" applyNumberFormat="1" applyFont="1" applyFill="1" applyBorder="1" applyAlignment="1">
      <alignment horizontal="center" vertical="center"/>
    </xf>
    <xf numFmtId="49" fontId="57" fillId="62" borderId="29" xfId="114" applyNumberFormat="1" applyFont="1" applyFill="1" applyBorder="1" applyAlignment="1">
      <alignment horizontal="center" vertical="center"/>
    </xf>
    <xf numFmtId="49" fontId="57" fillId="62" borderId="20" xfId="114" applyNumberFormat="1" applyFont="1" applyFill="1" applyBorder="1" applyAlignment="1">
      <alignment horizontal="center" vertical="center"/>
    </xf>
    <xf numFmtId="176" fontId="57" fillId="0" borderId="39" xfId="114" applyNumberFormat="1" applyFont="1" applyFill="1" applyBorder="1" applyAlignment="1">
      <alignment horizontal="center" vertical="center"/>
    </xf>
    <xf numFmtId="176" fontId="57" fillId="0" borderId="2" xfId="114" applyNumberFormat="1" applyFont="1" applyFill="1" applyBorder="1" applyAlignment="1">
      <alignment horizontal="center" vertical="center"/>
    </xf>
    <xf numFmtId="176" fontId="57" fillId="0" borderId="8" xfId="114" applyNumberFormat="1" applyFont="1" applyFill="1" applyBorder="1" applyAlignment="1">
      <alignment horizontal="center" vertical="center"/>
    </xf>
    <xf numFmtId="182" fontId="57" fillId="62" borderId="73" xfId="113" applyNumberFormat="1" applyFont="1" applyFill="1" applyBorder="1" applyAlignment="1">
      <alignment horizontal="center" vertical="center"/>
    </xf>
    <xf numFmtId="182" fontId="57" fillId="62" borderId="22" xfId="113" applyNumberFormat="1" applyFont="1" applyFill="1" applyBorder="1" applyAlignment="1">
      <alignment horizontal="center" vertical="center"/>
    </xf>
    <xf numFmtId="182" fontId="57" fillId="62" borderId="16" xfId="113" applyNumberFormat="1" applyFont="1" applyFill="1" applyBorder="1" applyAlignment="1">
      <alignment horizontal="center" vertical="center"/>
    </xf>
    <xf numFmtId="0" fontId="57" fillId="0" borderId="22" xfId="112" applyNumberFormat="1" applyFont="1" applyFill="1" applyBorder="1" applyAlignment="1">
      <alignment horizontal="left" vertical="center"/>
    </xf>
    <xf numFmtId="0" fontId="57" fillId="0" borderId="16" xfId="112" applyNumberFormat="1" applyFont="1" applyFill="1" applyBorder="1" applyAlignment="1">
      <alignment horizontal="left" vertical="center"/>
    </xf>
    <xf numFmtId="182" fontId="57" fillId="62" borderId="12" xfId="113" applyNumberFormat="1" applyFont="1" applyFill="1" applyBorder="1" applyAlignment="1">
      <alignment horizontal="center" vertical="center"/>
    </xf>
    <xf numFmtId="0" fontId="57" fillId="0" borderId="12" xfId="115" applyNumberFormat="1" applyFont="1" applyFill="1" applyBorder="1" applyAlignment="1">
      <alignment vertical="center" wrapText="1"/>
    </xf>
    <xf numFmtId="0" fontId="57" fillId="0" borderId="22" xfId="115" applyNumberFormat="1" applyFont="1" applyFill="1" applyBorder="1" applyAlignment="1">
      <alignment vertical="center" wrapText="1"/>
    </xf>
    <xf numFmtId="0" fontId="57" fillId="0" borderId="16" xfId="115" applyNumberFormat="1" applyFont="1" applyFill="1" applyBorder="1" applyAlignment="1">
      <alignment vertical="center" wrapText="1"/>
    </xf>
    <xf numFmtId="49" fontId="57" fillId="62" borderId="12" xfId="114" applyNumberFormat="1" applyFont="1" applyFill="1" applyBorder="1" applyAlignment="1">
      <alignment horizontal="center" vertical="center"/>
    </xf>
    <xf numFmtId="49" fontId="57" fillId="62" borderId="22" xfId="114" applyNumberFormat="1" applyFont="1" applyFill="1" applyBorder="1" applyAlignment="1">
      <alignment horizontal="center" vertical="center"/>
    </xf>
    <xf numFmtId="49" fontId="57" fillId="62" borderId="16" xfId="114" applyNumberFormat="1" applyFont="1" applyFill="1" applyBorder="1" applyAlignment="1">
      <alignment horizontal="center" vertical="center"/>
    </xf>
    <xf numFmtId="49" fontId="57" fillId="0" borderId="12" xfId="114" applyNumberFormat="1" applyFont="1" applyFill="1" applyBorder="1" applyAlignment="1">
      <alignment horizontal="center" vertical="center"/>
    </xf>
    <xf numFmtId="49" fontId="57" fillId="0" borderId="22" xfId="114" applyNumberFormat="1" applyFont="1" applyFill="1" applyBorder="1" applyAlignment="1">
      <alignment horizontal="center" vertical="center"/>
    </xf>
    <xf numFmtId="49" fontId="57" fillId="0" borderId="16" xfId="114" applyNumberFormat="1" applyFont="1" applyFill="1" applyBorder="1" applyAlignment="1">
      <alignment horizontal="center" vertical="center"/>
    </xf>
    <xf numFmtId="176" fontId="57" fillId="0" borderId="1" xfId="114" applyNumberFormat="1" applyFont="1" applyFill="1" applyBorder="1" applyAlignment="1">
      <alignment horizontal="center" vertical="center"/>
    </xf>
    <xf numFmtId="176" fontId="57" fillId="0" borderId="74" xfId="114" applyNumberFormat="1" applyFont="1" applyFill="1" applyBorder="1" applyAlignment="1">
      <alignment horizontal="center" vertical="center"/>
    </xf>
    <xf numFmtId="182" fontId="57" fillId="62" borderId="32" xfId="112" applyNumberFormat="1" applyFont="1" applyFill="1" applyBorder="1" applyAlignment="1">
      <alignment horizontal="center" vertical="center"/>
    </xf>
    <xf numFmtId="182" fontId="57" fillId="62" borderId="29" xfId="112" applyNumberFormat="1" applyFont="1" applyFill="1" applyBorder="1" applyAlignment="1">
      <alignment horizontal="center" vertical="center"/>
    </xf>
    <xf numFmtId="182" fontId="57" fillId="62" borderId="20" xfId="112" applyNumberFormat="1" applyFont="1" applyFill="1" applyBorder="1" applyAlignment="1">
      <alignment horizontal="center" vertical="center"/>
    </xf>
    <xf numFmtId="0" fontId="57" fillId="0" borderId="29" xfId="113" applyFont="1" applyFill="1" applyBorder="1" applyAlignment="1">
      <alignment horizontal="left" vertical="center"/>
    </xf>
    <xf numFmtId="0" fontId="57" fillId="0" borderId="29" xfId="113" applyFont="1" applyBorder="1" applyAlignment="1">
      <alignment horizontal="left" vertical="center"/>
    </xf>
    <xf numFmtId="0" fontId="57" fillId="0" borderId="20" xfId="113" applyFont="1" applyBorder="1" applyAlignment="1">
      <alignment horizontal="left" vertical="center"/>
    </xf>
    <xf numFmtId="182" fontId="57" fillId="62" borderId="19" xfId="112" applyNumberFormat="1" applyFont="1" applyFill="1" applyBorder="1" applyAlignment="1">
      <alignment horizontal="center" vertical="center"/>
    </xf>
    <xf numFmtId="182" fontId="57" fillId="0" borderId="19" xfId="112" applyNumberFormat="1" applyFont="1" applyFill="1" applyBorder="1" applyAlignment="1">
      <alignment horizontal="left" vertical="center"/>
    </xf>
    <xf numFmtId="182" fontId="57" fillId="0" borderId="29" xfId="112" applyNumberFormat="1" applyFont="1" applyFill="1" applyBorder="1" applyAlignment="1">
      <alignment horizontal="left" vertical="center"/>
    </xf>
    <xf numFmtId="182" fontId="57" fillId="0" borderId="20" xfId="112" applyNumberFormat="1" applyFont="1" applyFill="1" applyBorder="1" applyAlignment="1">
      <alignment horizontal="left" vertical="center"/>
    </xf>
    <xf numFmtId="0" fontId="57" fillId="62" borderId="15" xfId="116" applyFont="1" applyFill="1" applyBorder="1" applyAlignment="1">
      <alignment horizontal="center" vertical="center"/>
    </xf>
    <xf numFmtId="0" fontId="57" fillId="62" borderId="26" xfId="116" applyFont="1" applyFill="1" applyBorder="1" applyAlignment="1">
      <alignment horizontal="center" vertical="center"/>
    </xf>
    <xf numFmtId="0" fontId="57" fillId="62" borderId="39" xfId="112" applyFont="1" applyFill="1" applyBorder="1" applyAlignment="1">
      <alignment horizontal="center" vertical="center"/>
    </xf>
    <xf numFmtId="0" fontId="57" fillId="62" borderId="2" xfId="112" applyFont="1" applyFill="1" applyBorder="1" applyAlignment="1">
      <alignment horizontal="center" vertical="center"/>
    </xf>
    <xf numFmtId="0" fontId="57" fillId="62" borderId="71" xfId="112" applyFont="1" applyFill="1" applyBorder="1" applyAlignment="1">
      <alignment horizontal="center" vertical="center"/>
    </xf>
    <xf numFmtId="0" fontId="57" fillId="62" borderId="38" xfId="112" applyFont="1" applyFill="1" applyBorder="1" applyAlignment="1">
      <alignment horizontal="center" vertical="center"/>
    </xf>
    <xf numFmtId="0" fontId="57" fillId="62" borderId="27" xfId="112" applyFont="1" applyFill="1" applyBorder="1" applyAlignment="1">
      <alignment horizontal="center" vertical="center"/>
    </xf>
    <xf numFmtId="0" fontId="57" fillId="62" borderId="28" xfId="112" applyFont="1" applyFill="1" applyBorder="1" applyAlignment="1">
      <alignment horizontal="center" vertical="center"/>
    </xf>
    <xf numFmtId="0" fontId="57" fillId="62" borderId="5" xfId="112" applyFont="1" applyFill="1" applyBorder="1" applyAlignment="1">
      <alignment horizontal="center" vertical="center" wrapText="1"/>
    </xf>
    <xf numFmtId="0" fontId="57" fillId="62" borderId="5" xfId="112" applyFont="1" applyFill="1" applyBorder="1" applyAlignment="1">
      <alignment horizontal="center" vertical="center"/>
    </xf>
    <xf numFmtId="0" fontId="57" fillId="62" borderId="1" xfId="112" applyFont="1" applyFill="1" applyBorder="1" applyAlignment="1">
      <alignment horizontal="center" vertical="center"/>
    </xf>
    <xf numFmtId="0" fontId="57" fillId="62" borderId="8" xfId="112" applyFont="1" applyFill="1" applyBorder="1" applyAlignment="1">
      <alignment horizontal="center" vertical="center"/>
    </xf>
    <xf numFmtId="0" fontId="57" fillId="62" borderId="62" xfId="112" applyFont="1" applyFill="1" applyBorder="1" applyAlignment="1">
      <alignment horizontal="center" vertical="center"/>
    </xf>
    <xf numFmtId="0" fontId="57" fillId="0" borderId="17" xfId="112" applyFont="1" applyFill="1" applyBorder="1" applyAlignment="1">
      <alignment horizontal="center" vertical="center"/>
    </xf>
    <xf numFmtId="0" fontId="57" fillId="0" borderId="18" xfId="112" applyFont="1" applyBorder="1" applyAlignment="1">
      <alignment horizontal="center" vertical="center"/>
    </xf>
    <xf numFmtId="0" fontId="57" fillId="0" borderId="24" xfId="112" applyFont="1" applyBorder="1" applyAlignment="1">
      <alignment horizontal="left" vertical="center"/>
    </xf>
    <xf numFmtId="0" fontId="57" fillId="0" borderId="18" xfId="112" applyFont="1" applyBorder="1" applyAlignment="1">
      <alignment horizontal="left" vertical="center"/>
    </xf>
    <xf numFmtId="0" fontId="69" fillId="0" borderId="0" xfId="101" applyFont="1" applyFill="1" applyBorder="1" applyAlignment="1" applyProtection="1">
      <alignment horizontal="left" vertical="center"/>
      <protection locked="0"/>
    </xf>
    <xf numFmtId="0" fontId="57" fillId="62" borderId="19" xfId="112" applyFont="1" applyFill="1" applyBorder="1" applyAlignment="1">
      <alignment horizontal="center" vertical="center"/>
    </xf>
    <xf numFmtId="0" fontId="57" fillId="0" borderId="1" xfId="112" applyFont="1" applyFill="1" applyBorder="1" applyAlignment="1">
      <alignment horizontal="left" vertical="center"/>
    </xf>
    <xf numFmtId="0" fontId="57" fillId="0" borderId="1" xfId="112" applyFont="1" applyBorder="1" applyAlignment="1">
      <alignment horizontal="left" vertical="center"/>
    </xf>
    <xf numFmtId="0" fontId="57" fillId="0" borderId="16" xfId="112" applyFont="1" applyFill="1" applyBorder="1" applyAlignment="1">
      <alignment horizontal="left" vertical="center"/>
    </xf>
    <xf numFmtId="0" fontId="57" fillId="0" borderId="6" xfId="112" applyFont="1" applyFill="1" applyBorder="1" applyAlignment="1">
      <alignment horizontal="left" vertical="center"/>
    </xf>
    <xf numFmtId="0" fontId="57" fillId="0" borderId="6" xfId="112" applyFont="1" applyBorder="1" applyAlignment="1">
      <alignment horizontal="left" vertical="center"/>
    </xf>
    <xf numFmtId="0" fontId="57" fillId="0" borderId="18" xfId="112" applyFont="1" applyFill="1" applyBorder="1" applyAlignment="1">
      <alignment horizontal="left" vertical="center"/>
    </xf>
    <xf numFmtId="49" fontId="67" fillId="0" borderId="34" xfId="112" applyNumberFormat="1" applyFont="1" applyFill="1" applyBorder="1" applyAlignment="1">
      <alignment vertical="center"/>
    </xf>
    <xf numFmtId="49" fontId="67" fillId="0" borderId="34" xfId="112" applyNumberFormat="1" applyFont="1" applyBorder="1" applyAlignment="1">
      <alignment vertical="center"/>
    </xf>
    <xf numFmtId="49" fontId="67" fillId="0" borderId="0" xfId="112" applyNumberFormat="1" applyFont="1" applyBorder="1" applyAlignment="1">
      <alignment vertical="center"/>
    </xf>
    <xf numFmtId="0" fontId="63" fillId="0" borderId="0" xfId="112" applyFont="1" applyFill="1" applyBorder="1" applyAlignment="1">
      <alignment horizontal="center" vertical="center"/>
    </xf>
    <xf numFmtId="0" fontId="63" fillId="0" borderId="0" xfId="112" applyFont="1" applyBorder="1" applyAlignment="1">
      <alignment horizontal="center" vertical="center"/>
    </xf>
    <xf numFmtId="0" fontId="63" fillId="0" borderId="79" xfId="112" applyFont="1" applyBorder="1" applyAlignment="1">
      <alignment horizontal="center" vertical="center"/>
    </xf>
    <xf numFmtId="0" fontId="65" fillId="0" borderId="0" xfId="112" applyFont="1" applyFill="1" applyBorder="1" applyAlignment="1">
      <alignment horizontal="center" vertical="center" shrinkToFit="1"/>
    </xf>
    <xf numFmtId="0" fontId="65" fillId="0" borderId="0" xfId="112" applyFont="1" applyBorder="1" applyAlignment="1">
      <alignment horizontal="center" vertical="center" shrinkToFit="1"/>
    </xf>
    <xf numFmtId="0" fontId="65" fillId="0" borderId="79" xfId="112" applyFont="1" applyBorder="1" applyAlignment="1">
      <alignment horizontal="center" vertical="center" shrinkToFit="1"/>
    </xf>
    <xf numFmtId="0" fontId="66" fillId="0" borderId="0" xfId="112" applyNumberFormat="1" applyFont="1" applyFill="1" applyBorder="1" applyAlignment="1">
      <alignment horizontal="center" vertical="center"/>
    </xf>
    <xf numFmtId="0" fontId="57" fillId="0" borderId="0" xfId="113" applyNumberFormat="1" applyFont="1" applyAlignment="1">
      <alignment vertical="center"/>
    </xf>
    <xf numFmtId="49" fontId="67" fillId="0" borderId="0" xfId="112" applyNumberFormat="1" applyFont="1" applyFill="1" applyBorder="1" applyAlignment="1">
      <alignment vertical="center"/>
    </xf>
    <xf numFmtId="0" fontId="66" fillId="0" borderId="0" xfId="112" applyFont="1" applyFill="1" applyBorder="1" applyAlignment="1">
      <alignment horizontal="center" vertical="center" wrapText="1"/>
    </xf>
    <xf numFmtId="0" fontId="66" fillId="0" borderId="0" xfId="112" applyFont="1" applyBorder="1" applyAlignment="1">
      <alignment horizontal="center" vertical="center" wrapText="1"/>
    </xf>
    <xf numFmtId="0" fontId="66" fillId="0" borderId="27" xfId="112" applyFont="1" applyBorder="1" applyAlignment="1">
      <alignment horizontal="center" vertical="center" wrapText="1"/>
    </xf>
    <xf numFmtId="49" fontId="57" fillId="0" borderId="0" xfId="117" applyNumberFormat="1" applyFont="1" applyFill="1" applyBorder="1" applyAlignment="1">
      <alignment horizontal="center" vertical="center"/>
    </xf>
    <xf numFmtId="49" fontId="57" fillId="0" borderId="0" xfId="117" applyNumberFormat="1" applyFont="1" applyBorder="1" applyAlignment="1">
      <alignment horizontal="center" vertical="center"/>
    </xf>
    <xf numFmtId="49" fontId="57" fillId="0" borderId="1" xfId="117" applyNumberFormat="1" applyFont="1" applyFill="1" applyBorder="1" applyAlignment="1">
      <alignment horizontal="center" vertical="center"/>
    </xf>
    <xf numFmtId="49" fontId="57" fillId="0" borderId="1" xfId="117" applyNumberFormat="1" applyFont="1" applyBorder="1" applyAlignment="1">
      <alignment horizontal="center" vertical="center"/>
    </xf>
    <xf numFmtId="0" fontId="64" fillId="0" borderId="12" xfId="112" applyFont="1" applyFill="1" applyBorder="1" applyAlignment="1">
      <alignment horizontal="center" vertical="center"/>
    </xf>
    <xf numFmtId="0" fontId="64" fillId="0" borderId="22" xfId="112" applyFont="1" applyBorder="1" applyAlignment="1">
      <alignment horizontal="center" vertical="center"/>
    </xf>
    <xf numFmtId="0" fontId="64" fillId="0" borderId="16" xfId="112" applyFont="1" applyBorder="1" applyAlignment="1">
      <alignment horizontal="center" vertical="center"/>
    </xf>
    <xf numFmtId="49" fontId="57" fillId="0" borderId="68" xfId="117" applyNumberFormat="1" applyFont="1" applyBorder="1" applyAlignment="1">
      <alignment horizontal="center" vertical="center"/>
    </xf>
    <xf numFmtId="49" fontId="64" fillId="0" borderId="38" xfId="117" applyNumberFormat="1" applyFont="1" applyFill="1" applyBorder="1" applyAlignment="1">
      <alignment horizontal="center" vertical="center"/>
    </xf>
    <xf numFmtId="49" fontId="64" fillId="0" borderId="27" xfId="117" applyNumberFormat="1" applyFont="1" applyBorder="1" applyAlignment="1">
      <alignment horizontal="center" vertical="center"/>
    </xf>
    <xf numFmtId="49" fontId="64" fillId="0" borderId="28" xfId="117" applyNumberFormat="1" applyFont="1" applyBorder="1" applyAlignment="1">
      <alignment horizontal="center" vertical="center"/>
    </xf>
    <xf numFmtId="49" fontId="57" fillId="0" borderId="36" xfId="112" applyNumberFormat="1" applyFont="1" applyFill="1" applyBorder="1" applyAlignment="1">
      <alignment horizontal="left" vertical="center" wrapText="1"/>
    </xf>
    <xf numFmtId="49" fontId="57" fillId="0" borderId="0" xfId="112" applyNumberFormat="1" applyFont="1" applyFill="1" applyBorder="1" applyAlignment="1">
      <alignment horizontal="left" vertical="center" wrapText="1"/>
    </xf>
    <xf numFmtId="49" fontId="57" fillId="0" borderId="37" xfId="112" applyNumberFormat="1" applyFont="1" applyFill="1" applyBorder="1" applyAlignment="1">
      <alignment horizontal="left" vertical="center" wrapText="1"/>
    </xf>
    <xf numFmtId="49" fontId="57" fillId="0" borderId="76" xfId="112" applyNumberFormat="1" applyFont="1" applyFill="1" applyBorder="1" applyAlignment="1">
      <alignment horizontal="center" vertical="center"/>
    </xf>
    <xf numFmtId="49" fontId="57" fillId="0" borderId="34" xfId="112" applyNumberFormat="1" applyFont="1" applyFill="1" applyBorder="1" applyAlignment="1">
      <alignment horizontal="center" vertical="center"/>
    </xf>
    <xf numFmtId="49" fontId="57" fillId="0" borderId="35" xfId="112" applyNumberFormat="1" applyFont="1" applyFill="1" applyBorder="1" applyAlignment="1">
      <alignment horizontal="center" vertical="center"/>
    </xf>
    <xf numFmtId="49" fontId="57" fillId="0" borderId="77" xfId="112" applyNumberFormat="1" applyFont="1" applyFill="1" applyBorder="1" applyAlignment="1">
      <alignment horizontal="center" vertical="center"/>
    </xf>
    <xf numFmtId="49" fontId="57" fillId="0" borderId="0" xfId="112" applyNumberFormat="1" applyFont="1" applyFill="1" applyBorder="1" applyAlignment="1">
      <alignment horizontal="center" vertical="center"/>
    </xf>
    <xf numFmtId="49" fontId="57" fillId="0" borderId="37" xfId="112" applyNumberFormat="1" applyFont="1" applyFill="1" applyBorder="1" applyAlignment="1">
      <alignment horizontal="center" vertical="center"/>
    </xf>
    <xf numFmtId="14" fontId="57" fillId="0" borderId="33" xfId="112" applyNumberFormat="1" applyFont="1" applyFill="1" applyBorder="1" applyAlignment="1">
      <alignment horizontal="center" vertical="center"/>
    </xf>
    <xf numFmtId="14" fontId="57" fillId="0" borderId="34" xfId="112" applyNumberFormat="1" applyFont="1" applyFill="1" applyBorder="1" applyAlignment="1">
      <alignment horizontal="center" vertical="center"/>
    </xf>
    <xf numFmtId="14" fontId="57" fillId="0" borderId="35" xfId="112" applyNumberFormat="1" applyFont="1" applyFill="1" applyBorder="1" applyAlignment="1">
      <alignment horizontal="center" vertical="center"/>
    </xf>
    <xf numFmtId="14" fontId="57" fillId="0" borderId="36" xfId="112" applyNumberFormat="1" applyFont="1" applyFill="1" applyBorder="1" applyAlignment="1">
      <alignment horizontal="center" vertical="center"/>
    </xf>
    <xf numFmtId="14" fontId="57" fillId="0" borderId="0" xfId="112" applyNumberFormat="1" applyFont="1" applyFill="1" applyBorder="1" applyAlignment="1">
      <alignment horizontal="center" vertical="center"/>
    </xf>
    <xf numFmtId="14" fontId="57" fillId="0" borderId="37" xfId="112" applyNumberFormat="1" applyFont="1" applyFill="1" applyBorder="1" applyAlignment="1">
      <alignment horizontal="center" vertical="center"/>
    </xf>
    <xf numFmtId="0" fontId="57" fillId="0" borderId="33" xfId="112" applyNumberFormat="1" applyFont="1" applyFill="1" applyBorder="1" applyAlignment="1">
      <alignment horizontal="center" vertical="center"/>
    </xf>
    <xf numFmtId="0" fontId="57" fillId="0" borderId="34" xfId="112" applyNumberFormat="1" applyFont="1" applyFill="1" applyBorder="1" applyAlignment="1">
      <alignment horizontal="center" vertical="center"/>
    </xf>
    <xf numFmtId="0" fontId="57" fillId="0" borderId="35" xfId="112" applyNumberFormat="1" applyFont="1" applyFill="1" applyBorder="1" applyAlignment="1">
      <alignment horizontal="center" vertical="center"/>
    </xf>
    <xf numFmtId="49" fontId="57" fillId="0" borderId="36" xfId="112" applyNumberFormat="1" applyFont="1" applyFill="1" applyBorder="1" applyAlignment="1">
      <alignment horizontal="center" vertical="center"/>
    </xf>
    <xf numFmtId="49" fontId="57" fillId="0" borderId="9" xfId="112" applyNumberFormat="1" applyFont="1" applyFill="1" applyBorder="1" applyAlignment="1">
      <alignment horizontal="center" vertical="center"/>
    </xf>
    <xf numFmtId="49" fontId="57" fillId="0" borderId="10" xfId="112" applyNumberFormat="1" applyFont="1" applyFill="1" applyBorder="1" applyAlignment="1">
      <alignment horizontal="center" vertical="center"/>
    </xf>
    <xf numFmtId="49" fontId="57" fillId="0" borderId="72" xfId="112" applyNumberFormat="1" applyFont="1" applyFill="1" applyBorder="1" applyAlignment="1">
      <alignment horizontal="center" vertical="center"/>
    </xf>
    <xf numFmtId="14" fontId="57" fillId="0" borderId="75" xfId="112" applyNumberFormat="1" applyFont="1" applyFill="1" applyBorder="1" applyAlignment="1">
      <alignment horizontal="center" vertical="center"/>
    </xf>
    <xf numFmtId="14" fontId="57" fillId="0" borderId="10" xfId="112" applyNumberFormat="1" applyFont="1" applyFill="1" applyBorder="1" applyAlignment="1">
      <alignment horizontal="center" vertical="center"/>
    </xf>
    <xf numFmtId="14" fontId="57" fillId="0" borderId="72" xfId="112" applyNumberFormat="1" applyFont="1" applyFill="1" applyBorder="1" applyAlignment="1">
      <alignment horizontal="center" vertical="center"/>
    </xf>
    <xf numFmtId="49" fontId="57" fillId="0" borderId="36" xfId="112" applyNumberFormat="1" applyFont="1" applyFill="1" applyBorder="1" applyAlignment="1">
      <alignment horizontal="left" vertical="center"/>
    </xf>
    <xf numFmtId="49" fontId="57" fillId="0" borderId="0" xfId="112" applyNumberFormat="1" applyFont="1" applyFill="1" applyBorder="1" applyAlignment="1">
      <alignment horizontal="left" vertical="center"/>
    </xf>
    <xf numFmtId="49" fontId="57" fillId="0" borderId="37" xfId="112" applyNumberFormat="1" applyFont="1" applyFill="1" applyBorder="1" applyAlignment="1">
      <alignment horizontal="left" vertical="center"/>
    </xf>
    <xf numFmtId="49" fontId="57" fillId="0" borderId="75" xfId="112" applyNumberFormat="1" applyFont="1" applyFill="1" applyBorder="1" applyAlignment="1">
      <alignment horizontal="center" vertical="center"/>
    </xf>
    <xf numFmtId="49" fontId="57" fillId="0" borderId="33" xfId="112" applyNumberFormat="1" applyFont="1" applyFill="1" applyBorder="1" applyAlignment="1">
      <alignment horizontal="left" vertical="center"/>
    </xf>
    <xf numFmtId="49" fontId="57" fillId="0" borderId="34" xfId="112" applyNumberFormat="1" applyFont="1" applyFill="1" applyBorder="1" applyAlignment="1">
      <alignment horizontal="left" vertical="center"/>
    </xf>
    <xf numFmtId="49" fontId="57" fillId="0" borderId="35" xfId="112" applyNumberFormat="1" applyFont="1" applyFill="1" applyBorder="1" applyAlignment="1">
      <alignment horizontal="left" vertical="center"/>
    </xf>
    <xf numFmtId="49" fontId="57" fillId="0" borderId="36" xfId="113" applyNumberFormat="1" applyFont="1" applyFill="1" applyBorder="1" applyAlignment="1">
      <alignment horizontal="left" vertical="center"/>
    </xf>
    <xf numFmtId="49" fontId="57" fillId="0" borderId="0" xfId="113" applyNumberFormat="1" applyFont="1" applyFill="1" applyBorder="1" applyAlignment="1">
      <alignment horizontal="left" vertical="center"/>
    </xf>
    <xf numFmtId="49" fontId="57" fillId="0" borderId="37" xfId="113" applyNumberFormat="1" applyFont="1" applyFill="1" applyBorder="1" applyAlignment="1">
      <alignment horizontal="left" vertical="center"/>
    </xf>
    <xf numFmtId="49" fontId="57" fillId="0" borderId="75" xfId="112" applyNumberFormat="1" applyFont="1" applyFill="1" applyBorder="1" applyAlignment="1">
      <alignment horizontal="left" vertical="center"/>
    </xf>
    <xf numFmtId="49" fontId="57" fillId="0" borderId="10" xfId="112" applyNumberFormat="1" applyFont="1" applyFill="1" applyBorder="1" applyAlignment="1">
      <alignment horizontal="left" vertical="center"/>
    </xf>
    <xf numFmtId="49" fontId="57" fillId="0" borderId="72" xfId="112" applyNumberFormat="1" applyFont="1" applyFill="1" applyBorder="1" applyAlignment="1">
      <alignment horizontal="left" vertical="center"/>
    </xf>
    <xf numFmtId="49" fontId="57" fillId="0" borderId="80" xfId="112" applyNumberFormat="1" applyFont="1" applyFill="1" applyBorder="1" applyAlignment="1">
      <alignment horizontal="left" vertical="center"/>
    </xf>
    <xf numFmtId="49" fontId="57" fillId="0" borderId="78" xfId="112" applyNumberFormat="1" applyFont="1" applyFill="1" applyBorder="1" applyAlignment="1">
      <alignment horizontal="left" vertical="center"/>
    </xf>
    <xf numFmtId="49" fontId="57" fillId="0" borderId="11" xfId="112" applyNumberFormat="1" applyFont="1" applyFill="1" applyBorder="1" applyAlignment="1">
      <alignment horizontal="left" vertical="center"/>
    </xf>
    <xf numFmtId="0" fontId="57" fillId="0" borderId="17" xfId="112" applyFont="1" applyFill="1" applyBorder="1" applyAlignment="1">
      <alignment vertical="center"/>
    </xf>
    <xf numFmtId="0" fontId="57" fillId="0" borderId="24" xfId="112" applyFont="1" applyFill="1" applyBorder="1" applyAlignment="1">
      <alignment vertical="center"/>
    </xf>
    <xf numFmtId="0" fontId="57" fillId="0" borderId="25" xfId="112" applyFont="1" applyFill="1" applyBorder="1" applyAlignment="1">
      <alignment vertical="center"/>
    </xf>
    <xf numFmtId="0" fontId="57" fillId="0" borderId="16" xfId="112" applyFont="1" applyFill="1" applyBorder="1" applyAlignment="1">
      <alignment vertical="center"/>
    </xf>
    <xf numFmtId="182" fontId="57" fillId="62" borderId="73" xfId="113" applyNumberFormat="1" applyFont="1" applyFill="1" applyBorder="1" applyAlignment="1">
      <alignment horizontal="left" vertical="center"/>
    </xf>
    <xf numFmtId="182" fontId="57" fillId="62" borderId="22" xfId="113" applyNumberFormat="1" applyFont="1" applyFill="1" applyBorder="1" applyAlignment="1">
      <alignment horizontal="left" vertical="center"/>
    </xf>
    <xf numFmtId="182" fontId="57" fillId="62" borderId="16" xfId="113" applyNumberFormat="1" applyFont="1" applyFill="1" applyBorder="1" applyAlignment="1">
      <alignment horizontal="left" vertical="center"/>
    </xf>
    <xf numFmtId="182" fontId="57" fillId="62" borderId="12" xfId="113" applyNumberFormat="1" applyFont="1" applyFill="1" applyBorder="1" applyAlignment="1">
      <alignment vertical="center"/>
    </xf>
    <xf numFmtId="182" fontId="57" fillId="62" borderId="22" xfId="113" applyNumberFormat="1" applyFont="1" applyFill="1" applyBorder="1" applyAlignment="1">
      <alignment vertical="center"/>
    </xf>
    <xf numFmtId="182" fontId="57" fillId="62" borderId="16" xfId="113" applyNumberFormat="1" applyFont="1" applyFill="1" applyBorder="1" applyAlignment="1">
      <alignment vertical="center"/>
    </xf>
    <xf numFmtId="182" fontId="57" fillId="62" borderId="32" xfId="112" applyNumberFormat="1" applyFont="1" applyFill="1" applyBorder="1" applyAlignment="1">
      <alignment horizontal="left" vertical="center"/>
    </xf>
    <xf numFmtId="182" fontId="57" fillId="62" borderId="29" xfId="112" applyNumberFormat="1" applyFont="1" applyFill="1" applyBorder="1" applyAlignment="1">
      <alignment horizontal="left" vertical="center"/>
    </xf>
    <xf numFmtId="182" fontId="57" fillId="62" borderId="20" xfId="112" applyNumberFormat="1" applyFont="1" applyFill="1" applyBorder="1" applyAlignment="1">
      <alignment horizontal="left" vertical="center"/>
    </xf>
    <xf numFmtId="182" fontId="57" fillId="62" borderId="19" xfId="112" applyNumberFormat="1" applyFont="1" applyFill="1" applyBorder="1" applyAlignment="1">
      <alignment vertical="center"/>
    </xf>
    <xf numFmtId="182" fontId="57" fillId="62" borderId="29" xfId="112" applyNumberFormat="1" applyFont="1" applyFill="1" applyBorder="1" applyAlignment="1">
      <alignment vertical="center"/>
    </xf>
    <xf numFmtId="182" fontId="57" fillId="62" borderId="20" xfId="112" applyNumberFormat="1" applyFont="1" applyFill="1" applyBorder="1" applyAlignment="1">
      <alignment vertical="center"/>
    </xf>
    <xf numFmtId="0" fontId="57" fillId="62" borderId="39" xfId="112" applyFont="1" applyFill="1" applyBorder="1" applyAlignment="1">
      <alignment horizontal="center" vertical="center" wrapText="1"/>
    </xf>
    <xf numFmtId="0" fontId="57" fillId="62" borderId="2" xfId="112" applyFont="1" applyFill="1" applyBorder="1" applyAlignment="1">
      <alignment horizontal="center" vertical="center" wrapText="1"/>
    </xf>
    <xf numFmtId="0" fontId="57" fillId="62" borderId="8" xfId="112" applyFont="1" applyFill="1" applyBorder="1" applyAlignment="1">
      <alignment horizontal="center" vertical="center" wrapText="1"/>
    </xf>
    <xf numFmtId="0" fontId="57" fillId="62" borderId="38" xfId="112" applyFont="1" applyFill="1" applyBorder="1" applyAlignment="1">
      <alignment horizontal="center" vertical="center" wrapText="1"/>
    </xf>
    <xf numFmtId="0" fontId="57" fillId="62" borderId="27" xfId="112" applyFont="1" applyFill="1" applyBorder="1" applyAlignment="1">
      <alignment horizontal="center" vertical="center" wrapText="1"/>
    </xf>
    <xf numFmtId="0" fontId="57" fillId="62" borderId="62" xfId="112" applyFont="1" applyFill="1" applyBorder="1" applyAlignment="1">
      <alignment horizontal="center" vertical="center" wrapText="1"/>
    </xf>
    <xf numFmtId="182" fontId="57" fillId="62" borderId="31" xfId="113" applyNumberFormat="1" applyFont="1" applyFill="1" applyBorder="1" applyAlignment="1">
      <alignment horizontal="left" vertical="center"/>
    </xf>
    <xf numFmtId="182" fontId="57" fillId="62" borderId="24" xfId="113" applyNumberFormat="1" applyFont="1" applyFill="1" applyBorder="1" applyAlignment="1">
      <alignment horizontal="left" vertical="center"/>
    </xf>
    <xf numFmtId="182" fontId="57" fillId="62" borderId="18" xfId="113" applyNumberFormat="1" applyFont="1" applyFill="1" applyBorder="1" applyAlignment="1">
      <alignment horizontal="left" vertical="center"/>
    </xf>
    <xf numFmtId="0" fontId="57" fillId="0" borderId="12" xfId="112" applyFont="1" applyFill="1" applyBorder="1" applyAlignment="1">
      <alignment horizontal="left" vertical="center" wrapText="1"/>
    </xf>
    <xf numFmtId="0" fontId="57" fillId="0" borderId="22" xfId="112" applyFont="1" applyFill="1" applyBorder="1" applyAlignment="1">
      <alignment horizontal="left" vertical="center" wrapText="1"/>
    </xf>
    <xf numFmtId="0" fontId="57" fillId="0" borderId="16" xfId="112" applyFont="1" applyFill="1" applyBorder="1" applyAlignment="1">
      <alignment horizontal="left" vertical="center" wrapText="1"/>
    </xf>
    <xf numFmtId="0" fontId="57" fillId="62" borderId="39" xfId="112" applyFont="1" applyFill="1" applyBorder="1" applyAlignment="1">
      <alignment horizontal="left" vertical="center"/>
    </xf>
    <xf numFmtId="0" fontId="57" fillId="62" borderId="2" xfId="112" applyFont="1" applyFill="1" applyBorder="1" applyAlignment="1">
      <alignment horizontal="left" vertical="center"/>
    </xf>
    <xf numFmtId="0" fontId="57" fillId="62" borderId="71" xfId="112" applyFont="1" applyFill="1" applyBorder="1" applyAlignment="1">
      <alignment horizontal="left" vertical="center"/>
    </xf>
    <xf numFmtId="0" fontId="57" fillId="62" borderId="38" xfId="112" applyFont="1" applyFill="1" applyBorder="1" applyAlignment="1">
      <alignment horizontal="left" vertical="center"/>
    </xf>
    <xf numFmtId="0" fontId="57" fillId="62" borderId="27" xfId="112" applyFont="1" applyFill="1" applyBorder="1" applyAlignment="1">
      <alignment horizontal="left" vertical="center"/>
    </xf>
    <xf numFmtId="0" fontId="57" fillId="62" borderId="28" xfId="112" applyFont="1" applyFill="1" applyBorder="1" applyAlignment="1">
      <alignment horizontal="left" vertical="center"/>
    </xf>
    <xf numFmtId="0" fontId="57" fillId="62" borderId="1" xfId="112" applyFont="1" applyFill="1" applyBorder="1" applyAlignment="1">
      <alignment horizontal="center" vertical="center" wrapText="1"/>
    </xf>
    <xf numFmtId="0" fontId="57" fillId="62" borderId="13" xfId="112" applyFont="1" applyFill="1" applyBorder="1" applyAlignment="1">
      <alignment horizontal="center" vertical="center"/>
    </xf>
    <xf numFmtId="0" fontId="57" fillId="62" borderId="74" xfId="112" applyFont="1" applyFill="1" applyBorder="1" applyAlignment="1">
      <alignment horizontal="center" vertical="center"/>
    </xf>
    <xf numFmtId="38" fontId="57" fillId="0" borderId="1" xfId="118" applyFont="1" applyFill="1" applyBorder="1" applyAlignment="1">
      <alignment horizontal="center" vertical="center"/>
    </xf>
    <xf numFmtId="40" fontId="57" fillId="0" borderId="1" xfId="118" applyNumberFormat="1" applyFont="1" applyFill="1" applyBorder="1" applyAlignment="1">
      <alignment horizontal="center" vertical="center"/>
    </xf>
    <xf numFmtId="40" fontId="57" fillId="65" borderId="1" xfId="118" applyNumberFormat="1" applyFont="1" applyFill="1" applyBorder="1" applyAlignment="1">
      <alignment horizontal="center" vertical="center"/>
    </xf>
    <xf numFmtId="183" fontId="57" fillId="0" borderId="1" xfId="118" applyNumberFormat="1" applyFont="1" applyFill="1" applyBorder="1" applyAlignment="1">
      <alignment horizontal="center" vertical="center"/>
    </xf>
    <xf numFmtId="183" fontId="57" fillId="65" borderId="1" xfId="118" applyNumberFormat="1" applyFont="1" applyFill="1" applyBorder="1" applyAlignment="1">
      <alignment horizontal="center" vertical="center"/>
    </xf>
    <xf numFmtId="183" fontId="57" fillId="65" borderId="74" xfId="118" applyNumberFormat="1" applyFont="1" applyFill="1" applyBorder="1" applyAlignment="1">
      <alignment horizontal="center" vertical="center"/>
    </xf>
    <xf numFmtId="0" fontId="57" fillId="0" borderId="12" xfId="112" applyFont="1" applyFill="1" applyBorder="1" applyAlignment="1">
      <alignment horizontal="left" vertical="top"/>
    </xf>
    <xf numFmtId="0" fontId="57" fillId="0" borderId="22" xfId="112" applyFont="1" applyFill="1" applyBorder="1" applyAlignment="1">
      <alignment horizontal="left" vertical="top"/>
    </xf>
    <xf numFmtId="0" fontId="57" fillId="0" borderId="16" xfId="112" applyFont="1" applyFill="1" applyBorder="1" applyAlignment="1">
      <alignment horizontal="left" vertical="top"/>
    </xf>
    <xf numFmtId="9" fontId="57" fillId="0" borderId="1" xfId="112" applyNumberFormat="1" applyFont="1" applyFill="1" applyBorder="1" applyAlignment="1">
      <alignment horizontal="center" vertical="center"/>
    </xf>
    <xf numFmtId="0" fontId="57" fillId="0" borderId="1" xfId="112" applyFont="1" applyFill="1" applyBorder="1" applyAlignment="1">
      <alignment horizontal="center" vertical="center"/>
    </xf>
    <xf numFmtId="38" fontId="57" fillId="0" borderId="40" xfId="118" applyFont="1" applyFill="1" applyBorder="1" applyAlignment="1">
      <alignment horizontal="center" vertical="center"/>
    </xf>
    <xf numFmtId="0" fontId="57" fillId="0" borderId="40" xfId="112" applyFont="1" applyFill="1" applyBorder="1" applyAlignment="1">
      <alignment horizontal="left" vertical="center"/>
    </xf>
    <xf numFmtId="0" fontId="57" fillId="0" borderId="33" xfId="112" applyFont="1" applyFill="1" applyBorder="1" applyAlignment="1">
      <alignment horizontal="left" vertical="top"/>
    </xf>
    <xf numFmtId="0" fontId="57" fillId="0" borderId="34" xfId="112" applyFont="1" applyFill="1" applyBorder="1" applyAlignment="1">
      <alignment horizontal="left" vertical="top"/>
    </xf>
    <xf numFmtId="0" fontId="57" fillId="0" borderId="35" xfId="112" applyFont="1" applyFill="1" applyBorder="1" applyAlignment="1">
      <alignment horizontal="left" vertical="top"/>
    </xf>
    <xf numFmtId="9" fontId="57" fillId="0" borderId="40" xfId="112" applyNumberFormat="1" applyFont="1" applyFill="1" applyBorder="1" applyAlignment="1">
      <alignment horizontal="center" vertical="center"/>
    </xf>
    <xf numFmtId="0" fontId="57" fillId="0" borderId="40" xfId="112" applyFont="1" applyFill="1" applyBorder="1" applyAlignment="1">
      <alignment horizontal="center" vertical="center"/>
    </xf>
    <xf numFmtId="40" fontId="64" fillId="0" borderId="6" xfId="118" applyNumberFormat="1" applyFont="1" applyFill="1" applyBorder="1" applyAlignment="1">
      <alignment horizontal="center" vertical="center"/>
    </xf>
    <xf numFmtId="40" fontId="64" fillId="65" borderId="6" xfId="118" applyNumberFormat="1" applyFont="1" applyFill="1" applyBorder="1" applyAlignment="1">
      <alignment horizontal="center" vertical="center"/>
    </xf>
    <xf numFmtId="40" fontId="64" fillId="65" borderId="14" xfId="118" applyNumberFormat="1" applyFont="1" applyFill="1" applyBorder="1" applyAlignment="1">
      <alignment horizontal="center" vertical="center"/>
    </xf>
    <xf numFmtId="0" fontId="64" fillId="0" borderId="17" xfId="112" applyFont="1" applyFill="1" applyBorder="1" applyAlignment="1">
      <alignment horizontal="right" vertical="center"/>
    </xf>
    <xf numFmtId="0" fontId="64" fillId="65" borderId="24" xfId="112" applyFont="1" applyFill="1" applyBorder="1" applyAlignment="1">
      <alignment horizontal="right" vertical="center"/>
    </xf>
    <xf numFmtId="0" fontId="64" fillId="65" borderId="18" xfId="112" applyFont="1" applyFill="1" applyBorder="1" applyAlignment="1">
      <alignment horizontal="right" vertical="center"/>
    </xf>
    <xf numFmtId="38" fontId="64" fillId="62" borderId="17" xfId="118" applyFont="1" applyFill="1" applyBorder="1" applyAlignment="1">
      <alignment horizontal="center" vertical="center"/>
    </xf>
    <xf numFmtId="38" fontId="64" fillId="62" borderId="24" xfId="118" applyFont="1" applyFill="1" applyBorder="1" applyAlignment="1">
      <alignment horizontal="center" vertical="center"/>
    </xf>
    <xf numFmtId="38" fontId="64" fillId="62" borderId="18" xfId="118" applyFont="1" applyFill="1" applyBorder="1" applyAlignment="1">
      <alignment horizontal="center" vertical="center"/>
    </xf>
    <xf numFmtId="40" fontId="64" fillId="0" borderId="1" xfId="118" applyNumberFormat="1" applyFont="1" applyFill="1" applyBorder="1" applyAlignment="1">
      <alignment horizontal="center" vertical="center"/>
    </xf>
    <xf numFmtId="40" fontId="64" fillId="65" borderId="1" xfId="118" applyNumberFormat="1" applyFont="1" applyFill="1" applyBorder="1" applyAlignment="1">
      <alignment horizontal="center" vertical="center"/>
    </xf>
    <xf numFmtId="40" fontId="64" fillId="65" borderId="74" xfId="118" applyNumberFormat="1" applyFont="1" applyFill="1" applyBorder="1" applyAlignment="1">
      <alignment horizontal="center" vertical="center"/>
    </xf>
    <xf numFmtId="0" fontId="64" fillId="0" borderId="12" xfId="112" applyFont="1" applyFill="1" applyBorder="1" applyAlignment="1">
      <alignment horizontal="right" vertical="center"/>
    </xf>
    <xf numFmtId="0" fontId="64" fillId="65" borderId="22" xfId="112" applyFont="1" applyFill="1" applyBorder="1" applyAlignment="1">
      <alignment horizontal="right" vertical="center"/>
    </xf>
    <xf numFmtId="0" fontId="64" fillId="65" borderId="16" xfId="112" applyFont="1" applyFill="1" applyBorder="1" applyAlignment="1">
      <alignment horizontal="right" vertical="center"/>
    </xf>
    <xf numFmtId="40" fontId="64" fillId="0" borderId="12" xfId="118" applyNumberFormat="1" applyFont="1" applyFill="1" applyBorder="1" applyAlignment="1">
      <alignment horizontal="center" vertical="center"/>
    </xf>
    <xf numFmtId="40" fontId="64" fillId="65" borderId="22" xfId="118" applyNumberFormat="1" applyFont="1" applyFill="1" applyBorder="1" applyAlignment="1">
      <alignment horizontal="center" vertical="center"/>
    </xf>
    <xf numFmtId="38" fontId="64" fillId="62" borderId="12" xfId="118" applyFont="1" applyFill="1" applyBorder="1" applyAlignment="1">
      <alignment horizontal="center" vertical="center"/>
    </xf>
    <xf numFmtId="38" fontId="64" fillId="62" borderId="22" xfId="118" applyFont="1" applyFill="1" applyBorder="1" applyAlignment="1">
      <alignment horizontal="center" vertical="center"/>
    </xf>
    <xf numFmtId="38" fontId="64" fillId="62" borderId="16" xfId="118" applyFont="1" applyFill="1" applyBorder="1" applyAlignment="1">
      <alignment horizontal="center" vertical="center"/>
    </xf>
    <xf numFmtId="40" fontId="64" fillId="65" borderId="23" xfId="118" applyNumberFormat="1" applyFont="1" applyFill="1" applyBorder="1" applyAlignment="1">
      <alignment horizontal="center" vertical="center"/>
    </xf>
    <xf numFmtId="40" fontId="64" fillId="65" borderId="12" xfId="118" applyNumberFormat="1" applyFont="1" applyFill="1" applyBorder="1" applyAlignment="1">
      <alignment horizontal="center" vertical="center"/>
    </xf>
    <xf numFmtId="40" fontId="64" fillId="0" borderId="16" xfId="118" applyNumberFormat="1" applyFont="1" applyFill="1" applyBorder="1" applyAlignment="1">
      <alignment horizontal="center" vertical="center"/>
    </xf>
    <xf numFmtId="185" fontId="57" fillId="0" borderId="12" xfId="112" applyNumberFormat="1" applyFont="1" applyFill="1" applyBorder="1" applyAlignment="1">
      <alignment horizontal="center" vertical="center"/>
    </xf>
    <xf numFmtId="185" fontId="57" fillId="0" borderId="16" xfId="112" applyNumberFormat="1" applyFont="1" applyBorder="1" applyAlignment="1">
      <alignment horizontal="center" vertical="center"/>
    </xf>
    <xf numFmtId="185" fontId="57" fillId="0" borderId="17" xfId="112" applyNumberFormat="1" applyFont="1" applyFill="1" applyBorder="1" applyAlignment="1">
      <alignment horizontal="center" vertical="center"/>
    </xf>
    <xf numFmtId="185" fontId="57" fillId="0" borderId="18" xfId="112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19">
    <cellStyle name="00.0" xfId="102"/>
    <cellStyle name="20% - アクセント 1" xfId="1" builtinId="30" hidden="1" customBuiltin="1"/>
    <cellStyle name="20% - アクセント 1" xfId="48" builtinId="30" hidden="1" customBuiltin="1"/>
    <cellStyle name="20% - アクセント 2" xfId="2" builtinId="34" hidden="1" customBuiltin="1"/>
    <cellStyle name="20% - アクセント 2" xfId="49" builtinId="34" hidden="1" customBuiltin="1"/>
    <cellStyle name="20% - アクセント 3" xfId="3" builtinId="38" hidden="1" customBuiltin="1"/>
    <cellStyle name="20% - アクセント 3" xfId="50" builtinId="38" hidden="1" customBuiltin="1"/>
    <cellStyle name="20% - アクセント 4" xfId="4" builtinId="42" hidden="1" customBuiltin="1"/>
    <cellStyle name="20% - アクセント 4" xfId="51" builtinId="42" hidden="1" customBuiltin="1"/>
    <cellStyle name="20% - アクセント 5" xfId="5" builtinId="46" hidden="1" customBuiltin="1"/>
    <cellStyle name="20% - アクセント 5" xfId="52" builtinId="46" hidden="1" customBuiltin="1"/>
    <cellStyle name="20% - アクセント 6" xfId="6" builtinId="50" hidden="1" customBuiltin="1"/>
    <cellStyle name="20% - アクセント 6" xfId="53" builtinId="50" hidden="1" customBuiltin="1"/>
    <cellStyle name="40% - アクセント 1" xfId="7" builtinId="31" hidden="1" customBuiltin="1"/>
    <cellStyle name="40% - アクセント 1" xfId="54" builtinId="31" hidden="1" customBuiltin="1"/>
    <cellStyle name="40% - アクセント 2" xfId="8" builtinId="35" hidden="1" customBuiltin="1"/>
    <cellStyle name="40% - アクセント 2" xfId="55" builtinId="35" hidden="1" customBuiltin="1"/>
    <cellStyle name="40% - アクセント 3" xfId="9" builtinId="39" hidden="1" customBuiltin="1"/>
    <cellStyle name="40% - アクセント 3" xfId="56" builtinId="39" hidden="1" customBuiltin="1"/>
    <cellStyle name="40% - アクセント 4" xfId="10" builtinId="43" hidden="1" customBuiltin="1"/>
    <cellStyle name="40% - アクセント 4" xfId="57" builtinId="43" hidden="1" customBuiltin="1"/>
    <cellStyle name="40% - アクセント 5" xfId="11" builtinId="47" hidden="1" customBuiltin="1"/>
    <cellStyle name="40% - アクセント 5" xfId="58" builtinId="47" hidden="1" customBuiltin="1"/>
    <cellStyle name="40% - アクセント 6" xfId="12" builtinId="51" hidden="1" customBuiltin="1"/>
    <cellStyle name="40% - アクセント 6" xfId="59" builtinId="51" hidden="1" customBuiltin="1"/>
    <cellStyle name="60% - アクセント 1" xfId="13" builtinId="32" hidden="1" customBuiltin="1"/>
    <cellStyle name="60% - アクセント 1" xfId="60" builtinId="32" hidden="1" customBuiltin="1"/>
    <cellStyle name="60% - アクセント 2" xfId="14" builtinId="36" hidden="1" customBuiltin="1"/>
    <cellStyle name="60% - アクセント 2" xfId="61" builtinId="36" hidden="1" customBuiltin="1"/>
    <cellStyle name="60% - アクセント 3" xfId="15" builtinId="40" hidden="1" customBuiltin="1"/>
    <cellStyle name="60% - アクセント 3" xfId="62" builtinId="40" hidden="1" customBuiltin="1"/>
    <cellStyle name="60% - アクセント 4" xfId="16" builtinId="44" hidden="1" customBuiltin="1"/>
    <cellStyle name="60% - アクセント 4" xfId="63" builtinId="44" hidden="1" customBuiltin="1"/>
    <cellStyle name="60% - アクセント 5" xfId="17" builtinId="48" hidden="1" customBuiltin="1"/>
    <cellStyle name="60% - アクセント 5" xfId="64" builtinId="48" hidden="1" customBuiltin="1"/>
    <cellStyle name="60% - アクセント 6" xfId="18" builtinId="52" hidden="1" customBuiltin="1"/>
    <cellStyle name="60% - アクセント 6" xfId="65" builtinId="52" hidden="1" customBuiltin="1"/>
    <cellStyle name="Error" xfId="105"/>
    <cellStyle name="H_標準" xfId="101"/>
    <cellStyle name="H_標準 2" xfId="110"/>
    <cellStyle name="アクセント 1" xfId="19" builtinId="29" hidden="1" customBuiltin="1"/>
    <cellStyle name="アクセント 1" xfId="66" builtinId="29" hidden="1" customBuiltin="1"/>
    <cellStyle name="アクセント 2" xfId="20" builtinId="33" hidden="1" customBuiltin="1"/>
    <cellStyle name="アクセント 2" xfId="67" builtinId="33" hidden="1" customBuiltin="1"/>
    <cellStyle name="アクセント 3" xfId="21" builtinId="37" hidden="1" customBuiltin="1"/>
    <cellStyle name="アクセント 3" xfId="68" builtinId="37" hidden="1" customBuiltin="1"/>
    <cellStyle name="アクセント 4" xfId="22" builtinId="41" hidden="1" customBuiltin="1"/>
    <cellStyle name="アクセント 4" xfId="69" builtinId="41" hidden="1" customBuiltin="1"/>
    <cellStyle name="アクセント 5" xfId="23" builtinId="45" hidden="1" customBuiltin="1"/>
    <cellStyle name="アクセント 5" xfId="70" builtinId="45" hidden="1" customBuiltin="1"/>
    <cellStyle name="アクセント 6" xfId="24" builtinId="49" hidden="1" customBuiltin="1"/>
    <cellStyle name="アクセント 6" xfId="71" builtinId="49" hidden="1" customBuiltin="1"/>
    <cellStyle name="タイトル" xfId="25" builtinId="15" hidden="1" customBuiltin="1"/>
    <cellStyle name="タイトル" xfId="72" builtinId="15" hidden="1" customBuiltin="1"/>
    <cellStyle name="チェック セル" xfId="26" builtinId="23" hidden="1" customBuiltin="1"/>
    <cellStyle name="チェック セル" xfId="73" builtinId="23" hidden="1" customBuiltin="1"/>
    <cellStyle name="どちらでもない" xfId="27" builtinId="28" hidden="1" customBuiltin="1"/>
    <cellStyle name="どちらでもない" xfId="74" builtinId="28" hidden="1" customBuiltin="1"/>
    <cellStyle name="パーセント" xfId="94" builtinId="5" hidden="1"/>
    <cellStyle name="パーセント" xfId="97"/>
    <cellStyle name="ハイパーリンク" xfId="28" builtinId="8" hidden="1"/>
    <cellStyle name="ハイパーリンク" xfId="45" builtinId="8" hidden="1"/>
    <cellStyle name="ハイパーリンク" xfId="46" builtinId="8" hidden="1"/>
    <cellStyle name="ハイパーリンク" xfId="47" builtinId="8" hidden="1"/>
    <cellStyle name="ハイパーリンク" xfId="90" builtinId="8" hidden="1"/>
    <cellStyle name="ハイパーリンク" xfId="96" builtinId="8" hidden="1"/>
    <cellStyle name="ハイパーリンク" xfId="106" builtinId="8" hidden="1"/>
    <cellStyle name="ハイパーリンク" xfId="108" builtinId="8" hidden="1"/>
    <cellStyle name="メモ" xfId="29" builtinId="10" hidden="1" customBuiltin="1"/>
    <cellStyle name="メモ" xfId="75" builtinId="10" hidden="1" customBuiltin="1"/>
    <cellStyle name="リンク セル" xfId="30" builtinId="24" hidden="1" customBuiltin="1"/>
    <cellStyle name="リンク セル" xfId="76" builtinId="24" hidden="1" customBuiltin="1"/>
    <cellStyle name="悪い" xfId="31" builtinId="27" hidden="1" customBuiltin="1"/>
    <cellStyle name="悪い" xfId="77" builtinId="27" hidden="1" customBuiltin="1"/>
    <cellStyle name="計算" xfId="32" builtinId="22" hidden="1" customBuiltin="1"/>
    <cellStyle name="計算" xfId="78" builtinId="22" hidden="1" customBuiltin="1"/>
    <cellStyle name="警告文" xfId="33" builtinId="11" hidden="1" customBuiltin="1"/>
    <cellStyle name="警告文" xfId="79" builtinId="11" hidden="1" customBuiltin="1"/>
    <cellStyle name="桁区切り" xfId="93" builtinId="6" hidden="1"/>
    <cellStyle name="桁区切り" xfId="89"/>
    <cellStyle name="桁区切り [0.00]" xfId="92" builtinId="3" hidden="1"/>
    <cellStyle name="桁区切り 2" xfId="118"/>
    <cellStyle name="見出し 1" xfId="34" builtinId="16" hidden="1" customBuiltin="1"/>
    <cellStyle name="見出し 1" xfId="80" builtinId="16" hidden="1" customBuiltin="1"/>
    <cellStyle name="見出し 2" xfId="35" builtinId="17" hidden="1" customBuiltin="1"/>
    <cellStyle name="見出し 2" xfId="81" builtinId="17" hidden="1" customBuiltin="1"/>
    <cellStyle name="見出し 3" xfId="36" builtinId="18" hidden="1" customBuiltin="1"/>
    <cellStyle name="見出し 3" xfId="82" builtinId="18" hidden="1" customBuiltin="1"/>
    <cellStyle name="見出し 4" xfId="37" builtinId="19" hidden="1" customBuiltin="1"/>
    <cellStyle name="見出し 4" xfId="83" builtinId="19" hidden="1" customBuiltin="1"/>
    <cellStyle name="集計" xfId="38" builtinId="25" hidden="1" customBuiltin="1"/>
    <cellStyle name="集計" xfId="84" builtinId="25" hidden="1" customBuiltin="1"/>
    <cellStyle name="出力" xfId="39" builtinId="21" hidden="1" customBuiltin="1"/>
    <cellStyle name="出力" xfId="85" builtinId="21" hidden="1" customBuiltin="1"/>
    <cellStyle name="数値" xfId="103"/>
    <cellStyle name="説明文" xfId="40" builtinId="53" hidden="1" customBuiltin="1"/>
    <cellStyle name="説明文" xfId="86" builtinId="53" hidden="1" customBuiltin="1"/>
    <cellStyle name="通貨" xfId="44" builtinId="7" hidden="1" customBuiltin="1"/>
    <cellStyle name="通貨" xfId="95"/>
    <cellStyle name="通貨 [0.00]" xfId="43" builtinId="4" hidden="1" customBuiltin="1"/>
    <cellStyle name="日時" xfId="100"/>
    <cellStyle name="入力" xfId="41" builtinId="20" hidden="1" customBuiltin="1"/>
    <cellStyle name="入力" xfId="87" builtinId="20" hidden="1" customBuiltin="1"/>
    <cellStyle name="標準" xfId="0" builtinId="0" customBuiltin="1"/>
    <cellStyle name="標準 2" xfId="111"/>
    <cellStyle name="標準 6" xfId="113"/>
    <cellStyle name="標準_10-010_データフロー図" xfId="117"/>
    <cellStyle name="標準_20-060_プロセス記述書_インタラクション総時間算出" xfId="112"/>
    <cellStyle name="標準_20-060_プロセス記述書_帳票" xfId="115"/>
    <cellStyle name="標準_詳細設計ｻﾝﾌﾟﾙ（ﾊﾞｯﾁ）" xfId="114"/>
    <cellStyle name="標準_値リスト" xfId="116"/>
    <cellStyle name="表示済みのハイパーリンク" xfId="91" builtinId="9" hidden="1"/>
    <cellStyle name="表示済みのハイパーリンク" xfId="98" builtinId="9" hidden="1"/>
    <cellStyle name="表示済みのハイパーリンク" xfId="107" builtinId="9" hidden="1"/>
    <cellStyle name="表示済みのハイパーリンク" xfId="109" builtinId="9" hidden="1"/>
    <cellStyle name="不要" xfId="99"/>
    <cellStyle name="要確認" xfId="104"/>
    <cellStyle name="良い" xfId="42" builtinId="26" hidden="1" customBuiltin="1"/>
    <cellStyle name="良い" xfId="88" builtinId="26" hidden="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DDDDDD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04040"/>
      <color rgb="FFFFCC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15</xdr:row>
          <xdr:rowOff>95250</xdr:rowOff>
        </xdr:from>
        <xdr:to>
          <xdr:col>19</xdr:col>
          <xdr:colOff>1409700</xdr:colOff>
          <xdr:row>17</xdr:row>
          <xdr:rowOff>85725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466725</xdr:colOff>
          <xdr:row>15</xdr:row>
          <xdr:rowOff>76200</xdr:rowOff>
        </xdr:from>
        <xdr:to>
          <xdr:col>20</xdr:col>
          <xdr:colOff>1743075</xdr:colOff>
          <xdr:row>17</xdr:row>
          <xdr:rowOff>66675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シートリスト取得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18</xdr:row>
          <xdr:rowOff>228600</xdr:rowOff>
        </xdr:from>
        <xdr:to>
          <xdr:col>19</xdr:col>
          <xdr:colOff>1409700</xdr:colOff>
          <xdr:row>20</xdr:row>
          <xdr:rowOff>180975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カラム情報再取得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214467</xdr:colOff>
      <xdr:row>1</xdr:row>
      <xdr:rowOff>188045</xdr:rowOff>
    </xdr:from>
    <xdr:ext cx="2133096" cy="429472"/>
    <xdr:grpSp>
      <xdr:nvGrpSpPr>
        <xdr:cNvPr id="2" name="ERImg"/>
        <xdr:cNvGrpSpPr/>
      </xdr:nvGrpSpPr>
      <xdr:grpSpPr>
        <a:xfrm>
          <a:off x="1636247" y="378545"/>
          <a:ext cx="2133096" cy="429472"/>
          <a:chOff x="2848891" y="1825618"/>
          <a:chExt cx="2249992" cy="426344"/>
        </a:xfrm>
      </xdr:grpSpPr>
      <xdr:sp macro="" textlink="">
        <xdr:nvSpPr>
          <xdr:cNvPr id="3" name="ColumnList"/>
          <xdr:cNvSpPr/>
        </xdr:nvSpPr>
        <xdr:spPr>
          <a:xfrm>
            <a:off x="2848891" y="2028539"/>
            <a:ext cx="2249992" cy="223423"/>
          </a:xfrm>
          <a:custGeom>
            <a:avLst/>
            <a:gdLst>
              <a:gd name="connsiteX0" fmla="*/ 0 w 2132336"/>
              <a:gd name="connsiteY0" fmla="*/ 0 h 2342949"/>
              <a:gd name="connsiteX1" fmla="*/ 2132336 w 2132336"/>
              <a:gd name="connsiteY1" fmla="*/ 0 h 2342949"/>
              <a:gd name="connsiteX2" fmla="*/ 2132336 w 2132336"/>
              <a:gd name="connsiteY2" fmla="*/ 2342949 h 2342949"/>
              <a:gd name="connsiteX3" fmla="*/ 0 w 2132336"/>
              <a:gd name="connsiteY3" fmla="*/ 2342949 h 2342949"/>
              <a:gd name="connsiteX4" fmla="*/ 0 w 2132336"/>
              <a:gd name="connsiteY4" fmla="*/ 0 h 2342949"/>
              <a:gd name="connsiteX0" fmla="*/ 0 w 2132336"/>
              <a:gd name="connsiteY0" fmla="*/ 0 h 2342949"/>
              <a:gd name="connsiteX1" fmla="*/ 2132336 w 2132336"/>
              <a:gd name="connsiteY1" fmla="*/ 0 h 2342949"/>
              <a:gd name="connsiteX2" fmla="*/ 2124752 w 2132336"/>
              <a:gd name="connsiteY2" fmla="*/ 125015 h 2342949"/>
              <a:gd name="connsiteX3" fmla="*/ 2132336 w 2132336"/>
              <a:gd name="connsiteY3" fmla="*/ 2342949 h 2342949"/>
              <a:gd name="connsiteX4" fmla="*/ 0 w 2132336"/>
              <a:gd name="connsiteY4" fmla="*/ 2342949 h 2342949"/>
              <a:gd name="connsiteX5" fmla="*/ 0 w 2132336"/>
              <a:gd name="connsiteY5" fmla="*/ 0 h 2342949"/>
              <a:gd name="connsiteX0" fmla="*/ 0 w 2132336"/>
              <a:gd name="connsiteY0" fmla="*/ 0 h 2342949"/>
              <a:gd name="connsiteX1" fmla="*/ 2132336 w 2132336"/>
              <a:gd name="connsiteY1" fmla="*/ 0 h 2342949"/>
              <a:gd name="connsiteX2" fmla="*/ 2132336 w 2132336"/>
              <a:gd name="connsiteY2" fmla="*/ 2342949 h 2342949"/>
              <a:gd name="connsiteX3" fmla="*/ 0 w 2132336"/>
              <a:gd name="connsiteY3" fmla="*/ 2342949 h 2342949"/>
              <a:gd name="connsiteX4" fmla="*/ 0 w 2132336"/>
              <a:gd name="connsiteY4" fmla="*/ 0 h 2342949"/>
              <a:gd name="connsiteX0" fmla="*/ 0 w 2132336"/>
              <a:gd name="connsiteY0" fmla="*/ 0 h 2342949"/>
              <a:gd name="connsiteX1" fmla="*/ 2132336 w 2132336"/>
              <a:gd name="connsiteY1" fmla="*/ 0 h 2342949"/>
              <a:gd name="connsiteX2" fmla="*/ 2132079 w 2132336"/>
              <a:gd name="connsiteY2" fmla="*/ 125015 h 2342949"/>
              <a:gd name="connsiteX3" fmla="*/ 2132336 w 2132336"/>
              <a:gd name="connsiteY3" fmla="*/ 2342949 h 2342949"/>
              <a:gd name="connsiteX4" fmla="*/ 0 w 2132336"/>
              <a:gd name="connsiteY4" fmla="*/ 2342949 h 2342949"/>
              <a:gd name="connsiteX5" fmla="*/ 0 w 2132336"/>
              <a:gd name="connsiteY5" fmla="*/ 0 h 2342949"/>
              <a:gd name="connsiteX0" fmla="*/ 0 w 2135421"/>
              <a:gd name="connsiteY0" fmla="*/ 0 h 2342949"/>
              <a:gd name="connsiteX1" fmla="*/ 2132336 w 2135421"/>
              <a:gd name="connsiteY1" fmla="*/ 0 h 2342949"/>
              <a:gd name="connsiteX2" fmla="*/ 2132079 w 2135421"/>
              <a:gd name="connsiteY2" fmla="*/ 125015 h 2342949"/>
              <a:gd name="connsiteX3" fmla="*/ 2132336 w 2135421"/>
              <a:gd name="connsiteY3" fmla="*/ 2342949 h 2342949"/>
              <a:gd name="connsiteX4" fmla="*/ 0 w 2135421"/>
              <a:gd name="connsiteY4" fmla="*/ 2342949 h 2342949"/>
              <a:gd name="connsiteX5" fmla="*/ 0 w 2135421"/>
              <a:gd name="connsiteY5" fmla="*/ 0 h 2342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135421" h="2342949">
                <a:moveTo>
                  <a:pt x="0" y="0"/>
                </a:moveTo>
                <a:lnTo>
                  <a:pt x="2132336" y="0"/>
                </a:lnTo>
                <a:cubicBezTo>
                  <a:pt x="2132250" y="41672"/>
                  <a:pt x="2124666" y="-13488"/>
                  <a:pt x="2132079" y="125015"/>
                </a:cubicBezTo>
                <a:cubicBezTo>
                  <a:pt x="2139492" y="263518"/>
                  <a:pt x="2132250" y="1603638"/>
                  <a:pt x="2132336" y="2342949"/>
                </a:cubicBezTo>
                <a:lnTo>
                  <a:pt x="0" y="2342949"/>
                </a:lnTo>
                <a:lnTo>
                  <a:pt x="0" y="0"/>
                </a:lnTo>
                <a:close/>
              </a:path>
            </a:pathLst>
          </a:custGeom>
          <a:solidFill>
            <a:srgbClr val="F2DCD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36000" tIns="0" rIns="0" bIns="0" rtlCol="0" anchor="t">
            <a:spAutoFit/>
          </a:bodyPr>
          <a:lstStyle/>
          <a:p>
            <a:pPr algn="l"/>
            <a:endParaRPr kumimoji="1" lang="en-US" altLang="ja-JP" sz="9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endParaRPr>
          </a:p>
        </xdr:txBody>
      </xdr:sp>
      <xdr:sp macro="" textlink="">
        <xdr:nvSpPr>
          <xdr:cNvPr id="4" name="TableName"/>
          <xdr:cNvSpPr/>
        </xdr:nvSpPr>
        <xdr:spPr>
          <a:xfrm>
            <a:off x="2849342" y="1825618"/>
            <a:ext cx="2249541" cy="198598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0" rIns="0" bIns="0" rtlCol="0" anchor="ctr">
            <a:spAutoFit/>
          </a:bodyPr>
          <a:lstStyle/>
          <a:p>
            <a:pPr algn="ctr"/>
            <a:r>
              <a:rPr kumimoji="1" lang="ja-JP" altLang="en-US" sz="800" b="1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テーブル名</a:t>
            </a:r>
            <a:endParaRPr kumimoji="1" lang="ja-JP" altLang="en-US" sz="900" b="1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endParaRPr>
          </a:p>
        </xdr:txBody>
      </xdr:sp>
    </xdr:grpSp>
    <xdr:clientData/>
  </xdr:oneCellAnchor>
  <xdr:twoCellAnchor editAs="absolute">
    <xdr:from>
      <xdr:col>2</xdr:col>
      <xdr:colOff>133350</xdr:colOff>
      <xdr:row>6</xdr:row>
      <xdr:rowOff>90867</xdr:rowOff>
    </xdr:from>
    <xdr:to>
      <xdr:col>3</xdr:col>
      <xdr:colOff>114331</xdr:colOff>
      <xdr:row>7</xdr:row>
      <xdr:rowOff>119473</xdr:rowOff>
    </xdr:to>
    <xdr:pic>
      <xdr:nvPicPr>
        <xdr:cNvPr id="5" name="0ERImg_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233867"/>
          <a:ext cx="219106" cy="219106"/>
        </a:xfrm>
        <a:prstGeom prst="rect">
          <a:avLst/>
        </a:prstGeom>
      </xdr:spPr>
    </xdr:pic>
    <xdr:clientData/>
  </xdr:twoCellAnchor>
  <xdr:twoCellAnchor editAs="absolute">
    <xdr:from>
      <xdr:col>2</xdr:col>
      <xdr:colOff>133350</xdr:colOff>
      <xdr:row>10</xdr:row>
      <xdr:rowOff>37445</xdr:rowOff>
    </xdr:from>
    <xdr:to>
      <xdr:col>3</xdr:col>
      <xdr:colOff>114331</xdr:colOff>
      <xdr:row>11</xdr:row>
      <xdr:rowOff>66051</xdr:rowOff>
    </xdr:to>
    <xdr:pic>
      <xdr:nvPicPr>
        <xdr:cNvPr id="6" name="0ERImg_0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942445"/>
          <a:ext cx="219106" cy="219106"/>
        </a:xfrm>
        <a:prstGeom prst="rect">
          <a:avLst/>
        </a:prstGeom>
      </xdr:spPr>
    </xdr:pic>
    <xdr:clientData/>
  </xdr:twoCellAnchor>
  <xdr:twoCellAnchor editAs="absolute">
    <xdr:from>
      <xdr:col>2</xdr:col>
      <xdr:colOff>133350</xdr:colOff>
      <xdr:row>8</xdr:row>
      <xdr:rowOff>4313</xdr:rowOff>
    </xdr:from>
    <xdr:to>
      <xdr:col>3</xdr:col>
      <xdr:colOff>114331</xdr:colOff>
      <xdr:row>9</xdr:row>
      <xdr:rowOff>32919</xdr:rowOff>
    </xdr:to>
    <xdr:pic>
      <xdr:nvPicPr>
        <xdr:cNvPr id="7" name="0ERImg_1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1528313"/>
          <a:ext cx="219106" cy="219106"/>
        </a:xfrm>
        <a:prstGeom prst="rect">
          <a:avLst/>
        </a:prstGeom>
      </xdr:spPr>
    </xdr:pic>
    <xdr:clientData/>
  </xdr:twoCellAnchor>
  <xdr:twoCellAnchor editAs="absolute">
    <xdr:from>
      <xdr:col>2</xdr:col>
      <xdr:colOff>133350</xdr:colOff>
      <xdr:row>4</xdr:row>
      <xdr:rowOff>54009</xdr:rowOff>
    </xdr:from>
    <xdr:to>
      <xdr:col>3</xdr:col>
      <xdr:colOff>114331</xdr:colOff>
      <xdr:row>5</xdr:row>
      <xdr:rowOff>82615</xdr:rowOff>
    </xdr:to>
    <xdr:pic>
      <xdr:nvPicPr>
        <xdr:cNvPr id="8" name="0ERImg_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816009"/>
          <a:ext cx="219106" cy="219106"/>
        </a:xfrm>
        <a:prstGeom prst="rect">
          <a:avLst/>
        </a:prstGeom>
      </xdr:spPr>
    </xdr:pic>
    <xdr:clientData/>
  </xdr:twoCellAnchor>
  <xdr:twoCellAnchor editAs="absolute">
    <xdr:from>
      <xdr:col>2</xdr:col>
      <xdr:colOff>133350</xdr:colOff>
      <xdr:row>2</xdr:row>
      <xdr:rowOff>29162</xdr:rowOff>
    </xdr:from>
    <xdr:to>
      <xdr:col>3</xdr:col>
      <xdr:colOff>114331</xdr:colOff>
      <xdr:row>3</xdr:row>
      <xdr:rowOff>57768</xdr:rowOff>
    </xdr:to>
    <xdr:pic>
      <xdr:nvPicPr>
        <xdr:cNvPr id="9" name="oERImg_0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600" y="410162"/>
          <a:ext cx="219106" cy="219106"/>
        </a:xfrm>
        <a:prstGeom prst="rect">
          <a:avLst/>
        </a:prstGeom>
      </xdr:spPr>
    </xdr:pic>
    <xdr:clientData/>
  </xdr:twoCellAnchor>
  <xdr:twoCellAnchor editAs="absolute">
    <xdr:from>
      <xdr:col>10</xdr:col>
      <xdr:colOff>63296</xdr:colOff>
      <xdr:row>11</xdr:row>
      <xdr:rowOff>0</xdr:rowOff>
    </xdr:from>
    <xdr:to>
      <xdr:col>11</xdr:col>
      <xdr:colOff>44277</xdr:colOff>
      <xdr:row>12</xdr:row>
      <xdr:rowOff>28606</xdr:rowOff>
    </xdr:to>
    <xdr:pic>
      <xdr:nvPicPr>
        <xdr:cNvPr id="13" name="ERImg_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9801" y="2095500"/>
          <a:ext cx="219106" cy="219106"/>
        </a:xfrm>
        <a:prstGeom prst="rect">
          <a:avLst/>
        </a:prstGeom>
      </xdr:spPr>
    </xdr:pic>
    <xdr:clientData/>
  </xdr:twoCellAnchor>
  <xdr:twoCellAnchor editAs="absolute">
    <xdr:from>
      <xdr:col>8</xdr:col>
      <xdr:colOff>139490</xdr:colOff>
      <xdr:row>11</xdr:row>
      <xdr:rowOff>0</xdr:rowOff>
    </xdr:from>
    <xdr:to>
      <xdr:col>9</xdr:col>
      <xdr:colOff>120471</xdr:colOff>
      <xdr:row>12</xdr:row>
      <xdr:rowOff>28606</xdr:rowOff>
    </xdr:to>
    <xdr:pic>
      <xdr:nvPicPr>
        <xdr:cNvPr id="14" name="ERImg_1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44490" y="2095500"/>
          <a:ext cx="219106" cy="219106"/>
        </a:xfrm>
        <a:prstGeom prst="rect">
          <a:avLst/>
        </a:prstGeom>
      </xdr:spPr>
    </xdr:pic>
    <xdr:clientData/>
  </xdr:twoCellAnchor>
  <xdr:twoCellAnchor editAs="absolute">
    <xdr:from>
      <xdr:col>11</xdr:col>
      <xdr:colOff>226541</xdr:colOff>
      <xdr:row>11</xdr:row>
      <xdr:rowOff>0</xdr:rowOff>
    </xdr:from>
    <xdr:to>
      <xdr:col>12</xdr:col>
      <xdr:colOff>206208</xdr:colOff>
      <xdr:row>12</xdr:row>
      <xdr:rowOff>28606</xdr:rowOff>
    </xdr:to>
    <xdr:pic>
      <xdr:nvPicPr>
        <xdr:cNvPr id="15" name="ERImg_1N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1171" y="2095500"/>
          <a:ext cx="219106" cy="219106"/>
        </a:xfrm>
        <a:prstGeom prst="rect">
          <a:avLst/>
        </a:prstGeom>
      </xdr:spPr>
    </xdr:pic>
    <xdr:clientData/>
  </xdr:twoCellAnchor>
  <xdr:twoCellAnchor editAs="absolute">
    <xdr:from>
      <xdr:col>13</xdr:col>
      <xdr:colOff>150347</xdr:colOff>
      <xdr:row>11</xdr:row>
      <xdr:rowOff>0</xdr:rowOff>
    </xdr:from>
    <xdr:to>
      <xdr:col>14</xdr:col>
      <xdr:colOff>131328</xdr:colOff>
      <xdr:row>12</xdr:row>
      <xdr:rowOff>28606</xdr:rowOff>
    </xdr:to>
    <xdr:pic>
      <xdr:nvPicPr>
        <xdr:cNvPr id="16" name="ERImg_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2541" y="2095500"/>
          <a:ext cx="219106" cy="219106"/>
        </a:xfrm>
        <a:prstGeom prst="rect">
          <a:avLst/>
        </a:prstGeom>
      </xdr:spPr>
    </xdr:pic>
    <xdr:clientData/>
  </xdr:twoCellAnchor>
  <xdr:twoCellAnchor editAs="absolute">
    <xdr:from>
      <xdr:col>15</xdr:col>
      <xdr:colOff>75467</xdr:colOff>
      <xdr:row>11</xdr:row>
      <xdr:rowOff>0</xdr:rowOff>
    </xdr:from>
    <xdr:to>
      <xdr:col>16</xdr:col>
      <xdr:colOff>55134</xdr:colOff>
      <xdr:row>12</xdr:row>
      <xdr:rowOff>28606</xdr:rowOff>
    </xdr:to>
    <xdr:pic>
      <xdr:nvPicPr>
        <xdr:cNvPr id="17" name="ERImg_01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3911" y="2095500"/>
          <a:ext cx="219106" cy="21910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79003</xdr:colOff>
      <xdr:row>12</xdr:row>
      <xdr:rowOff>44823</xdr:rowOff>
    </xdr:from>
    <xdr:to>
      <xdr:col>69</xdr:col>
      <xdr:colOff>74521</xdr:colOff>
      <xdr:row>15</xdr:row>
      <xdr:rowOff>134470</xdr:rowOff>
    </xdr:to>
    <xdr:sp macro="" textlink="">
      <xdr:nvSpPr>
        <xdr:cNvPr id="2" name="角丸四角形吹き出し 1"/>
        <xdr:cNvSpPr/>
      </xdr:nvSpPr>
      <xdr:spPr>
        <a:xfrm>
          <a:off x="11518528" y="2102223"/>
          <a:ext cx="2281518" cy="603997"/>
        </a:xfrm>
        <a:prstGeom prst="wedgeRoundRectCallout">
          <a:avLst>
            <a:gd name="adj1" fmla="val -63299"/>
            <a:gd name="adj2" fmla="val 21373"/>
            <a:gd name="adj3" fmla="val 16667"/>
          </a:avLst>
        </a:prstGeom>
        <a:solidFill>
          <a:schemeClr val="accent2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kumimoji="1" lang="ja-JP" altLang="en-US" sz="900"/>
            <a:t>改訂したら版を上げてください。</a:t>
          </a:r>
          <a:endParaRPr kumimoji="1" lang="en-US" altLang="ja-JP" sz="900"/>
        </a:p>
        <a:p>
          <a:pPr algn="l"/>
          <a:r>
            <a:rPr kumimoji="1" lang="en-US" altLang="ja-JP" sz="900"/>
            <a:t>"</a:t>
          </a:r>
          <a:r>
            <a:rPr kumimoji="1" lang="ja-JP" altLang="en-US" sz="900"/>
            <a:t>変更履歴</a:t>
          </a:r>
          <a:r>
            <a:rPr kumimoji="1" lang="en-US" altLang="ja-JP" sz="900"/>
            <a:t>"</a:t>
          </a:r>
          <a:r>
            <a:rPr kumimoji="1" lang="ja-JP" altLang="en-US" sz="900"/>
            <a:t>とリンクするようにしてください。</a:t>
          </a:r>
          <a:endParaRPr kumimoji="1" lang="en-US" altLang="ja-JP" sz="900"/>
        </a:p>
      </xdr:txBody>
    </xdr:sp>
    <xdr:clientData/>
  </xdr:twoCellAnchor>
  <xdr:twoCellAnchor>
    <xdr:from>
      <xdr:col>56</xdr:col>
      <xdr:colOff>168088</xdr:colOff>
      <xdr:row>38</xdr:row>
      <xdr:rowOff>134469</xdr:rowOff>
    </xdr:from>
    <xdr:to>
      <xdr:col>66</xdr:col>
      <xdr:colOff>129988</xdr:colOff>
      <xdr:row>42</xdr:row>
      <xdr:rowOff>81241</xdr:rowOff>
    </xdr:to>
    <xdr:sp macro="" textlink="">
      <xdr:nvSpPr>
        <xdr:cNvPr id="3" name="角丸四角形吹き出し 2"/>
        <xdr:cNvSpPr/>
      </xdr:nvSpPr>
      <xdr:spPr>
        <a:xfrm>
          <a:off x="11417113" y="6649569"/>
          <a:ext cx="1866900" cy="632572"/>
        </a:xfrm>
        <a:prstGeom prst="wedgeRoundRectCallout">
          <a:avLst>
            <a:gd name="adj1" fmla="val -60789"/>
            <a:gd name="adj2" fmla="val 2269"/>
            <a:gd name="adj3" fmla="val 16667"/>
          </a:avLst>
        </a:prstGeom>
        <a:solidFill>
          <a:schemeClr val="accent2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t"/>
        <a:lstStyle/>
        <a:p>
          <a:pPr algn="l">
            <a:lnSpc>
              <a:spcPts val="1300"/>
            </a:lnSpc>
          </a:pPr>
          <a:r>
            <a:rPr kumimoji="1" lang="ja-JP" altLang="en-US" sz="900"/>
            <a:t>設計書の作成日、作成者を記載してください。</a:t>
          </a:r>
          <a:endParaRPr kumimoji="1" lang="en-US" altLang="ja-JP" sz="9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56029</xdr:colOff>
      <xdr:row>5</xdr:row>
      <xdr:rowOff>89647</xdr:rowOff>
    </xdr:from>
    <xdr:to>
      <xdr:col>72</xdr:col>
      <xdr:colOff>40342</xdr:colOff>
      <xdr:row>12</xdr:row>
      <xdr:rowOff>2802</xdr:rowOff>
    </xdr:to>
    <xdr:sp macro="" textlink="">
      <xdr:nvSpPr>
        <xdr:cNvPr id="2" name="角丸四角形吹き出し 1"/>
        <xdr:cNvSpPr/>
      </xdr:nvSpPr>
      <xdr:spPr>
        <a:xfrm>
          <a:off x="13629154" y="946897"/>
          <a:ext cx="3556188" cy="1056155"/>
        </a:xfrm>
        <a:prstGeom prst="wedgeRoundRectCallout">
          <a:avLst>
            <a:gd name="adj1" fmla="val -60493"/>
            <a:gd name="adj2" fmla="val -34501"/>
            <a:gd name="adj3" fmla="val 16667"/>
          </a:avLst>
        </a:prstGeom>
        <a:solidFill>
          <a:schemeClr val="accent2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t"/>
        <a:lstStyle/>
        <a:p>
          <a:pPr algn="l">
            <a:lnSpc>
              <a:spcPts val="1300"/>
            </a:lnSpc>
          </a:pPr>
          <a:r>
            <a:rPr kumimoji="1" lang="ja-JP" altLang="en-US" sz="900"/>
            <a:t>ドキュメントを修正した場合、その個所と内容を明確に記載してください。</a:t>
          </a:r>
          <a:endParaRPr kumimoji="1" lang="en-US" altLang="ja-JP" sz="900"/>
        </a:p>
        <a:p>
          <a:pPr algn="l">
            <a:lnSpc>
              <a:spcPts val="1300"/>
            </a:lnSpc>
          </a:pPr>
          <a:r>
            <a:rPr kumimoji="1" lang="ja-JP" altLang="en-US" sz="900"/>
            <a:t>ドキュメント参照者は、この変更履歴を元に差分をチェックします。</a:t>
          </a:r>
          <a:endParaRPr kumimoji="1" lang="en-US" altLang="ja-JP" sz="900"/>
        </a:p>
        <a:p>
          <a:pPr algn="l">
            <a:lnSpc>
              <a:spcPts val="1300"/>
            </a:lnSpc>
          </a:pPr>
          <a:r>
            <a:rPr kumimoji="1" lang="ja-JP" altLang="en-US" sz="900"/>
            <a:t>あまり漠然に記してしまうと、差分の確認がもれたり、時間がかかってしまうことがあります。</a:t>
          </a:r>
          <a:endParaRPr kumimoji="1" lang="en-US" altLang="ja-JP" sz="9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0</xdr:rowOff>
    </xdr:from>
    <xdr:to>
      <xdr:col>8</xdr:col>
      <xdr:colOff>235323</xdr:colOff>
      <xdr:row>14</xdr:row>
      <xdr:rowOff>0</xdr:rowOff>
    </xdr:to>
    <xdr:sp macro="" textlink="">
      <xdr:nvSpPr>
        <xdr:cNvPr id="2" name="テキスト ボックス 1"/>
        <xdr:cNvSpPr txBox="1"/>
      </xdr:nvSpPr>
      <xdr:spPr>
        <a:xfrm>
          <a:off x="476250" y="1200150"/>
          <a:ext cx="1664073" cy="12001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900" b="1" u="none"/>
            <a:t>[</a:t>
          </a:r>
          <a:r>
            <a:rPr kumimoji="1" lang="ja-JP" altLang="en-US" sz="900" b="1" u="none"/>
            <a:t>ユーザテーブル</a:t>
          </a:r>
          <a:r>
            <a:rPr kumimoji="1" lang="en-US" altLang="ja-JP" sz="900" b="1" u="none"/>
            <a:t>]</a:t>
          </a:r>
        </a:p>
        <a:p>
          <a:r>
            <a:rPr kumimoji="1" lang="ja-JP" altLang="en-US" sz="900" u="sng"/>
            <a:t>ユーザ</a:t>
          </a:r>
          <a:r>
            <a:rPr kumimoji="1" lang="en-US" altLang="ja-JP" sz="900" u="sng"/>
            <a:t>ID</a:t>
          </a:r>
        </a:p>
        <a:p>
          <a:r>
            <a:rPr kumimoji="1" lang="ja-JP" altLang="en-US" sz="900"/>
            <a:t>　苗字</a:t>
          </a:r>
          <a:endParaRPr kumimoji="1" lang="en-US" altLang="ja-JP" sz="900"/>
        </a:p>
        <a:p>
          <a:r>
            <a:rPr kumimoji="1" lang="ja-JP" altLang="en-US" sz="900"/>
            <a:t>　名前</a:t>
          </a:r>
          <a:endParaRPr kumimoji="1" lang="en-US" altLang="ja-JP" sz="900"/>
        </a:p>
        <a:p>
          <a:r>
            <a:rPr kumimoji="1" lang="ja-JP" altLang="en-US" sz="900"/>
            <a:t>　住所</a:t>
          </a:r>
          <a:endParaRPr kumimoji="1" lang="en-US" altLang="ja-JP" sz="900"/>
        </a:p>
        <a:p>
          <a:r>
            <a:rPr kumimoji="1" lang="ja-JP" altLang="en-US" sz="900"/>
            <a:t>　電話番号</a:t>
          </a:r>
          <a:endParaRPr kumimoji="1" lang="en-US" altLang="ja-JP" sz="900"/>
        </a:p>
        <a:p>
          <a:r>
            <a:rPr kumimoji="1" lang="ja-JP" altLang="en-US" sz="900"/>
            <a:t>　メールアドレス</a:t>
          </a:r>
          <a:endParaRPr kumimoji="1" lang="en-US" altLang="ja-JP" sz="900"/>
        </a:p>
      </xdr:txBody>
    </xdr:sp>
    <xdr:clientData/>
  </xdr:twoCellAnchor>
  <xdr:twoCellAnchor>
    <xdr:from>
      <xdr:col>11</xdr:col>
      <xdr:colOff>209551</xdr:colOff>
      <xdr:row>7</xdr:row>
      <xdr:rowOff>19050</xdr:rowOff>
    </xdr:from>
    <xdr:to>
      <xdr:col>18</xdr:col>
      <xdr:colOff>209550</xdr:colOff>
      <xdr:row>16</xdr:row>
      <xdr:rowOff>19050</xdr:rowOff>
    </xdr:to>
    <xdr:sp macro="" textlink="">
      <xdr:nvSpPr>
        <xdr:cNvPr id="3" name="テキスト ボックス"/>
        <xdr:cNvSpPr txBox="1"/>
      </xdr:nvSpPr>
      <xdr:spPr>
        <a:xfrm>
          <a:off x="2828926" y="1219200"/>
          <a:ext cx="1666874" cy="154305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900" b="1" u="none"/>
            <a:t>[</a:t>
          </a:r>
          <a:r>
            <a:rPr kumimoji="1" lang="ja-JP" altLang="en-US" sz="900" b="1" u="none"/>
            <a:t>注文テーブル</a:t>
          </a:r>
          <a:r>
            <a:rPr kumimoji="1" lang="en-US" altLang="ja-JP" sz="900" b="1" u="none"/>
            <a:t>]</a:t>
          </a:r>
        </a:p>
        <a:p>
          <a:r>
            <a:rPr kumimoji="1" lang="ja-JP" altLang="en-US" sz="900" u="sng"/>
            <a:t>注文</a:t>
          </a:r>
          <a:r>
            <a:rPr kumimoji="1" lang="en-US" altLang="ja-JP" sz="900" u="sng"/>
            <a:t>ID</a:t>
          </a:r>
        </a:p>
        <a:p>
          <a:r>
            <a:rPr kumimoji="1" lang="ja-JP" altLang="en-US" sz="900" u="none"/>
            <a:t>　</a:t>
          </a:r>
          <a:r>
            <a:rPr kumimoji="1" lang="ja-JP" altLang="en-US" sz="900" u="sng"/>
            <a:t>ユーザ</a:t>
          </a:r>
          <a:r>
            <a:rPr kumimoji="1" lang="en-US" altLang="ja-JP" sz="900" u="sng"/>
            <a:t>ID</a:t>
          </a:r>
        </a:p>
        <a:p>
          <a:r>
            <a:rPr kumimoji="1" lang="ja-JP" altLang="en-US" sz="900"/>
            <a:t>　注文日時</a:t>
          </a:r>
          <a:endParaRPr kumimoji="1" lang="en-US" altLang="ja-JP" sz="900"/>
        </a:p>
        <a:p>
          <a:r>
            <a:rPr kumimoji="1" lang="ja-JP" altLang="en-US" sz="900" u="none"/>
            <a:t>　</a:t>
          </a:r>
          <a:r>
            <a:rPr kumimoji="1" lang="ja-JP" altLang="en-US" sz="900" u="sng"/>
            <a:t>商品</a:t>
          </a:r>
          <a:r>
            <a:rPr kumimoji="1" lang="en-US" altLang="ja-JP" sz="900" u="sng"/>
            <a:t>ID</a:t>
          </a:r>
        </a:p>
        <a:p>
          <a:r>
            <a:rPr kumimoji="1" lang="ja-JP" altLang="en-US" sz="900"/>
            <a:t>　注文時単価</a:t>
          </a:r>
          <a:endParaRPr kumimoji="1" lang="en-US" altLang="ja-JP" sz="900"/>
        </a:p>
        <a:p>
          <a:r>
            <a:rPr kumimoji="1" lang="ja-JP" altLang="en-US" sz="900" u="none"/>
            <a:t>　</a:t>
          </a:r>
          <a:r>
            <a:rPr kumimoji="1" lang="ja-JP" altLang="en-US" sz="900" u="sng"/>
            <a:t>通貨</a:t>
          </a:r>
          <a:r>
            <a:rPr kumimoji="1" lang="en-US" altLang="ja-JP" sz="900" u="sng"/>
            <a:t>ID</a:t>
          </a:r>
        </a:p>
        <a:p>
          <a:r>
            <a:rPr kumimoji="1" lang="ja-JP" altLang="en-US" sz="900"/>
            <a:t>　注文個数</a:t>
          </a:r>
          <a:endParaRPr kumimoji="1" lang="en-US" altLang="ja-JP" sz="900"/>
        </a:p>
        <a:p>
          <a:r>
            <a:rPr kumimoji="1" lang="ja-JP" altLang="en-US" sz="900"/>
            <a:t>　備考</a:t>
          </a:r>
          <a:endParaRPr kumimoji="1" lang="en-US" altLang="ja-JP" sz="900"/>
        </a:p>
      </xdr:txBody>
    </xdr:sp>
    <xdr:clientData/>
  </xdr:twoCellAnchor>
  <xdr:twoCellAnchor>
    <xdr:from>
      <xdr:col>47</xdr:col>
      <xdr:colOff>0</xdr:colOff>
      <xdr:row>9</xdr:row>
      <xdr:rowOff>0</xdr:rowOff>
    </xdr:from>
    <xdr:to>
      <xdr:col>50</xdr:col>
      <xdr:colOff>3</xdr:colOff>
      <xdr:row>10</xdr:row>
      <xdr:rowOff>0</xdr:rowOff>
    </xdr:to>
    <xdr:cxnSp macro="">
      <xdr:nvCxnSpPr>
        <xdr:cNvPr id="4" name="カギ線コネクタ 3"/>
        <xdr:cNvCxnSpPr/>
      </xdr:nvCxnSpPr>
      <xdr:spPr>
        <a:xfrm>
          <a:off x="11191875" y="1543050"/>
          <a:ext cx="714378" cy="171450"/>
        </a:xfrm>
        <a:prstGeom prst="bentConnector3">
          <a:avLst/>
        </a:prstGeom>
        <a:ln>
          <a:solidFill>
            <a:sysClr val="windowText" lastClr="000000"/>
          </a:solidFill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7</xdr:row>
      <xdr:rowOff>0</xdr:rowOff>
    </xdr:from>
    <xdr:to>
      <xdr:col>29</xdr:col>
      <xdr:colOff>0</xdr:colOff>
      <xdr:row>12</xdr:row>
      <xdr:rowOff>0</xdr:rowOff>
    </xdr:to>
    <xdr:sp macro="" textlink="">
      <xdr:nvSpPr>
        <xdr:cNvPr id="5" name="テキスト ボックス"/>
        <xdr:cNvSpPr txBox="1"/>
      </xdr:nvSpPr>
      <xdr:spPr>
        <a:xfrm>
          <a:off x="5238750" y="1200150"/>
          <a:ext cx="1666875" cy="8572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900" b="1" u="none"/>
            <a:t>[</a:t>
          </a:r>
          <a:r>
            <a:rPr kumimoji="1" lang="ja-JP" altLang="en-US" sz="900" b="1" u="none"/>
            <a:t>通貨テーブル</a:t>
          </a:r>
          <a:r>
            <a:rPr kumimoji="1" lang="en-US" altLang="ja-JP" sz="900" b="1" u="none"/>
            <a:t>]</a:t>
          </a:r>
        </a:p>
        <a:p>
          <a:r>
            <a:rPr kumimoji="1" lang="ja-JP" altLang="en-US" sz="900" u="sng"/>
            <a:t>通貨</a:t>
          </a:r>
          <a:r>
            <a:rPr kumimoji="1" lang="en-US" altLang="ja-JP" sz="900" u="sng"/>
            <a:t>ID</a:t>
          </a:r>
        </a:p>
        <a:p>
          <a:r>
            <a:rPr kumimoji="1" lang="ja-JP" altLang="en-US" sz="900" u="none"/>
            <a:t>　円</a:t>
          </a:r>
          <a:endParaRPr kumimoji="1" lang="en-US" altLang="ja-JP" sz="900" u="none"/>
        </a:p>
        <a:p>
          <a:r>
            <a:rPr kumimoji="1" lang="ja-JP" altLang="en-US" sz="900" u="none"/>
            <a:t>　ドル</a:t>
          </a:r>
          <a:endParaRPr kumimoji="1" lang="ja-JP" altLang="en-US" sz="900"/>
        </a:p>
      </xdr:txBody>
    </xdr:sp>
    <xdr:clientData/>
  </xdr:twoCellAnchor>
  <xdr:twoCellAnchor>
    <xdr:from>
      <xdr:col>18</xdr:col>
      <xdr:colOff>209550</xdr:colOff>
      <xdr:row>9</xdr:row>
      <xdr:rowOff>85725</xdr:rowOff>
    </xdr:from>
    <xdr:to>
      <xdr:col>22</xdr:col>
      <xdr:colOff>0</xdr:colOff>
      <xdr:row>11</xdr:row>
      <xdr:rowOff>104775</xdr:rowOff>
    </xdr:to>
    <xdr:cxnSp macro="">
      <xdr:nvCxnSpPr>
        <xdr:cNvPr id="6" name="カギ線コネクタ 5"/>
        <xdr:cNvCxnSpPr>
          <a:stCxn id="5" idx="1"/>
          <a:endCxn id="3" idx="3"/>
        </xdr:cNvCxnSpPr>
      </xdr:nvCxnSpPr>
      <xdr:spPr>
        <a:xfrm rot="10800000" flipV="1">
          <a:off x="4495800" y="1628775"/>
          <a:ext cx="742950" cy="361950"/>
        </a:xfrm>
        <a:prstGeom prst="bentConnector3">
          <a:avLst/>
        </a:prstGeom>
        <a:ln>
          <a:solidFill>
            <a:sysClr val="windowText" lastClr="000000"/>
          </a:solidFill>
          <a:headEnd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12</xdr:row>
      <xdr:rowOff>0</xdr:rowOff>
    </xdr:from>
    <xdr:to>
      <xdr:col>37</xdr:col>
      <xdr:colOff>-1</xdr:colOff>
      <xdr:row>17</xdr:row>
      <xdr:rowOff>0</xdr:rowOff>
    </xdr:to>
    <xdr:sp macro="" textlink="">
      <xdr:nvSpPr>
        <xdr:cNvPr id="7" name="テキスト ボックス"/>
        <xdr:cNvSpPr txBox="1"/>
      </xdr:nvSpPr>
      <xdr:spPr>
        <a:xfrm>
          <a:off x="7143750" y="2057400"/>
          <a:ext cx="1666874" cy="8572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900" b="1" u="none"/>
            <a:t>[</a:t>
          </a:r>
          <a:r>
            <a:rPr kumimoji="1" lang="ja-JP" altLang="en-US" sz="900" b="1" u="none"/>
            <a:t>商品マスタ</a:t>
          </a:r>
          <a:r>
            <a:rPr kumimoji="1" lang="en-US" altLang="ja-JP" sz="900" b="1" u="none"/>
            <a:t>]</a:t>
          </a:r>
        </a:p>
        <a:p>
          <a:r>
            <a:rPr kumimoji="1" lang="ja-JP" altLang="en-US" sz="900" u="sng"/>
            <a:t>商品</a:t>
          </a:r>
          <a:r>
            <a:rPr kumimoji="1" lang="en-US" altLang="ja-JP" sz="900" u="sng"/>
            <a:t>ID</a:t>
          </a:r>
        </a:p>
        <a:p>
          <a:r>
            <a:rPr kumimoji="1" lang="ja-JP" altLang="en-US" sz="900" u="none"/>
            <a:t>　商品名</a:t>
          </a:r>
          <a:endParaRPr kumimoji="1" lang="en-US" altLang="ja-JP" sz="900" u="none"/>
        </a:p>
        <a:p>
          <a:r>
            <a:rPr kumimoji="1" lang="ja-JP" altLang="en-US" sz="900" u="none"/>
            <a:t>　メーカー</a:t>
          </a:r>
          <a:endParaRPr kumimoji="1" lang="en-US" altLang="ja-JP" sz="900" u="none"/>
        </a:p>
        <a:p>
          <a:r>
            <a:rPr kumimoji="1" lang="ja-JP" altLang="en-US" sz="900" u="none"/>
            <a:t>　単価</a:t>
          </a:r>
          <a:endParaRPr kumimoji="1" lang="ja-JP" altLang="en-US" sz="900"/>
        </a:p>
      </xdr:txBody>
    </xdr:sp>
    <xdr:clientData/>
  </xdr:twoCellAnchor>
  <xdr:twoCellAnchor>
    <xdr:from>
      <xdr:col>19</xdr:col>
      <xdr:colOff>1</xdr:colOff>
      <xdr:row>13</xdr:row>
      <xdr:rowOff>1</xdr:rowOff>
    </xdr:from>
    <xdr:to>
      <xdr:col>30</xdr:col>
      <xdr:colOff>1</xdr:colOff>
      <xdr:row>14</xdr:row>
      <xdr:rowOff>84046</xdr:rowOff>
    </xdr:to>
    <xdr:cxnSp macro="">
      <xdr:nvCxnSpPr>
        <xdr:cNvPr id="8" name="カギ線コネクタ 7"/>
        <xdr:cNvCxnSpPr>
          <a:stCxn id="7" idx="1"/>
        </xdr:cNvCxnSpPr>
      </xdr:nvCxnSpPr>
      <xdr:spPr>
        <a:xfrm rot="10800000">
          <a:off x="4524376" y="2228851"/>
          <a:ext cx="2619375" cy="255495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headEnd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235323</xdr:colOff>
      <xdr:row>10</xdr:row>
      <xdr:rowOff>85725</xdr:rowOff>
    </xdr:from>
    <xdr:to>
      <xdr:col>11</xdr:col>
      <xdr:colOff>209551</xdr:colOff>
      <xdr:row>11</xdr:row>
      <xdr:rowOff>104775</xdr:rowOff>
    </xdr:to>
    <xdr:cxnSp macro="">
      <xdr:nvCxnSpPr>
        <xdr:cNvPr id="9" name="カギ線コネクタ 8"/>
        <xdr:cNvCxnSpPr>
          <a:stCxn id="2" idx="3"/>
          <a:endCxn id="3" idx="1"/>
        </xdr:cNvCxnSpPr>
      </xdr:nvCxnSpPr>
      <xdr:spPr>
        <a:xfrm>
          <a:off x="2140323" y="1800225"/>
          <a:ext cx="688603" cy="190500"/>
        </a:xfrm>
        <a:prstGeom prst="bentConnector3">
          <a:avLst/>
        </a:prstGeom>
        <a:ln>
          <a:solidFill>
            <a:sysClr val="windowText" lastClr="000000"/>
          </a:solidFill>
          <a:headEnd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235321</xdr:colOff>
      <xdr:row>9</xdr:row>
      <xdr:rowOff>1</xdr:rowOff>
    </xdr:from>
    <xdr:to>
      <xdr:col>44</xdr:col>
      <xdr:colOff>0</xdr:colOff>
      <xdr:row>10</xdr:row>
      <xdr:rowOff>0</xdr:rowOff>
    </xdr:to>
    <xdr:cxnSp macro="">
      <xdr:nvCxnSpPr>
        <xdr:cNvPr id="10" name="カギ線コネクタ 9"/>
        <xdr:cNvCxnSpPr/>
      </xdr:nvCxnSpPr>
      <xdr:spPr>
        <a:xfrm>
          <a:off x="9760321" y="1543051"/>
          <a:ext cx="717179" cy="171449"/>
        </a:xfrm>
        <a:prstGeom prst="bentConnector3">
          <a:avLst/>
        </a:prstGeom>
        <a:ln>
          <a:solidFill>
            <a:sysClr val="windowText" lastClr="000000"/>
          </a:solidFill>
          <a:headEnd type="non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0</xdr:colOff>
      <xdr:row>11</xdr:row>
      <xdr:rowOff>0</xdr:rowOff>
    </xdr:from>
    <xdr:to>
      <xdr:col>44</xdr:col>
      <xdr:colOff>3</xdr:colOff>
      <xdr:row>11</xdr:row>
      <xdr:rowOff>168087</xdr:rowOff>
    </xdr:to>
    <xdr:cxnSp macro="">
      <xdr:nvCxnSpPr>
        <xdr:cNvPr id="11" name="カギ線コネクタ 10"/>
        <xdr:cNvCxnSpPr/>
      </xdr:nvCxnSpPr>
      <xdr:spPr>
        <a:xfrm>
          <a:off x="9763125" y="1885950"/>
          <a:ext cx="714378" cy="168087"/>
        </a:xfrm>
        <a:prstGeom prst="bentConnector3">
          <a:avLst/>
        </a:prstGeom>
        <a:ln>
          <a:solidFill>
            <a:sysClr val="windowText" lastClr="000000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</xdr:colOff>
      <xdr:row>13</xdr:row>
      <xdr:rowOff>0</xdr:rowOff>
    </xdr:from>
    <xdr:to>
      <xdr:col>44</xdr:col>
      <xdr:colOff>0</xdr:colOff>
      <xdr:row>14</xdr:row>
      <xdr:rowOff>0</xdr:rowOff>
    </xdr:to>
    <xdr:cxnSp macro="">
      <xdr:nvCxnSpPr>
        <xdr:cNvPr id="12" name="カギ線コネクタ 11"/>
        <xdr:cNvCxnSpPr/>
      </xdr:nvCxnSpPr>
      <xdr:spPr>
        <a:xfrm rot="10800000">
          <a:off x="9763127" y="2228850"/>
          <a:ext cx="714373" cy="171450"/>
        </a:xfrm>
        <a:prstGeom prst="bentConnector3">
          <a:avLst/>
        </a:prstGeom>
        <a:ln>
          <a:solidFill>
            <a:sysClr val="windowText" lastClr="000000"/>
          </a:solidFill>
          <a:headEnd w="lg" len="lg"/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235321</xdr:colOff>
      <xdr:row>11</xdr:row>
      <xdr:rowOff>0</xdr:rowOff>
    </xdr:from>
    <xdr:to>
      <xdr:col>50</xdr:col>
      <xdr:colOff>0</xdr:colOff>
      <xdr:row>12</xdr:row>
      <xdr:rowOff>0</xdr:rowOff>
    </xdr:to>
    <xdr:cxnSp macro="">
      <xdr:nvCxnSpPr>
        <xdr:cNvPr id="13" name="カギ線コネクタ 12"/>
        <xdr:cNvCxnSpPr/>
      </xdr:nvCxnSpPr>
      <xdr:spPr>
        <a:xfrm>
          <a:off x="11189071" y="1885950"/>
          <a:ext cx="717179" cy="171450"/>
        </a:xfrm>
        <a:prstGeom prst="bentConnector3">
          <a:avLst/>
        </a:prstGeom>
        <a:ln>
          <a:solidFill>
            <a:sysClr val="windowText" lastClr="000000"/>
          </a:solidFill>
          <a:headEnd type="arrow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13</xdr:row>
      <xdr:rowOff>0</xdr:rowOff>
    </xdr:from>
    <xdr:to>
      <xdr:col>50</xdr:col>
      <xdr:colOff>3</xdr:colOff>
      <xdr:row>14</xdr:row>
      <xdr:rowOff>0</xdr:rowOff>
    </xdr:to>
    <xdr:cxnSp macro="">
      <xdr:nvCxnSpPr>
        <xdr:cNvPr id="14" name="カギ線コネクタ 13"/>
        <xdr:cNvCxnSpPr/>
      </xdr:nvCxnSpPr>
      <xdr:spPr>
        <a:xfrm>
          <a:off x="11191875" y="2228850"/>
          <a:ext cx="714378" cy="171450"/>
        </a:xfrm>
        <a:prstGeom prst="bentConnector3">
          <a:avLst/>
        </a:prstGeom>
        <a:ln>
          <a:solidFill>
            <a:sysClr val="windowText" lastClr="000000"/>
          </a:solidFill>
          <a:headEnd type="arrow" w="lg" len="lg"/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19</xdr:row>
      <xdr:rowOff>0</xdr:rowOff>
    </xdr:from>
    <xdr:to>
      <xdr:col>10</xdr:col>
      <xdr:colOff>21970</xdr:colOff>
      <xdr:row>29</xdr:row>
      <xdr:rowOff>105400</xdr:rowOff>
    </xdr:to>
    <xdr:pic>
      <xdr:nvPicPr>
        <xdr:cNvPr id="183" name="ERImg-actor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5324" y="3193676"/>
          <a:ext cx="2139881" cy="1786283"/>
        </a:xfrm>
        <a:prstGeom prst="rect">
          <a:avLst/>
        </a:prstGeom>
        <a:ln w="19050" cap="flat" cmpd="sng" algn="ctr">
          <a:solidFill>
            <a:schemeClr val="bg1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</xdr:pic>
    <xdr:clientData/>
  </xdr:twoCellAnchor>
  <xdr:twoCellAnchor editAs="oneCell">
    <xdr:from>
      <xdr:col>13</xdr:col>
      <xdr:colOff>0</xdr:colOff>
      <xdr:row>19</xdr:row>
      <xdr:rowOff>0</xdr:rowOff>
    </xdr:from>
    <xdr:to>
      <xdr:col>22</xdr:col>
      <xdr:colOff>15873</xdr:colOff>
      <xdr:row>25</xdr:row>
      <xdr:rowOff>101038</xdr:rowOff>
    </xdr:to>
    <xdr:pic>
      <xdr:nvPicPr>
        <xdr:cNvPr id="184" name="ERImg-actor_info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59206" y="3193676"/>
          <a:ext cx="2133785" cy="1109568"/>
        </a:xfrm>
        <a:prstGeom prst="rect">
          <a:avLst/>
        </a:prstGeom>
        <a:ln w="19050" cap="flat" cmpd="sng" algn="ctr">
          <a:solidFill>
            <a:schemeClr val="bg1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</xdr:pic>
    <xdr:clientData/>
  </xdr:twoCellAnchor>
  <xdr:twoCellAnchor editAs="oneCell">
    <xdr:from>
      <xdr:col>25</xdr:col>
      <xdr:colOff>0</xdr:colOff>
      <xdr:row>19</xdr:row>
      <xdr:rowOff>0</xdr:rowOff>
    </xdr:from>
    <xdr:to>
      <xdr:col>34</xdr:col>
      <xdr:colOff>21969</xdr:colOff>
      <xdr:row>32</xdr:row>
      <xdr:rowOff>46181</xdr:rowOff>
    </xdr:to>
    <xdr:pic>
      <xdr:nvPicPr>
        <xdr:cNvPr id="185" name="ERImg-address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83088" y="3193676"/>
          <a:ext cx="2139881" cy="2231329"/>
        </a:xfrm>
        <a:prstGeom prst="rect">
          <a:avLst/>
        </a:prstGeom>
        <a:ln w="19050" cap="flat" cmpd="sng" algn="ctr">
          <a:solidFill>
            <a:schemeClr val="bg1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</xdr:pic>
    <xdr:clientData/>
  </xdr:twoCellAnchor>
  <xdr:twoCellAnchor editAs="oneCell">
    <xdr:from>
      <xdr:col>37</xdr:col>
      <xdr:colOff>0</xdr:colOff>
      <xdr:row>19</xdr:row>
      <xdr:rowOff>0</xdr:rowOff>
    </xdr:from>
    <xdr:to>
      <xdr:col>46</xdr:col>
      <xdr:colOff>21970</xdr:colOff>
      <xdr:row>24</xdr:row>
      <xdr:rowOff>43555</xdr:rowOff>
    </xdr:to>
    <xdr:pic>
      <xdr:nvPicPr>
        <xdr:cNvPr id="188" name="ERImg-category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706971" y="3193676"/>
          <a:ext cx="2139881" cy="883997"/>
        </a:xfrm>
        <a:prstGeom prst="rect">
          <a:avLst/>
        </a:prstGeom>
        <a:ln w="19050" cap="flat" cmpd="sng" algn="ctr">
          <a:solidFill>
            <a:schemeClr val="bg1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10</xdr:col>
      <xdr:colOff>21970</xdr:colOff>
      <xdr:row>45</xdr:row>
      <xdr:rowOff>101038</xdr:rowOff>
    </xdr:to>
    <xdr:pic>
      <xdr:nvPicPr>
        <xdr:cNvPr id="189" name="ERImg-city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35324" y="6555441"/>
          <a:ext cx="2139881" cy="1109568"/>
        </a:xfrm>
        <a:prstGeom prst="rect">
          <a:avLst/>
        </a:prstGeom>
        <a:ln w="19050" cap="flat" cmpd="sng" algn="ctr">
          <a:solidFill>
            <a:schemeClr val="bg1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</xdr:pic>
    <xdr:clientData/>
  </xdr:twoCellAnchor>
  <xdr:twoCellAnchor editAs="oneCell">
    <xdr:from>
      <xdr:col>13</xdr:col>
      <xdr:colOff>179294</xdr:colOff>
      <xdr:row>38</xdr:row>
      <xdr:rowOff>67235</xdr:rowOff>
    </xdr:from>
    <xdr:to>
      <xdr:col>22</xdr:col>
      <xdr:colOff>195167</xdr:colOff>
      <xdr:row>43</xdr:row>
      <xdr:rowOff>110791</xdr:rowOff>
    </xdr:to>
    <xdr:pic>
      <xdr:nvPicPr>
        <xdr:cNvPr id="190" name="ERImg-country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38500" y="6454588"/>
          <a:ext cx="2133785" cy="883997"/>
        </a:xfrm>
        <a:prstGeom prst="rect">
          <a:avLst/>
        </a:prstGeom>
        <a:ln w="19050" cap="flat" cmpd="sng" algn="ctr">
          <a:solidFill>
            <a:schemeClr val="bg1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>
        <a:ln w="19050">
          <a:solidFill>
            <a:sysClr val="windowText" lastClr="000000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printerSettings" Target="../printerSettings/printerSettings8.bin"/><Relationship Id="rId4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b">
    <pageSetUpPr fitToPage="1"/>
  </sheetPr>
  <dimension ref="A1:V70"/>
  <sheetViews>
    <sheetView showGridLines="0" zoomScaleNormal="100" workbookViewId="0">
      <pane ySplit="4" topLeftCell="A5" activePane="bottomLeft" state="frozen"/>
      <selection pane="bottomLeft" activeCell="A5" sqref="A5:B5"/>
    </sheetView>
  </sheetViews>
  <sheetFormatPr defaultRowHeight="15" customHeight="1"/>
  <cols>
    <col min="1" max="1" width="25.7109375" style="16" customWidth="1"/>
    <col min="2" max="2" width="25.7109375" style="17" customWidth="1"/>
    <col min="3" max="3" width="5.7109375" style="16" customWidth="1"/>
    <col min="4" max="4" width="25.7109375" style="16" customWidth="1"/>
    <col min="5" max="5" width="25.7109375" style="17" customWidth="1"/>
    <col min="6" max="6" width="5.7109375" style="16" customWidth="1"/>
    <col min="7" max="7" width="27.85546875" style="5" customWidth="1"/>
    <col min="8" max="8" width="13.42578125" style="5" customWidth="1"/>
    <col min="9" max="9" width="31.28515625" style="5" bestFit="1" customWidth="1"/>
    <col min="10" max="10" width="26.85546875" style="5" customWidth="1"/>
    <col min="11" max="11" width="27.42578125" style="5" customWidth="1"/>
    <col min="12" max="12" width="7.42578125" style="179" customWidth="1"/>
    <col min="13" max="13" width="9.5703125" style="5" customWidth="1"/>
    <col min="14" max="15" width="26.85546875" style="5" customWidth="1"/>
    <col min="16" max="17" width="15.7109375" style="179" customWidth="1"/>
    <col min="18" max="18" width="16.42578125" style="5" customWidth="1"/>
    <col min="19" max="19" width="34.7109375" style="5" customWidth="1"/>
    <col min="20" max="20" width="5.7109375" style="3" customWidth="1"/>
    <col min="21" max="21" width="22.85546875" style="5" customWidth="1"/>
    <col min="22" max="22" width="40.28515625" style="5" customWidth="1"/>
    <col min="23" max="16384" width="9.140625" style="5"/>
  </cols>
  <sheetData>
    <row r="1" spans="1:22" s="2" customFormat="1" ht="15" customHeight="1">
      <c r="A1" s="64">
        <f>COLUMN()</f>
        <v>1</v>
      </c>
      <c r="B1" s="65">
        <f>COLUMN()</f>
        <v>2</v>
      </c>
      <c r="C1" s="64">
        <f>COLUMN()</f>
        <v>3</v>
      </c>
      <c r="D1" s="64">
        <f>COLUMN()</f>
        <v>4</v>
      </c>
      <c r="E1" s="65">
        <f>COLUMN()</f>
        <v>5</v>
      </c>
      <c r="F1" s="64">
        <f>COLUMN()</f>
        <v>6</v>
      </c>
      <c r="G1" s="2">
        <f>COLUMN()</f>
        <v>7</v>
      </c>
      <c r="H1" s="2">
        <f>COLUMN()</f>
        <v>8</v>
      </c>
      <c r="I1" s="2">
        <f>COLUMN()</f>
        <v>9</v>
      </c>
      <c r="J1" s="2">
        <f>COLUMN()</f>
        <v>10</v>
      </c>
      <c r="K1" s="2">
        <f>COLUMN()</f>
        <v>11</v>
      </c>
      <c r="L1" s="178">
        <f>COLUMN()</f>
        <v>12</v>
      </c>
      <c r="M1" s="2">
        <f>COLUMN()</f>
        <v>13</v>
      </c>
      <c r="N1" s="2">
        <f>COLUMN()</f>
        <v>14</v>
      </c>
      <c r="O1" s="2">
        <f>COLUMN()</f>
        <v>15</v>
      </c>
      <c r="P1" s="178">
        <f>COLUMN()</f>
        <v>16</v>
      </c>
      <c r="Q1" s="178">
        <f>COLUMN()</f>
        <v>17</v>
      </c>
      <c r="R1" s="2">
        <f>COLUMN()</f>
        <v>18</v>
      </c>
      <c r="S1" s="2">
        <f>COLUMN()</f>
        <v>19</v>
      </c>
      <c r="T1" s="2">
        <f>COLUMN()</f>
        <v>20</v>
      </c>
      <c r="U1" s="2">
        <f>COLUMN()</f>
        <v>21</v>
      </c>
      <c r="V1" s="2">
        <f>COLUMN()</f>
        <v>22</v>
      </c>
    </row>
    <row r="3" spans="1:22" ht="15" customHeight="1">
      <c r="A3" s="53" t="s">
        <v>226</v>
      </c>
      <c r="B3" s="54"/>
      <c r="D3" s="53" t="s">
        <v>455</v>
      </c>
      <c r="E3" s="15"/>
      <c r="G3" s="53" t="s">
        <v>238</v>
      </c>
      <c r="K3" s="179"/>
      <c r="M3" s="70" t="s">
        <v>310</v>
      </c>
      <c r="R3" s="1" t="s">
        <v>127</v>
      </c>
      <c r="S3" s="2"/>
      <c r="U3" s="1" t="s">
        <v>103</v>
      </c>
      <c r="V3" s="4" t="s">
        <v>379</v>
      </c>
    </row>
    <row r="4" spans="1:22" ht="15" customHeight="1">
      <c r="A4" s="55" t="s">
        <v>104</v>
      </c>
      <c r="B4" s="55" t="s">
        <v>105</v>
      </c>
      <c r="D4" s="46" t="s">
        <v>104</v>
      </c>
      <c r="E4" s="46" t="s">
        <v>105</v>
      </c>
      <c r="G4" s="55" t="s">
        <v>273</v>
      </c>
      <c r="H4" s="55" t="s">
        <v>270</v>
      </c>
      <c r="I4" s="55" t="s">
        <v>271</v>
      </c>
      <c r="J4" s="55" t="s">
        <v>272</v>
      </c>
      <c r="K4" s="55" t="s">
        <v>432</v>
      </c>
      <c r="M4" s="55" t="s">
        <v>274</v>
      </c>
      <c r="N4" s="55" t="s">
        <v>275</v>
      </c>
      <c r="O4" s="179"/>
      <c r="R4" s="6" t="s">
        <v>104</v>
      </c>
      <c r="S4" s="6" t="s">
        <v>105</v>
      </c>
      <c r="U4" s="6" t="s">
        <v>104</v>
      </c>
      <c r="V4" s="6" t="s">
        <v>105</v>
      </c>
    </row>
    <row r="5" spans="1:22" ht="15" customHeight="1">
      <c r="A5" s="56" t="s">
        <v>568</v>
      </c>
      <c r="B5" s="57" t="s">
        <v>569</v>
      </c>
      <c r="D5" s="47" t="s">
        <v>454</v>
      </c>
      <c r="E5" s="49"/>
      <c r="G5" s="43" t="s">
        <v>124</v>
      </c>
      <c r="H5" s="43" t="s">
        <v>269</v>
      </c>
      <c r="I5" s="45" t="s">
        <v>220</v>
      </c>
      <c r="J5" s="45" t="s">
        <v>205</v>
      </c>
      <c r="K5" s="73" t="s">
        <v>434</v>
      </c>
      <c r="M5" s="45">
        <v>2</v>
      </c>
      <c r="N5" s="45" t="s">
        <v>276</v>
      </c>
      <c r="O5" s="179"/>
      <c r="P5" s="180"/>
      <c r="Q5" s="180"/>
      <c r="R5" s="24" t="s">
        <v>199</v>
      </c>
      <c r="S5" s="10" t="s">
        <v>200</v>
      </c>
      <c r="T5" s="5"/>
      <c r="U5" s="25" t="s">
        <v>65</v>
      </c>
      <c r="V5" s="26" t="s">
        <v>215</v>
      </c>
    </row>
    <row r="6" spans="1:22" ht="15" customHeight="1">
      <c r="A6" s="56" t="s">
        <v>232</v>
      </c>
      <c r="B6" s="58" t="b">
        <v>1</v>
      </c>
      <c r="D6" s="47" t="s">
        <v>453</v>
      </c>
      <c r="E6" s="48"/>
      <c r="G6" s="43" t="s">
        <v>187</v>
      </c>
      <c r="H6" s="43" t="s">
        <v>267</v>
      </c>
      <c r="I6" s="45" t="s">
        <v>219</v>
      </c>
      <c r="J6" s="45" t="s">
        <v>317</v>
      </c>
      <c r="K6" s="73" t="s">
        <v>433</v>
      </c>
      <c r="M6" s="45">
        <v>3</v>
      </c>
      <c r="N6" s="45" t="s">
        <v>320</v>
      </c>
      <c r="O6" s="11"/>
      <c r="P6" s="180"/>
      <c r="Q6" s="180"/>
      <c r="R6" s="24" t="s">
        <v>203</v>
      </c>
      <c r="S6" s="10" t="s">
        <v>223</v>
      </c>
      <c r="T6" s="5"/>
      <c r="U6" s="25" t="s">
        <v>3</v>
      </c>
      <c r="V6" s="27">
        <v>43634</v>
      </c>
    </row>
    <row r="7" spans="1:22" ht="15" customHeight="1">
      <c r="A7" s="56" t="s">
        <v>233</v>
      </c>
      <c r="B7" s="58" t="b">
        <v>1</v>
      </c>
      <c r="D7" s="50" t="s">
        <v>541</v>
      </c>
      <c r="E7" s="49"/>
      <c r="G7" s="43" t="s">
        <v>188</v>
      </c>
      <c r="H7" s="43" t="s">
        <v>268</v>
      </c>
      <c r="I7" s="45" t="s">
        <v>201</v>
      </c>
      <c r="J7" s="45" t="s">
        <v>207</v>
      </c>
      <c r="K7" s="73" t="s">
        <v>435</v>
      </c>
      <c r="M7" s="45">
        <v>4</v>
      </c>
      <c r="N7" s="45" t="s">
        <v>277</v>
      </c>
      <c r="O7" s="11"/>
      <c r="P7" s="180"/>
      <c r="Q7" s="180"/>
      <c r="R7" s="24" t="s">
        <v>241</v>
      </c>
      <c r="S7" s="28" t="s">
        <v>224</v>
      </c>
      <c r="T7" s="5"/>
      <c r="U7" s="25" t="s">
        <v>128</v>
      </c>
      <c r="V7" s="29" t="s">
        <v>216</v>
      </c>
    </row>
    <row r="8" spans="1:22" ht="15" customHeight="1">
      <c r="A8" s="56" t="s">
        <v>234</v>
      </c>
      <c r="B8" s="57" t="s">
        <v>235</v>
      </c>
      <c r="D8" s="47" t="s">
        <v>456</v>
      </c>
      <c r="E8" s="48"/>
      <c r="G8" s="43" t="s">
        <v>221</v>
      </c>
      <c r="H8" s="43" t="s">
        <v>200</v>
      </c>
      <c r="I8" s="45"/>
      <c r="J8" s="45" t="s">
        <v>206</v>
      </c>
      <c r="K8" s="73"/>
      <c r="M8" s="45">
        <v>5</v>
      </c>
      <c r="N8" s="45" t="s">
        <v>278</v>
      </c>
      <c r="O8" s="11"/>
      <c r="P8" s="180"/>
      <c r="Q8" s="180"/>
      <c r="R8" s="24" t="s">
        <v>213</v>
      </c>
      <c r="S8" s="30"/>
      <c r="T8" s="5"/>
      <c r="U8" s="25" t="s">
        <v>5</v>
      </c>
      <c r="V8" s="23">
        <v>43634</v>
      </c>
    </row>
    <row r="9" spans="1:22" ht="15" customHeight="1">
      <c r="A9" s="56" t="s">
        <v>236</v>
      </c>
      <c r="B9" s="57" t="s">
        <v>237</v>
      </c>
      <c r="D9" s="50"/>
      <c r="E9" s="48"/>
      <c r="G9" s="43" t="s">
        <v>125</v>
      </c>
      <c r="H9" s="43"/>
      <c r="I9" s="45"/>
      <c r="J9" s="45"/>
      <c r="K9" s="73"/>
      <c r="M9" s="45">
        <v>6</v>
      </c>
      <c r="N9" s="45" t="s">
        <v>351</v>
      </c>
      <c r="O9" s="11"/>
      <c r="P9" s="180"/>
      <c r="Q9" s="180"/>
      <c r="R9" s="24" t="s">
        <v>214</v>
      </c>
      <c r="S9" s="30"/>
      <c r="T9" s="5"/>
      <c r="U9" s="25" t="s">
        <v>4</v>
      </c>
      <c r="V9" s="23" t="s">
        <v>222</v>
      </c>
    </row>
    <row r="10" spans="1:22" ht="15" customHeight="1">
      <c r="A10" s="56"/>
      <c r="B10" s="57"/>
      <c r="D10" s="50"/>
      <c r="E10" s="48"/>
      <c r="G10" s="45" t="s">
        <v>309</v>
      </c>
      <c r="H10" s="43"/>
      <c r="I10" s="45"/>
      <c r="J10" s="45"/>
      <c r="K10" s="73"/>
      <c r="M10" s="45">
        <v>7</v>
      </c>
      <c r="N10" s="45" t="s">
        <v>321</v>
      </c>
      <c r="O10" s="11"/>
      <c r="P10" s="180"/>
      <c r="Q10" s="180"/>
      <c r="R10" s="24"/>
      <c r="S10" s="30"/>
      <c r="T10" s="5"/>
      <c r="U10" s="25"/>
      <c r="V10" s="23"/>
    </row>
    <row r="11" spans="1:22" ht="15" customHeight="1">
      <c r="A11" s="56" t="s">
        <v>424</v>
      </c>
      <c r="B11" s="60" t="s">
        <v>425</v>
      </c>
      <c r="D11" s="50"/>
      <c r="E11" s="48"/>
      <c r="G11" s="45"/>
      <c r="H11" s="181"/>
      <c r="I11" s="45"/>
      <c r="J11" s="45"/>
      <c r="K11" s="73"/>
      <c r="M11" s="45">
        <v>8</v>
      </c>
      <c r="N11" s="45" t="s">
        <v>279</v>
      </c>
      <c r="O11" s="11"/>
      <c r="P11" s="180"/>
      <c r="Q11" s="180"/>
      <c r="R11" s="24" t="s">
        <v>204</v>
      </c>
      <c r="S11" s="30"/>
      <c r="T11" s="5"/>
      <c r="U11" s="25"/>
      <c r="V11" s="23"/>
    </row>
    <row r="12" spans="1:22" ht="15" customHeight="1">
      <c r="A12" s="59" t="s">
        <v>253</v>
      </c>
      <c r="B12" s="60" t="s">
        <v>264</v>
      </c>
      <c r="D12" s="50"/>
      <c r="E12" s="48"/>
      <c r="G12" s="44"/>
      <c r="H12" s="182"/>
      <c r="I12" s="44"/>
      <c r="J12" s="44"/>
      <c r="K12" s="74"/>
      <c r="M12" s="45">
        <v>9</v>
      </c>
      <c r="N12" s="45" t="s">
        <v>280</v>
      </c>
      <c r="O12" s="11"/>
      <c r="P12" s="180"/>
      <c r="Q12" s="180"/>
      <c r="R12" s="24" t="s">
        <v>110</v>
      </c>
      <c r="S12" s="30"/>
      <c r="T12" s="5"/>
      <c r="U12" s="25"/>
      <c r="V12" s="31" t="e">
        <f>プロジェクト名 &amp; IF(システム名="",""," ["&amp;システム名&amp;"]") &amp; "DB設計書"</f>
        <v>#NAME?</v>
      </c>
    </row>
    <row r="13" spans="1:22" ht="15" customHeight="1">
      <c r="A13" s="59" t="s">
        <v>254</v>
      </c>
      <c r="B13" s="57" t="s">
        <v>265</v>
      </c>
      <c r="D13" s="50"/>
      <c r="E13" s="48"/>
      <c r="H13" s="179"/>
      <c r="M13" s="45">
        <v>10</v>
      </c>
      <c r="N13" s="45" t="s">
        <v>281</v>
      </c>
      <c r="P13" s="180"/>
      <c r="Q13" s="180"/>
      <c r="R13" s="24" t="s">
        <v>123</v>
      </c>
      <c r="S13" s="30"/>
      <c r="T13" s="5"/>
    </row>
    <row r="14" spans="1:22" ht="15" customHeight="1">
      <c r="A14" s="56" t="s">
        <v>256</v>
      </c>
      <c r="B14" s="57" t="s">
        <v>266</v>
      </c>
      <c r="D14" s="50"/>
      <c r="E14" s="48"/>
      <c r="H14" s="179"/>
      <c r="M14" s="45">
        <v>11</v>
      </c>
      <c r="N14" s="66" t="s">
        <v>343</v>
      </c>
      <c r="P14" s="180"/>
      <c r="Q14" s="180"/>
      <c r="R14" s="24" t="s">
        <v>208</v>
      </c>
      <c r="S14" s="30"/>
      <c r="T14" s="5"/>
      <c r="U14" s="8"/>
      <c r="V14" s="8"/>
    </row>
    <row r="15" spans="1:22" ht="15" customHeight="1">
      <c r="A15" s="56" t="s">
        <v>257</v>
      </c>
      <c r="B15" s="69">
        <v>44287</v>
      </c>
      <c r="D15" s="50"/>
      <c r="E15" s="48"/>
      <c r="H15" s="179"/>
      <c r="M15" s="45">
        <v>12</v>
      </c>
      <c r="N15" s="45" t="s">
        <v>282</v>
      </c>
      <c r="P15" s="180"/>
      <c r="Q15" s="180"/>
      <c r="R15" s="24" t="s">
        <v>209</v>
      </c>
      <c r="S15" s="10" t="s">
        <v>217</v>
      </c>
      <c r="T15" s="5"/>
      <c r="U15" s="8"/>
      <c r="V15" s="8"/>
    </row>
    <row r="16" spans="1:22" ht="15" customHeight="1">
      <c r="A16" s="56"/>
      <c r="B16" s="57"/>
      <c r="D16" s="50"/>
      <c r="E16" s="48"/>
      <c r="H16" s="179"/>
      <c r="M16" s="45">
        <v>13</v>
      </c>
      <c r="N16" s="45" t="s">
        <v>283</v>
      </c>
      <c r="P16" s="180"/>
      <c r="Q16" s="180"/>
      <c r="R16" s="24" t="s">
        <v>210</v>
      </c>
      <c r="S16" s="10" t="s">
        <v>218</v>
      </c>
      <c r="T16" s="5"/>
      <c r="U16" s="8"/>
      <c r="V16" s="8"/>
    </row>
    <row r="17" spans="1:22" ht="15" customHeight="1">
      <c r="A17" s="56" t="s">
        <v>316</v>
      </c>
      <c r="B17" s="43" t="s">
        <v>200</v>
      </c>
      <c r="D17" s="50"/>
      <c r="E17" s="48"/>
      <c r="M17" s="45">
        <v>14</v>
      </c>
      <c r="N17" s="45" t="s">
        <v>284</v>
      </c>
      <c r="P17" s="180"/>
      <c r="Q17" s="180"/>
      <c r="R17" s="24"/>
      <c r="S17" s="10"/>
      <c r="T17" s="5"/>
      <c r="U17" s="8"/>
      <c r="V17" s="8"/>
    </row>
    <row r="18" spans="1:22" ht="15" customHeight="1">
      <c r="A18" s="56" t="s">
        <v>239</v>
      </c>
      <c r="B18" s="72"/>
      <c r="D18" s="50"/>
      <c r="E18" s="48"/>
      <c r="M18" s="45">
        <v>16</v>
      </c>
      <c r="N18" s="45" t="s">
        <v>285</v>
      </c>
      <c r="P18" s="180"/>
      <c r="Q18" s="180"/>
      <c r="T18" s="5"/>
      <c r="U18" s="8"/>
      <c r="V18" s="8"/>
    </row>
    <row r="19" spans="1:22" ht="15" customHeight="1">
      <c r="A19" s="56" t="s">
        <v>240</v>
      </c>
      <c r="B19" s="57" t="s">
        <v>313</v>
      </c>
      <c r="D19" s="50"/>
      <c r="E19" s="48"/>
      <c r="H19" s="32"/>
      <c r="M19" s="45">
        <v>17</v>
      </c>
      <c r="N19" s="45" t="s">
        <v>286</v>
      </c>
      <c r="P19" s="180"/>
      <c r="Q19" s="180"/>
      <c r="R19" s="206" t="s">
        <v>106</v>
      </c>
      <c r="S19" s="207"/>
      <c r="T19" s="5"/>
      <c r="U19" s="8"/>
      <c r="V19" s="8"/>
    </row>
    <row r="20" spans="1:22" ht="15" customHeight="1">
      <c r="A20" s="56" t="s">
        <v>242</v>
      </c>
      <c r="B20" s="57" t="s">
        <v>460</v>
      </c>
      <c r="D20" s="50"/>
      <c r="E20" s="48"/>
      <c r="H20" s="32"/>
      <c r="M20" s="45">
        <v>18</v>
      </c>
      <c r="N20" s="45" t="s">
        <v>287</v>
      </c>
      <c r="P20" s="180"/>
      <c r="Q20" s="180"/>
      <c r="R20" s="9" t="s">
        <v>211</v>
      </c>
      <c r="S20" s="10">
        <v>10</v>
      </c>
      <c r="T20" s="5"/>
      <c r="U20" s="8"/>
      <c r="V20" s="8"/>
    </row>
    <row r="21" spans="1:22" ht="15" customHeight="1">
      <c r="A21" s="56" t="s">
        <v>311</v>
      </c>
      <c r="B21" s="57" t="s">
        <v>457</v>
      </c>
      <c r="D21" s="50"/>
      <c r="E21" s="48"/>
      <c r="H21" s="32"/>
      <c r="M21" s="45">
        <v>19</v>
      </c>
      <c r="N21" s="45" t="s">
        <v>288</v>
      </c>
      <c r="P21" s="180"/>
      <c r="Q21" s="180"/>
      <c r="R21" s="9" t="s">
        <v>66</v>
      </c>
      <c r="S21" s="10">
        <v>8192</v>
      </c>
      <c r="T21" s="5"/>
      <c r="U21" s="8"/>
      <c r="V21" s="8"/>
    </row>
    <row r="22" spans="1:22" ht="15" customHeight="1">
      <c r="A22" s="59" t="s">
        <v>308</v>
      </c>
      <c r="B22" s="57"/>
      <c r="D22" s="50"/>
      <c r="E22" s="48"/>
      <c r="H22" s="32"/>
      <c r="M22" s="45">
        <v>20</v>
      </c>
      <c r="N22" s="45" t="s">
        <v>289</v>
      </c>
      <c r="P22" s="180"/>
      <c r="Q22" s="180"/>
      <c r="R22" s="9"/>
      <c r="S22" s="10"/>
      <c r="T22" s="5"/>
      <c r="U22" s="8"/>
      <c r="V22" s="8"/>
    </row>
    <row r="23" spans="1:22" ht="15" customHeight="1">
      <c r="A23" s="59" t="s">
        <v>307</v>
      </c>
      <c r="B23" s="57" t="s">
        <v>458</v>
      </c>
      <c r="D23" s="50"/>
      <c r="E23" s="48"/>
      <c r="H23" s="32"/>
      <c r="M23" s="45">
        <v>21</v>
      </c>
      <c r="N23" s="45" t="s">
        <v>290</v>
      </c>
      <c r="P23" s="180"/>
      <c r="Q23" s="180"/>
      <c r="T23" s="5"/>
      <c r="U23" s="8"/>
      <c r="V23" s="8"/>
    </row>
    <row r="24" spans="1:22" ht="15" customHeight="1">
      <c r="A24" s="56" t="s">
        <v>251</v>
      </c>
      <c r="B24" s="57"/>
      <c r="D24" s="50"/>
      <c r="E24" s="48"/>
      <c r="H24" s="32"/>
      <c r="M24" s="45">
        <v>64</v>
      </c>
      <c r="N24" s="45" t="s">
        <v>291</v>
      </c>
      <c r="P24" s="180"/>
      <c r="Q24" s="180"/>
      <c r="R24" s="206"/>
      <c r="S24" s="207"/>
      <c r="T24" s="5"/>
      <c r="U24" s="8"/>
      <c r="V24" s="8"/>
    </row>
    <row r="25" spans="1:22" ht="15" customHeight="1">
      <c r="A25" s="56" t="s">
        <v>252</v>
      </c>
      <c r="B25" s="57"/>
      <c r="D25" s="47"/>
      <c r="E25" s="48"/>
      <c r="H25" s="32"/>
      <c r="M25" s="45">
        <v>72</v>
      </c>
      <c r="N25" s="45" t="s">
        <v>292</v>
      </c>
      <c r="P25" s="180"/>
      <c r="Q25" s="180"/>
      <c r="R25" s="9"/>
      <c r="S25" s="10"/>
      <c r="T25" s="5"/>
    </row>
    <row r="26" spans="1:22" ht="15" customHeight="1">
      <c r="A26" s="56"/>
      <c r="B26" s="57"/>
      <c r="D26" s="47"/>
      <c r="E26" s="48"/>
      <c r="H26" s="32"/>
      <c r="M26" s="45">
        <v>128</v>
      </c>
      <c r="N26" s="45" t="s">
        <v>293</v>
      </c>
      <c r="P26" s="180"/>
      <c r="Q26" s="180"/>
      <c r="R26" s="9" t="s">
        <v>66</v>
      </c>
      <c r="S26" s="10">
        <v>8192</v>
      </c>
      <c r="T26" s="5"/>
      <c r="U26" s="8"/>
      <c r="V26" s="8"/>
    </row>
    <row r="27" spans="1:22" ht="15" customHeight="1">
      <c r="A27" s="56" t="s">
        <v>420</v>
      </c>
      <c r="B27" s="57" t="s">
        <v>421</v>
      </c>
      <c r="D27" s="47"/>
      <c r="E27" s="48"/>
      <c r="H27" s="32"/>
      <c r="M27" s="45">
        <v>129</v>
      </c>
      <c r="N27" s="45" t="s">
        <v>294</v>
      </c>
      <c r="P27" s="180"/>
      <c r="Q27" s="180"/>
      <c r="R27" s="9" t="s">
        <v>212</v>
      </c>
      <c r="S27" s="10">
        <v>1</v>
      </c>
      <c r="T27" s="5"/>
      <c r="U27" s="8"/>
      <c r="V27" s="8"/>
    </row>
    <row r="28" spans="1:22" ht="15" customHeight="1">
      <c r="A28" s="56" t="s">
        <v>422</v>
      </c>
      <c r="B28" s="57" t="s">
        <v>423</v>
      </c>
      <c r="D28" s="47"/>
      <c r="E28" s="48"/>
      <c r="H28" s="11"/>
      <c r="M28" s="45">
        <v>130</v>
      </c>
      <c r="N28" s="45" t="s">
        <v>295</v>
      </c>
      <c r="P28" s="180"/>
      <c r="Q28" s="180"/>
      <c r="T28" s="5"/>
      <c r="U28" s="8"/>
      <c r="V28" s="8"/>
    </row>
    <row r="29" spans="1:22" ht="15" customHeight="1">
      <c r="A29" s="56"/>
      <c r="B29" s="57"/>
      <c r="D29" s="47"/>
      <c r="E29" s="48"/>
      <c r="H29" s="11"/>
      <c r="M29" s="45">
        <v>131</v>
      </c>
      <c r="N29" s="45" t="s">
        <v>296</v>
      </c>
      <c r="P29" s="180"/>
      <c r="Q29" s="180"/>
      <c r="T29" s="5"/>
    </row>
    <row r="30" spans="1:22" ht="15" customHeight="1">
      <c r="A30" s="56"/>
      <c r="B30" s="57"/>
      <c r="D30" s="47"/>
      <c r="E30" s="48"/>
      <c r="H30" s="11"/>
      <c r="M30" s="45">
        <v>132</v>
      </c>
      <c r="N30" s="45" t="s">
        <v>297</v>
      </c>
      <c r="P30" s="180"/>
      <c r="Q30" s="180"/>
      <c r="T30" s="5"/>
    </row>
    <row r="31" spans="1:22" ht="15" customHeight="1">
      <c r="A31" s="56" t="s">
        <v>375</v>
      </c>
      <c r="B31" s="57" t="s">
        <v>376</v>
      </c>
      <c r="D31" s="47"/>
      <c r="E31" s="48"/>
      <c r="H31" s="11"/>
      <c r="M31" s="45">
        <v>133</v>
      </c>
      <c r="N31" s="45" t="s">
        <v>298</v>
      </c>
      <c r="P31" s="180"/>
      <c r="Q31" s="180"/>
      <c r="T31" s="5"/>
    </row>
    <row r="32" spans="1:22" ht="15" customHeight="1">
      <c r="A32" s="56" t="s">
        <v>371</v>
      </c>
      <c r="B32" s="57" t="s">
        <v>373</v>
      </c>
      <c r="D32" s="47"/>
      <c r="E32" s="48"/>
      <c r="H32" s="11"/>
      <c r="M32" s="45">
        <v>134</v>
      </c>
      <c r="N32" s="45" t="s">
        <v>299</v>
      </c>
      <c r="P32" s="180"/>
      <c r="Q32" s="180"/>
      <c r="T32" s="5"/>
    </row>
    <row r="33" spans="1:20" ht="15" customHeight="1">
      <c r="A33" s="56" t="s">
        <v>372</v>
      </c>
      <c r="B33" s="57" t="s">
        <v>374</v>
      </c>
      <c r="D33" s="47"/>
      <c r="E33" s="48"/>
      <c r="H33" s="11"/>
      <c r="M33" s="45">
        <v>135</v>
      </c>
      <c r="N33" s="45" t="s">
        <v>300</v>
      </c>
      <c r="P33" s="180"/>
      <c r="Q33" s="180"/>
      <c r="T33" s="5"/>
    </row>
    <row r="34" spans="1:20" ht="15" customHeight="1">
      <c r="A34" s="56" t="s">
        <v>378</v>
      </c>
      <c r="B34" s="57" t="s">
        <v>377</v>
      </c>
      <c r="D34" s="47"/>
      <c r="E34" s="48"/>
      <c r="H34" s="11"/>
      <c r="M34" s="45">
        <v>136</v>
      </c>
      <c r="N34" s="45" t="s">
        <v>301</v>
      </c>
      <c r="P34" s="180"/>
      <c r="Q34" s="180"/>
      <c r="T34" s="5"/>
    </row>
    <row r="35" spans="1:20" ht="15" customHeight="1">
      <c r="A35" s="56" t="s">
        <v>411</v>
      </c>
      <c r="B35" s="57" t="s">
        <v>418</v>
      </c>
      <c r="D35" s="47"/>
      <c r="E35" s="48"/>
      <c r="H35" s="11"/>
      <c r="M35" s="45">
        <v>138</v>
      </c>
      <c r="N35" s="45" t="s">
        <v>302</v>
      </c>
      <c r="P35" s="180"/>
      <c r="Q35" s="180"/>
      <c r="T35" s="5"/>
    </row>
    <row r="36" spans="1:20" ht="15" customHeight="1">
      <c r="A36" s="56" t="s">
        <v>408</v>
      </c>
      <c r="B36" s="57" t="s">
        <v>419</v>
      </c>
      <c r="D36" s="47"/>
      <c r="E36" s="48"/>
      <c r="H36" s="11"/>
      <c r="M36" s="45">
        <v>139</v>
      </c>
      <c r="N36" s="45" t="s">
        <v>303</v>
      </c>
      <c r="P36" s="180"/>
      <c r="Q36" s="180"/>
      <c r="T36" s="5"/>
    </row>
    <row r="37" spans="1:20" ht="15" customHeight="1">
      <c r="A37" s="56" t="s">
        <v>412</v>
      </c>
      <c r="B37" s="57" t="s">
        <v>409</v>
      </c>
      <c r="D37" s="47"/>
      <c r="E37" s="48"/>
      <c r="H37" s="11"/>
      <c r="M37" s="45">
        <v>200</v>
      </c>
      <c r="N37" s="45" t="s">
        <v>304</v>
      </c>
      <c r="P37" s="180"/>
      <c r="Q37" s="180"/>
      <c r="T37" s="5"/>
    </row>
    <row r="38" spans="1:20" ht="15" customHeight="1">
      <c r="A38" s="56" t="s">
        <v>410</v>
      </c>
      <c r="B38" s="57" t="s">
        <v>413</v>
      </c>
      <c r="D38" s="47"/>
      <c r="E38" s="48"/>
      <c r="H38" s="11"/>
      <c r="M38" s="45">
        <v>201</v>
      </c>
      <c r="N38" s="45" t="s">
        <v>305</v>
      </c>
      <c r="P38" s="180"/>
      <c r="Q38" s="180"/>
      <c r="T38" s="5"/>
    </row>
    <row r="39" spans="1:20" ht="15" customHeight="1">
      <c r="A39" s="56"/>
      <c r="B39" s="57"/>
      <c r="D39" s="47"/>
      <c r="E39" s="48"/>
      <c r="H39" s="11"/>
      <c r="M39" s="45">
        <v>202</v>
      </c>
      <c r="N39" s="45" t="s">
        <v>347</v>
      </c>
      <c r="P39" s="180"/>
      <c r="Q39" s="180"/>
      <c r="T39" s="5"/>
    </row>
    <row r="40" spans="1:20" ht="15" customHeight="1">
      <c r="A40" s="56" t="s">
        <v>354</v>
      </c>
      <c r="B40" s="57" t="s">
        <v>355</v>
      </c>
      <c r="D40" s="47"/>
      <c r="E40" s="48"/>
      <c r="H40" s="11"/>
      <c r="M40" s="45">
        <v>203</v>
      </c>
      <c r="N40" s="45" t="s">
        <v>350</v>
      </c>
      <c r="P40" s="180"/>
      <c r="Q40" s="180"/>
      <c r="T40" s="5"/>
    </row>
    <row r="41" spans="1:20" ht="15" customHeight="1">
      <c r="A41" s="56" t="s">
        <v>353</v>
      </c>
      <c r="B41" s="57" t="s">
        <v>356</v>
      </c>
      <c r="D41" s="47"/>
      <c r="E41" s="48"/>
      <c r="H41" s="11"/>
      <c r="M41" s="45">
        <v>204</v>
      </c>
      <c r="N41" s="45" t="s">
        <v>306</v>
      </c>
      <c r="P41" s="180"/>
      <c r="Q41" s="180"/>
      <c r="T41" s="5"/>
    </row>
    <row r="42" spans="1:20" ht="15" customHeight="1">
      <c r="A42" s="56" t="s">
        <v>357</v>
      </c>
      <c r="B42" s="57" t="s">
        <v>358</v>
      </c>
      <c r="D42" s="47"/>
      <c r="E42" s="48"/>
      <c r="H42" s="11"/>
      <c r="M42" s="44">
        <v>205</v>
      </c>
      <c r="N42" s="44" t="s">
        <v>352</v>
      </c>
      <c r="P42" s="180"/>
      <c r="Q42" s="180"/>
      <c r="T42" s="5"/>
    </row>
    <row r="43" spans="1:20" ht="15" customHeight="1">
      <c r="A43" s="56" t="s">
        <v>359</v>
      </c>
      <c r="B43" s="57" t="s">
        <v>360</v>
      </c>
      <c r="D43" s="47"/>
      <c r="E43" s="48"/>
      <c r="H43" s="11"/>
      <c r="P43" s="180"/>
      <c r="Q43" s="180"/>
      <c r="T43" s="5"/>
    </row>
    <row r="44" spans="1:20" ht="15" customHeight="1">
      <c r="A44" s="56" t="s">
        <v>361</v>
      </c>
      <c r="B44" s="57" t="s">
        <v>407</v>
      </c>
      <c r="D44" s="47"/>
      <c r="E44" s="48"/>
      <c r="H44" s="11"/>
      <c r="P44" s="180"/>
      <c r="Q44" s="180"/>
      <c r="T44" s="5"/>
    </row>
    <row r="45" spans="1:20" ht="15" customHeight="1">
      <c r="A45" s="56" t="s">
        <v>362</v>
      </c>
      <c r="B45" s="57" t="s">
        <v>363</v>
      </c>
      <c r="D45" s="47"/>
      <c r="E45" s="48"/>
      <c r="H45" s="11"/>
      <c r="P45" s="180"/>
      <c r="Q45" s="180"/>
      <c r="T45" s="5"/>
    </row>
    <row r="46" spans="1:20" ht="15" customHeight="1">
      <c r="A46" s="56" t="s">
        <v>438</v>
      </c>
      <c r="B46" s="57" t="s">
        <v>364</v>
      </c>
      <c r="D46" s="47"/>
      <c r="E46" s="48"/>
      <c r="H46" s="11"/>
      <c r="P46" s="180"/>
      <c r="Q46" s="180"/>
      <c r="T46" s="5"/>
    </row>
    <row r="47" spans="1:20" ht="15" customHeight="1">
      <c r="A47" s="56" t="s">
        <v>439</v>
      </c>
      <c r="B47" s="57" t="s">
        <v>446</v>
      </c>
      <c r="D47" s="47"/>
      <c r="E47" s="48"/>
      <c r="H47" s="11"/>
      <c r="P47" s="180"/>
      <c r="Q47" s="180"/>
      <c r="T47" s="5"/>
    </row>
    <row r="48" spans="1:20" ht="15" customHeight="1">
      <c r="A48" s="56" t="s">
        <v>440</v>
      </c>
      <c r="B48" s="57" t="s">
        <v>447</v>
      </c>
      <c r="D48" s="47"/>
      <c r="E48" s="48"/>
      <c r="H48" s="11"/>
      <c r="P48" s="180"/>
      <c r="Q48" s="180"/>
      <c r="T48" s="5"/>
    </row>
    <row r="49" spans="1:22" ht="15" customHeight="1">
      <c r="A49" s="56" t="s">
        <v>441</v>
      </c>
      <c r="B49" s="57" t="s">
        <v>448</v>
      </c>
      <c r="D49" s="47"/>
      <c r="E49" s="48"/>
      <c r="H49" s="11"/>
      <c r="P49" s="180"/>
      <c r="Q49" s="180"/>
      <c r="T49" s="5"/>
    </row>
    <row r="50" spans="1:22" ht="15" customHeight="1">
      <c r="A50" s="56" t="s">
        <v>442</v>
      </c>
      <c r="B50" s="57" t="s">
        <v>449</v>
      </c>
      <c r="D50" s="47"/>
      <c r="E50" s="48"/>
      <c r="H50" s="11"/>
      <c r="P50" s="180"/>
      <c r="Q50" s="180"/>
      <c r="T50" s="5"/>
    </row>
    <row r="51" spans="1:22" ht="15" customHeight="1">
      <c r="A51" s="56" t="s">
        <v>443</v>
      </c>
      <c r="B51" s="57" t="s">
        <v>450</v>
      </c>
      <c r="D51" s="47"/>
      <c r="E51" s="48"/>
      <c r="H51" s="11"/>
      <c r="P51" s="180"/>
      <c r="Q51" s="180"/>
      <c r="T51" s="5"/>
    </row>
    <row r="52" spans="1:22" ht="15" customHeight="1">
      <c r="A52" s="56" t="s">
        <v>444</v>
      </c>
      <c r="B52" s="57" t="s">
        <v>451</v>
      </c>
      <c r="D52" s="47"/>
      <c r="E52" s="48"/>
      <c r="H52" s="11"/>
      <c r="P52" s="180"/>
      <c r="Q52" s="180"/>
      <c r="T52" s="5"/>
      <c r="U52" s="8"/>
      <c r="V52" s="8"/>
    </row>
    <row r="53" spans="1:22" ht="15" customHeight="1">
      <c r="A53" s="56" t="s">
        <v>445</v>
      </c>
      <c r="B53" s="57" t="s">
        <v>452</v>
      </c>
      <c r="D53" s="47"/>
      <c r="E53" s="48"/>
      <c r="H53" s="11"/>
      <c r="P53" s="180"/>
      <c r="Q53" s="180"/>
      <c r="T53" s="5"/>
      <c r="U53" s="8"/>
      <c r="V53" s="8"/>
    </row>
    <row r="54" spans="1:22" ht="15" customHeight="1">
      <c r="A54" s="56" t="s">
        <v>436</v>
      </c>
      <c r="B54" s="57" t="s">
        <v>437</v>
      </c>
      <c r="D54" s="47"/>
      <c r="E54" s="48"/>
      <c r="H54" s="11"/>
      <c r="P54" s="180"/>
      <c r="Q54" s="180"/>
      <c r="T54" s="5"/>
      <c r="U54" s="8"/>
      <c r="V54" s="8"/>
    </row>
    <row r="55" spans="1:22" ht="15" customHeight="1">
      <c r="A55" s="56" t="s">
        <v>365</v>
      </c>
      <c r="B55" s="57" t="s">
        <v>414</v>
      </c>
      <c r="D55" s="47"/>
      <c r="E55" s="48"/>
      <c r="H55" s="11"/>
      <c r="P55" s="180"/>
      <c r="Q55" s="180"/>
      <c r="T55" s="5"/>
    </row>
    <row r="56" spans="1:22" ht="15" customHeight="1">
      <c r="A56" s="56" t="s">
        <v>366</v>
      </c>
      <c r="B56" s="57" t="s">
        <v>368</v>
      </c>
      <c r="D56" s="47"/>
      <c r="E56" s="48"/>
      <c r="H56" s="11"/>
      <c r="P56" s="180"/>
      <c r="Q56" s="180"/>
      <c r="T56" s="5"/>
    </row>
    <row r="57" spans="1:22" ht="15" customHeight="1">
      <c r="A57" s="56" t="s">
        <v>367</v>
      </c>
      <c r="B57" s="57" t="s">
        <v>369</v>
      </c>
      <c r="D57" s="47"/>
      <c r="E57" s="48"/>
      <c r="H57" s="11"/>
      <c r="P57" s="180"/>
      <c r="Q57" s="180"/>
      <c r="T57" s="5"/>
    </row>
    <row r="58" spans="1:22" ht="15" customHeight="1">
      <c r="A58" s="56"/>
      <c r="B58" s="57"/>
      <c r="D58" s="47"/>
      <c r="E58" s="48"/>
      <c r="H58" s="11"/>
      <c r="P58" s="180"/>
      <c r="Q58" s="180"/>
      <c r="T58" s="5"/>
    </row>
    <row r="59" spans="1:22" ht="15" customHeight="1">
      <c r="A59" s="56" t="s">
        <v>406</v>
      </c>
      <c r="B59" s="57" t="s">
        <v>415</v>
      </c>
      <c r="D59" s="47"/>
      <c r="E59" s="48"/>
      <c r="H59" s="11"/>
      <c r="P59" s="180"/>
      <c r="Q59" s="180"/>
      <c r="T59" s="5"/>
    </row>
    <row r="60" spans="1:22" ht="15" customHeight="1">
      <c r="A60" s="56" t="s">
        <v>416</v>
      </c>
      <c r="B60" s="57" t="s">
        <v>417</v>
      </c>
      <c r="D60" s="47"/>
      <c r="E60" s="48"/>
      <c r="H60" s="11"/>
      <c r="P60" s="180"/>
      <c r="Q60" s="180"/>
      <c r="T60" s="5"/>
    </row>
    <row r="61" spans="1:22" ht="15" customHeight="1">
      <c r="A61" s="56"/>
      <c r="B61" s="57"/>
      <c r="D61" s="47"/>
      <c r="E61" s="48"/>
      <c r="H61" s="11"/>
      <c r="P61" s="180"/>
      <c r="Q61" s="180"/>
      <c r="T61" s="5"/>
    </row>
    <row r="62" spans="1:22" ht="15" customHeight="1">
      <c r="A62" s="56" t="s">
        <v>427</v>
      </c>
      <c r="B62" s="57" t="s">
        <v>431</v>
      </c>
      <c r="D62" s="51"/>
      <c r="E62" s="52"/>
      <c r="H62" s="11"/>
      <c r="P62" s="180"/>
      <c r="Q62" s="180"/>
      <c r="T62" s="5"/>
    </row>
    <row r="63" spans="1:22" ht="15" customHeight="1">
      <c r="A63" s="56" t="s">
        <v>428</v>
      </c>
      <c r="B63" s="57" t="s">
        <v>430</v>
      </c>
    </row>
    <row r="64" spans="1:22" ht="15" customHeight="1">
      <c r="A64" s="56" t="s">
        <v>429</v>
      </c>
      <c r="B64" s="57" t="s">
        <v>430</v>
      </c>
    </row>
    <row r="65" spans="1:2" ht="15" customHeight="1">
      <c r="A65" s="56"/>
      <c r="B65" s="57"/>
    </row>
    <row r="66" spans="1:2" ht="15" customHeight="1">
      <c r="A66" s="56"/>
      <c r="B66" s="57"/>
    </row>
    <row r="67" spans="1:2" ht="15" customHeight="1">
      <c r="A67" s="56"/>
      <c r="B67" s="57"/>
    </row>
    <row r="68" spans="1:2" ht="15" customHeight="1">
      <c r="A68" s="56"/>
      <c r="B68" s="57"/>
    </row>
    <row r="69" spans="1:2" ht="15" customHeight="1">
      <c r="A69" s="56"/>
      <c r="B69" s="57"/>
    </row>
    <row r="70" spans="1:2" ht="15" customHeight="1">
      <c r="A70" s="61"/>
      <c r="B70" s="62"/>
    </row>
  </sheetData>
  <sheetProtection selectLockedCells="1"/>
  <mergeCells count="2">
    <mergeCell ref="R19:S19"/>
    <mergeCell ref="R24:S24"/>
  </mergeCells>
  <phoneticPr fontId="8"/>
  <dataValidations count="12">
    <dataValidation type="list" allowBlank="1" showErrorMessage="1" prompt="利用DB" sqref="S5">
      <formula1>ODBCDriver</formula1>
    </dataValidation>
    <dataValidation imeMode="disabled" allowBlank="1" showInputMessage="1" showErrorMessage="1" sqref="S6:S7 S9:S13"/>
    <dataValidation imeMode="off" allowBlank="1" showInputMessage="1" showErrorMessage="1" sqref="S8"/>
    <dataValidation showInputMessage="1" showErrorMessage="1" sqref="S14"/>
    <dataValidation type="list" showInputMessage="1" showErrorMessage="1" sqref="S15">
      <formula1>"Shift-JIS,EUC-JP,UTF-8"</formula1>
    </dataValidation>
    <dataValidation type="list" showInputMessage="1" showErrorMessage="1" sqref="S16">
      <formula1>"CRLF,CR,LF"</formula1>
    </dataValidation>
    <dataValidation type="list" showInputMessage="1" showErrorMessage="1" sqref="S17">
      <formula1>"Laravel"</formula1>
    </dataValidation>
    <dataValidation type="list" allowBlank="1" showInputMessage="1" showErrorMessage="1" sqref="B6:B7 E30:E33 E5 E7">
      <formula1>"TRUE,FALSE"</formula1>
    </dataValidation>
    <dataValidation type="list" allowBlank="1" showInputMessage="1" showErrorMessage="1" sqref="E6">
      <formula1>"all,file⠀箟&amp;,଀,,က,,＀?＀_xFFFF_ÿ,,develop"</formula1>
    </dataValidation>
    <dataValidation type="list" allowBlank="1" showErrorMessage="1" prompt="利用DB" sqref="B18">
      <formula1>ODBCDriverList</formula1>
    </dataValidation>
    <dataValidation type="list" allowBlank="1" showErrorMessage="1" prompt="利用DB" sqref="B17">
      <formula1>DBList</formula1>
    </dataValidation>
    <dataValidation type="list" allowBlank="1" showInputMessage="1" showErrorMessage="1" sqref="B5">
      <formula1>"none,warning,notice,info,debug"</formula1>
    </dataValidation>
  </dataValidations>
  <pageMargins left="0.39370078740157477" right="0.39370078740157477" top="0.59055118110236215" bottom="0.59055118110236215" header="0.31496062992125989" footer="0.27559055118110232"/>
  <pageSetup paperSize="9" scale="35" fitToHeight="0" orientation="portrait" verticalDpi="360" r:id="rId1"/>
  <headerFooter alignWithMargins="0">
    <oddFooter>&amp;R&amp;"Arial,標準"&amp;8Sharp Business Solutions Corporation&amp;C&amp;P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U71"/>
  <sheetViews>
    <sheetView showGridLines="0" zoomScaleNormal="100" workbookViewId="0">
      <pane ySplit="4" topLeftCell="A5" activePane="bottomLeft" state="frozen"/>
      <selection pane="bottomLeft" activeCell="K9" sqref="K9"/>
    </sheetView>
  </sheetViews>
  <sheetFormatPr defaultRowHeight="15" customHeight="1"/>
  <cols>
    <col min="1" max="1" width="25.7109375" style="16" customWidth="1"/>
    <col min="2" max="2" width="25.7109375" style="17" customWidth="1"/>
    <col min="3" max="3" width="5.7109375" style="16" customWidth="1"/>
    <col min="4" max="4" width="25.7109375" style="16" customWidth="1"/>
    <col min="5" max="5" width="25.7109375" style="17" customWidth="1"/>
    <col min="6" max="6" width="5.7109375" style="16" customWidth="1"/>
    <col min="7" max="7" width="27.85546875" style="5" customWidth="1"/>
    <col min="8" max="8" width="13.42578125" style="5" customWidth="1"/>
    <col min="9" max="9" width="31.28515625" style="5" bestFit="1" customWidth="1"/>
    <col min="10" max="10" width="26.85546875" style="5" customWidth="1"/>
    <col min="11" max="11" width="7.42578125" style="179" customWidth="1"/>
    <col min="12" max="12" width="9.5703125" style="5" customWidth="1"/>
    <col min="13" max="14" width="26.85546875" style="5" customWidth="1"/>
    <col min="15" max="16" width="15.7109375" style="179" customWidth="1"/>
    <col min="17" max="17" width="16.42578125" style="5" customWidth="1"/>
    <col min="18" max="18" width="34.7109375" style="5" customWidth="1"/>
    <col min="19" max="19" width="5.7109375" style="3" customWidth="1"/>
    <col min="20" max="20" width="22.85546875" style="5" customWidth="1"/>
    <col min="21" max="21" width="40.28515625" style="5" customWidth="1"/>
    <col min="22" max="16384" width="9.140625" style="5"/>
  </cols>
  <sheetData>
    <row r="1" spans="1:21" s="2" customFormat="1" ht="15" customHeight="1">
      <c r="A1" s="64">
        <f>COLUMN()</f>
        <v>1</v>
      </c>
      <c r="B1" s="65">
        <f>COLUMN()</f>
        <v>2</v>
      </c>
      <c r="C1" s="64">
        <f>COLUMN()</f>
        <v>3</v>
      </c>
      <c r="D1" s="64">
        <f>COLUMN()</f>
        <v>4</v>
      </c>
      <c r="E1" s="65">
        <f>COLUMN()</f>
        <v>5</v>
      </c>
      <c r="F1" s="64">
        <f>COLUMN()</f>
        <v>6</v>
      </c>
      <c r="G1" s="2">
        <f>COLUMN()</f>
        <v>7</v>
      </c>
      <c r="H1" s="2">
        <f>COLUMN()</f>
        <v>8</v>
      </c>
      <c r="I1" s="2">
        <f>COLUMN()</f>
        <v>9</v>
      </c>
      <c r="J1" s="2">
        <f>COLUMN()</f>
        <v>10</v>
      </c>
      <c r="K1" s="178">
        <f>COLUMN()</f>
        <v>11</v>
      </c>
      <c r="L1" s="2">
        <f>COLUMN()</f>
        <v>12</v>
      </c>
      <c r="M1" s="2">
        <f>COLUMN()</f>
        <v>13</v>
      </c>
      <c r="N1" s="2">
        <f>COLUMN()</f>
        <v>14</v>
      </c>
      <c r="O1" s="178">
        <f>COLUMN()</f>
        <v>15</v>
      </c>
      <c r="P1" s="178">
        <f>COLUMN()</f>
        <v>16</v>
      </c>
      <c r="Q1" s="2">
        <f>COLUMN()</f>
        <v>17</v>
      </c>
      <c r="R1" s="2">
        <f>COLUMN()</f>
        <v>18</v>
      </c>
      <c r="S1" s="2">
        <f>COLUMN()</f>
        <v>19</v>
      </c>
      <c r="T1" s="2">
        <f>COLUMN()</f>
        <v>20</v>
      </c>
      <c r="U1" s="2">
        <f>COLUMN()</f>
        <v>21</v>
      </c>
    </row>
    <row r="3" spans="1:21" ht="15" customHeight="1">
      <c r="A3" s="53" t="s">
        <v>226</v>
      </c>
      <c r="B3" s="54"/>
      <c r="D3" s="53" t="s">
        <v>455</v>
      </c>
      <c r="E3" s="15"/>
      <c r="G3" s="53" t="s">
        <v>238</v>
      </c>
      <c r="L3" s="70" t="s">
        <v>310</v>
      </c>
      <c r="Q3" s="1" t="s">
        <v>127</v>
      </c>
      <c r="R3" s="2"/>
      <c r="T3" s="1" t="s">
        <v>103</v>
      </c>
      <c r="U3" s="4" t="s">
        <v>379</v>
      </c>
    </row>
    <row r="4" spans="1:21" ht="15" customHeight="1">
      <c r="A4" s="55" t="s">
        <v>104</v>
      </c>
      <c r="B4" s="55" t="s">
        <v>105</v>
      </c>
      <c r="D4" s="46" t="s">
        <v>104</v>
      </c>
      <c r="E4" s="46" t="s">
        <v>105</v>
      </c>
      <c r="G4" s="55" t="s">
        <v>273</v>
      </c>
      <c r="H4" s="55" t="s">
        <v>270</v>
      </c>
      <c r="I4" s="55" t="s">
        <v>271</v>
      </c>
      <c r="J4" s="55" t="s">
        <v>272</v>
      </c>
      <c r="L4" s="55" t="s">
        <v>274</v>
      </c>
      <c r="M4" s="55" t="s">
        <v>275</v>
      </c>
      <c r="N4" s="179"/>
      <c r="Q4" s="6" t="s">
        <v>104</v>
      </c>
      <c r="R4" s="6" t="s">
        <v>105</v>
      </c>
      <c r="T4" s="6" t="s">
        <v>104</v>
      </c>
      <c r="U4" s="6" t="s">
        <v>105</v>
      </c>
    </row>
    <row r="5" spans="1:21" ht="15" customHeight="1">
      <c r="A5" s="56" t="s">
        <v>568</v>
      </c>
      <c r="B5" s="57" t="s">
        <v>569</v>
      </c>
      <c r="D5" s="47" t="s">
        <v>454</v>
      </c>
      <c r="E5" s="49"/>
      <c r="G5" s="43" t="s">
        <v>124</v>
      </c>
      <c r="H5" s="43" t="s">
        <v>269</v>
      </c>
      <c r="I5" s="45" t="s">
        <v>220</v>
      </c>
      <c r="J5" s="45" t="s">
        <v>205</v>
      </c>
      <c r="L5" s="45">
        <v>2</v>
      </c>
      <c r="M5" s="45" t="s">
        <v>276</v>
      </c>
      <c r="N5" s="179"/>
      <c r="O5" s="180"/>
      <c r="P5" s="180"/>
      <c r="Q5" s="24" t="s">
        <v>199</v>
      </c>
      <c r="R5" s="10" t="s">
        <v>200</v>
      </c>
      <c r="S5" s="5"/>
      <c r="T5" s="25" t="s">
        <v>65</v>
      </c>
      <c r="U5" s="26" t="s">
        <v>215</v>
      </c>
    </row>
    <row r="6" spans="1:21" ht="15" customHeight="1">
      <c r="A6" s="56" t="s">
        <v>232</v>
      </c>
      <c r="B6" s="58" t="b">
        <v>1</v>
      </c>
      <c r="D6" s="47" t="s">
        <v>453</v>
      </c>
      <c r="E6" s="48"/>
      <c r="G6" s="43" t="s">
        <v>187</v>
      </c>
      <c r="H6" s="43" t="s">
        <v>544</v>
      </c>
      <c r="I6" s="45" t="s">
        <v>219</v>
      </c>
      <c r="J6" s="45" t="s">
        <v>317</v>
      </c>
      <c r="L6" s="45">
        <v>3</v>
      </c>
      <c r="M6" s="45" t="s">
        <v>320</v>
      </c>
      <c r="N6" s="11"/>
      <c r="O6" s="180"/>
      <c r="P6" s="180"/>
      <c r="Q6" s="24" t="s">
        <v>203</v>
      </c>
      <c r="R6" s="10" t="s">
        <v>223</v>
      </c>
      <c r="S6" s="5"/>
      <c r="T6" s="25" t="s">
        <v>3</v>
      </c>
      <c r="U6" s="27">
        <v>43634</v>
      </c>
    </row>
    <row r="7" spans="1:21" ht="15" customHeight="1">
      <c r="A7" s="56" t="s">
        <v>233</v>
      </c>
      <c r="B7" s="58" t="b">
        <v>1</v>
      </c>
      <c r="D7" s="50" t="s">
        <v>541</v>
      </c>
      <c r="E7" s="49"/>
      <c r="G7" s="43" t="s">
        <v>546</v>
      </c>
      <c r="H7" s="43" t="s">
        <v>268</v>
      </c>
      <c r="I7" s="45" t="s">
        <v>201</v>
      </c>
      <c r="J7" s="45" t="s">
        <v>207</v>
      </c>
      <c r="L7" s="45">
        <v>4</v>
      </c>
      <c r="M7" s="45" t="s">
        <v>277</v>
      </c>
      <c r="N7" s="11"/>
      <c r="O7" s="180"/>
      <c r="P7" s="180"/>
      <c r="Q7" s="24" t="s">
        <v>241</v>
      </c>
      <c r="R7" s="28" t="s">
        <v>224</v>
      </c>
      <c r="S7" s="5"/>
      <c r="T7" s="25" t="s">
        <v>128</v>
      </c>
      <c r="U7" s="29" t="s">
        <v>216</v>
      </c>
    </row>
    <row r="8" spans="1:21" ht="15" customHeight="1">
      <c r="A8" s="56" t="s">
        <v>234</v>
      </c>
      <c r="B8" s="57" t="s">
        <v>235</v>
      </c>
      <c r="D8" s="47" t="s">
        <v>456</v>
      </c>
      <c r="E8" s="48"/>
      <c r="G8" s="43" t="s">
        <v>125</v>
      </c>
      <c r="H8" s="43" t="s">
        <v>200</v>
      </c>
      <c r="I8" s="45"/>
      <c r="J8" s="45" t="s">
        <v>206</v>
      </c>
      <c r="L8" s="45">
        <v>5</v>
      </c>
      <c r="M8" s="45" t="s">
        <v>278</v>
      </c>
      <c r="N8" s="11"/>
      <c r="O8" s="180"/>
      <c r="P8" s="180"/>
      <c r="Q8" s="24" t="s">
        <v>213</v>
      </c>
      <c r="R8" s="30"/>
      <c r="S8" s="5"/>
      <c r="T8" s="25" t="s">
        <v>5</v>
      </c>
      <c r="U8" s="23">
        <v>43634</v>
      </c>
    </row>
    <row r="9" spans="1:21" ht="15" customHeight="1">
      <c r="A9" s="56" t="s">
        <v>236</v>
      </c>
      <c r="B9" s="57" t="s">
        <v>237</v>
      </c>
      <c r="D9" s="50"/>
      <c r="E9" s="48"/>
      <c r="G9" s="43" t="s">
        <v>221</v>
      </c>
      <c r="H9" s="43"/>
      <c r="I9" s="45"/>
      <c r="J9" s="45"/>
      <c r="L9" s="45">
        <v>6</v>
      </c>
      <c r="M9" s="45" t="s">
        <v>351</v>
      </c>
      <c r="N9" s="11"/>
      <c r="O9" s="180"/>
      <c r="P9" s="180"/>
      <c r="Q9" s="24" t="s">
        <v>214</v>
      </c>
      <c r="R9" s="30"/>
      <c r="S9" s="5"/>
      <c r="T9" s="25" t="s">
        <v>4</v>
      </c>
      <c r="U9" s="23" t="s">
        <v>222</v>
      </c>
    </row>
    <row r="10" spans="1:21" ht="15" customHeight="1">
      <c r="A10" s="56"/>
      <c r="B10" s="57"/>
      <c r="D10" s="50"/>
      <c r="E10" s="48"/>
      <c r="G10" s="45" t="s">
        <v>309</v>
      </c>
      <c r="H10" s="43"/>
      <c r="I10" s="45"/>
      <c r="J10" s="45"/>
      <c r="L10" s="45">
        <v>7</v>
      </c>
      <c r="M10" s="45" t="s">
        <v>321</v>
      </c>
      <c r="N10" s="11"/>
      <c r="O10" s="180"/>
      <c r="P10" s="180"/>
      <c r="Q10" s="24"/>
      <c r="R10" s="30"/>
      <c r="S10" s="5"/>
      <c r="T10" s="25"/>
      <c r="U10" s="23"/>
    </row>
    <row r="11" spans="1:21" ht="15" customHeight="1">
      <c r="A11" s="56" t="s">
        <v>424</v>
      </c>
      <c r="B11" s="60" t="s">
        <v>537</v>
      </c>
      <c r="D11" s="50"/>
      <c r="E11" s="48"/>
      <c r="G11" s="45"/>
      <c r="H11" s="181"/>
      <c r="I11" s="45"/>
      <c r="J11" s="45"/>
      <c r="L11" s="45">
        <v>8</v>
      </c>
      <c r="M11" s="45" t="s">
        <v>279</v>
      </c>
      <c r="N11" s="11"/>
      <c r="O11" s="180"/>
      <c r="P11" s="180"/>
      <c r="Q11" s="24" t="s">
        <v>204</v>
      </c>
      <c r="R11" s="30"/>
      <c r="S11" s="5"/>
      <c r="T11" s="25"/>
      <c r="U11" s="23"/>
    </row>
    <row r="12" spans="1:21" ht="15" customHeight="1">
      <c r="A12" s="56" t="s">
        <v>534</v>
      </c>
      <c r="B12" s="57" t="s">
        <v>535</v>
      </c>
      <c r="D12" s="50"/>
      <c r="E12" s="48"/>
      <c r="G12" s="44"/>
      <c r="H12" s="182"/>
      <c r="I12" s="44"/>
      <c r="J12" s="44"/>
      <c r="L12" s="45">
        <v>9</v>
      </c>
      <c r="M12" s="45" t="s">
        <v>280</v>
      </c>
      <c r="N12" s="11"/>
      <c r="O12" s="180"/>
      <c r="P12" s="180"/>
      <c r="Q12" s="24" t="s">
        <v>110</v>
      </c>
      <c r="R12" s="30"/>
      <c r="S12" s="5"/>
      <c r="T12" s="25"/>
      <c r="U12" s="31" t="e">
        <f>プロジェクト名 &amp; IF(システム名="",""," ["&amp;システム名&amp;"]") &amp; "DB設計書"</f>
        <v>#NAME?</v>
      </c>
    </row>
    <row r="13" spans="1:21" ht="15" customHeight="1">
      <c r="A13" s="59" t="s">
        <v>254</v>
      </c>
      <c r="B13" s="57" t="s">
        <v>538</v>
      </c>
      <c r="D13" s="50"/>
      <c r="E13" s="48"/>
      <c r="H13" s="179"/>
      <c r="L13" s="45">
        <v>10</v>
      </c>
      <c r="M13" s="45" t="s">
        <v>281</v>
      </c>
      <c r="O13" s="180"/>
      <c r="P13" s="180"/>
      <c r="Q13" s="24" t="s">
        <v>123</v>
      </c>
      <c r="R13" s="30"/>
      <c r="S13" s="5"/>
    </row>
    <row r="14" spans="1:21" ht="15" customHeight="1">
      <c r="A14" s="59" t="s">
        <v>533</v>
      </c>
      <c r="B14" s="60" t="s">
        <v>532</v>
      </c>
      <c r="D14" s="50"/>
      <c r="E14" s="48"/>
      <c r="H14" s="179"/>
      <c r="L14" s="45">
        <v>11</v>
      </c>
      <c r="M14" s="66" t="s">
        <v>343</v>
      </c>
      <c r="O14" s="180"/>
      <c r="P14" s="180"/>
      <c r="Q14" s="24" t="s">
        <v>208</v>
      </c>
      <c r="R14" s="30"/>
      <c r="S14" s="5"/>
      <c r="T14" s="8"/>
      <c r="U14" s="8"/>
    </row>
    <row r="15" spans="1:21" ht="15" customHeight="1">
      <c r="A15" s="56" t="s">
        <v>256</v>
      </c>
      <c r="B15" s="57" t="s">
        <v>266</v>
      </c>
      <c r="D15" s="50"/>
      <c r="E15" s="48"/>
      <c r="H15" s="179"/>
      <c r="L15" s="45">
        <v>12</v>
      </c>
      <c r="M15" s="45" t="s">
        <v>282</v>
      </c>
      <c r="O15" s="180"/>
      <c r="P15" s="180"/>
      <c r="Q15" s="24" t="s">
        <v>209</v>
      </c>
      <c r="R15" s="10" t="s">
        <v>217</v>
      </c>
      <c r="S15" s="5"/>
      <c r="T15" s="8"/>
      <c r="U15" s="8"/>
    </row>
    <row r="16" spans="1:21" ht="15" customHeight="1">
      <c r="A16" s="56" t="s">
        <v>257</v>
      </c>
      <c r="B16" s="69">
        <v>44287</v>
      </c>
      <c r="D16" s="50"/>
      <c r="E16" s="48"/>
      <c r="H16" s="179"/>
      <c r="L16" s="45">
        <v>13</v>
      </c>
      <c r="M16" s="45" t="s">
        <v>283</v>
      </c>
      <c r="O16" s="180"/>
      <c r="P16" s="180"/>
      <c r="Q16" s="24" t="s">
        <v>210</v>
      </c>
      <c r="R16" s="10" t="s">
        <v>218</v>
      </c>
      <c r="S16" s="5"/>
      <c r="T16" s="8"/>
      <c r="U16" s="8"/>
    </row>
    <row r="17" spans="1:21" ht="15" customHeight="1">
      <c r="A17" s="56"/>
      <c r="B17" s="57"/>
      <c r="D17" s="50"/>
      <c r="E17" s="48"/>
      <c r="L17" s="45">
        <v>14</v>
      </c>
      <c r="M17" s="45" t="s">
        <v>284</v>
      </c>
      <c r="O17" s="180"/>
      <c r="P17" s="180"/>
      <c r="Q17" s="24"/>
      <c r="R17" s="10"/>
      <c r="S17" s="5"/>
      <c r="T17" s="8"/>
      <c r="U17" s="8"/>
    </row>
    <row r="18" spans="1:21" ht="15" customHeight="1">
      <c r="A18" s="56" t="s">
        <v>316</v>
      </c>
      <c r="B18" s="43" t="s">
        <v>113</v>
      </c>
      <c r="D18" s="50"/>
      <c r="E18" s="48"/>
      <c r="L18" s="45">
        <v>16</v>
      </c>
      <c r="M18" s="45" t="s">
        <v>285</v>
      </c>
      <c r="O18" s="180"/>
      <c r="P18" s="180"/>
      <c r="S18" s="5"/>
      <c r="T18" s="8"/>
      <c r="U18" s="8"/>
    </row>
    <row r="19" spans="1:21" ht="15" customHeight="1">
      <c r="A19" s="56" t="s">
        <v>239</v>
      </c>
      <c r="B19" s="72" t="s">
        <v>312</v>
      </c>
      <c r="D19" s="50"/>
      <c r="E19" s="48"/>
      <c r="H19" s="32"/>
      <c r="L19" s="45">
        <v>17</v>
      </c>
      <c r="M19" s="45" t="s">
        <v>286</v>
      </c>
      <c r="O19" s="180"/>
      <c r="P19" s="180"/>
      <c r="Q19" s="206" t="s">
        <v>106</v>
      </c>
      <c r="R19" s="207"/>
      <c r="S19" s="5"/>
      <c r="T19" s="8"/>
      <c r="U19" s="8"/>
    </row>
    <row r="20" spans="1:21" ht="15" customHeight="1">
      <c r="A20" s="56" t="s">
        <v>240</v>
      </c>
      <c r="B20" s="57" t="s">
        <v>313</v>
      </c>
      <c r="D20" s="50"/>
      <c r="E20" s="48"/>
      <c r="H20" s="32"/>
      <c r="L20" s="45">
        <v>18</v>
      </c>
      <c r="M20" s="45" t="s">
        <v>287</v>
      </c>
      <c r="O20" s="180"/>
      <c r="P20" s="180"/>
      <c r="Q20" s="9" t="s">
        <v>211</v>
      </c>
      <c r="R20" s="10">
        <v>10</v>
      </c>
      <c r="S20" s="5"/>
      <c r="T20" s="8"/>
      <c r="U20" s="8"/>
    </row>
    <row r="21" spans="1:21" ht="15" customHeight="1">
      <c r="A21" s="56" t="s">
        <v>242</v>
      </c>
      <c r="B21" s="57" t="s">
        <v>584</v>
      </c>
      <c r="D21" s="50"/>
      <c r="E21" s="48"/>
      <c r="H21" s="32"/>
      <c r="L21" s="45">
        <v>19</v>
      </c>
      <c r="M21" s="45" t="s">
        <v>288</v>
      </c>
      <c r="O21" s="180"/>
      <c r="P21" s="180"/>
      <c r="Q21" s="9" t="s">
        <v>66</v>
      </c>
      <c r="R21" s="10">
        <v>8192</v>
      </c>
      <c r="S21" s="5"/>
      <c r="T21" s="8"/>
      <c r="U21" s="8"/>
    </row>
    <row r="22" spans="1:21" ht="15" customHeight="1">
      <c r="A22" s="56" t="s">
        <v>311</v>
      </c>
      <c r="B22" s="57" t="s">
        <v>540</v>
      </c>
      <c r="D22" s="50"/>
      <c r="E22" s="48"/>
      <c r="H22" s="32"/>
      <c r="L22" s="45">
        <v>20</v>
      </c>
      <c r="M22" s="45" t="s">
        <v>289</v>
      </c>
      <c r="O22" s="180"/>
      <c r="P22" s="180"/>
      <c r="Q22" s="9"/>
      <c r="R22" s="10"/>
      <c r="S22" s="5"/>
      <c r="T22" s="8"/>
      <c r="U22" s="8"/>
    </row>
    <row r="23" spans="1:21" ht="15" customHeight="1">
      <c r="A23" s="59" t="s">
        <v>308</v>
      </c>
      <c r="B23" s="57"/>
      <c r="D23" s="50"/>
      <c r="E23" s="48"/>
      <c r="H23" s="32"/>
      <c r="L23" s="45">
        <v>21</v>
      </c>
      <c r="M23" s="45" t="s">
        <v>290</v>
      </c>
      <c r="O23" s="180"/>
      <c r="P23" s="180"/>
      <c r="S23" s="5"/>
      <c r="T23" s="8"/>
      <c r="U23" s="8"/>
    </row>
    <row r="24" spans="1:21" ht="15" customHeight="1">
      <c r="A24" s="59" t="s">
        <v>307</v>
      </c>
      <c r="B24" s="57" t="s">
        <v>584</v>
      </c>
      <c r="D24" s="50"/>
      <c r="E24" s="48"/>
      <c r="H24" s="32"/>
      <c r="L24" s="45">
        <v>64</v>
      </c>
      <c r="M24" s="45" t="s">
        <v>291</v>
      </c>
      <c r="O24" s="180"/>
      <c r="P24" s="180"/>
      <c r="Q24" s="206"/>
      <c r="R24" s="207"/>
      <c r="S24" s="5"/>
      <c r="T24" s="8"/>
      <c r="U24" s="8"/>
    </row>
    <row r="25" spans="1:21" ht="15" customHeight="1">
      <c r="A25" s="56" t="s">
        <v>251</v>
      </c>
      <c r="B25" s="57" t="s">
        <v>314</v>
      </c>
      <c r="D25" s="47"/>
      <c r="E25" s="48"/>
      <c r="H25" s="32"/>
      <c r="L25" s="45">
        <v>72</v>
      </c>
      <c r="M25" s="45" t="s">
        <v>292</v>
      </c>
      <c r="O25" s="180"/>
      <c r="P25" s="180"/>
      <c r="Q25" s="9"/>
      <c r="R25" s="10"/>
      <c r="S25" s="5"/>
    </row>
    <row r="26" spans="1:21" ht="15" customHeight="1">
      <c r="A26" s="56" t="s">
        <v>252</v>
      </c>
      <c r="B26" s="57" t="s">
        <v>315</v>
      </c>
      <c r="D26" s="47"/>
      <c r="E26" s="48"/>
      <c r="H26" s="32"/>
      <c r="L26" s="45">
        <v>128</v>
      </c>
      <c r="M26" s="45" t="s">
        <v>293</v>
      </c>
      <c r="O26" s="180"/>
      <c r="P26" s="180"/>
      <c r="Q26" s="9" t="s">
        <v>66</v>
      </c>
      <c r="R26" s="10">
        <v>8192</v>
      </c>
      <c r="S26" s="5"/>
      <c r="T26" s="8"/>
      <c r="U26" s="8"/>
    </row>
    <row r="27" spans="1:21" ht="15" customHeight="1">
      <c r="A27" s="56"/>
      <c r="B27" s="57"/>
      <c r="D27" s="47"/>
      <c r="E27" s="48"/>
      <c r="H27" s="32"/>
      <c r="L27" s="45">
        <v>129</v>
      </c>
      <c r="M27" s="45" t="s">
        <v>294</v>
      </c>
      <c r="O27" s="180"/>
      <c r="P27" s="180"/>
      <c r="Q27" s="9" t="s">
        <v>212</v>
      </c>
      <c r="R27" s="10">
        <v>1</v>
      </c>
      <c r="S27" s="5"/>
      <c r="T27" s="8"/>
      <c r="U27" s="8"/>
    </row>
    <row r="28" spans="1:21" ht="15" customHeight="1">
      <c r="A28" s="56" t="s">
        <v>420</v>
      </c>
      <c r="B28" s="57" t="s">
        <v>536</v>
      </c>
      <c r="D28" s="47"/>
      <c r="E28" s="48"/>
      <c r="H28" s="11"/>
      <c r="L28" s="45">
        <v>130</v>
      </c>
      <c r="M28" s="45" t="s">
        <v>295</v>
      </c>
      <c r="O28" s="180"/>
      <c r="P28" s="180"/>
      <c r="S28" s="5"/>
      <c r="T28" s="8"/>
      <c r="U28" s="8"/>
    </row>
    <row r="29" spans="1:21" ht="15" customHeight="1">
      <c r="A29" s="56" t="s">
        <v>422</v>
      </c>
      <c r="B29" s="57" t="s">
        <v>539</v>
      </c>
      <c r="D29" s="47"/>
      <c r="E29" s="48"/>
      <c r="H29" s="11"/>
      <c r="L29" s="45">
        <v>131</v>
      </c>
      <c r="M29" s="45" t="s">
        <v>296</v>
      </c>
      <c r="O29" s="180"/>
      <c r="P29" s="180"/>
      <c r="S29" s="5"/>
    </row>
    <row r="30" spans="1:21" ht="15" customHeight="1">
      <c r="A30" s="56"/>
      <c r="B30" s="57"/>
      <c r="D30" s="47"/>
      <c r="E30" s="48"/>
      <c r="H30" s="11"/>
      <c r="L30" s="45">
        <v>132</v>
      </c>
      <c r="M30" s="45" t="s">
        <v>297</v>
      </c>
      <c r="O30" s="180"/>
      <c r="P30" s="180"/>
      <c r="S30" s="5"/>
    </row>
    <row r="31" spans="1:21" ht="15" customHeight="1">
      <c r="A31" s="56" t="s">
        <v>549</v>
      </c>
      <c r="B31" s="57" t="s">
        <v>548</v>
      </c>
      <c r="D31" s="47"/>
      <c r="E31" s="48"/>
      <c r="H31" s="11"/>
      <c r="L31" s="45">
        <v>133</v>
      </c>
      <c r="M31" s="45" t="s">
        <v>298</v>
      </c>
      <c r="O31" s="180"/>
      <c r="P31" s="180"/>
      <c r="S31" s="5"/>
    </row>
    <row r="32" spans="1:21" ht="15" customHeight="1">
      <c r="A32" s="56" t="s">
        <v>559</v>
      </c>
      <c r="B32" s="57" t="s">
        <v>560</v>
      </c>
      <c r="D32" s="47"/>
      <c r="E32" s="48"/>
      <c r="H32" s="11"/>
      <c r="L32" s="45">
        <v>134</v>
      </c>
      <c r="M32" s="45" t="s">
        <v>299</v>
      </c>
      <c r="O32" s="180"/>
      <c r="P32" s="180"/>
      <c r="S32" s="5"/>
    </row>
    <row r="33" spans="1:19" ht="15" customHeight="1">
      <c r="A33" s="56"/>
      <c r="B33" s="57"/>
      <c r="D33" s="47"/>
      <c r="E33" s="48"/>
      <c r="H33" s="11"/>
      <c r="L33" s="45">
        <v>135</v>
      </c>
      <c r="M33" s="45" t="s">
        <v>300</v>
      </c>
      <c r="O33" s="180"/>
      <c r="P33" s="180"/>
      <c r="S33" s="5"/>
    </row>
    <row r="34" spans="1:19" ht="15" customHeight="1">
      <c r="A34" s="56"/>
      <c r="B34" s="57"/>
      <c r="D34" s="47"/>
      <c r="E34" s="48"/>
      <c r="H34" s="11"/>
      <c r="L34" s="45">
        <v>136</v>
      </c>
      <c r="M34" s="45" t="s">
        <v>301</v>
      </c>
      <c r="O34" s="180"/>
      <c r="P34" s="180"/>
      <c r="S34" s="5"/>
    </row>
    <row r="35" spans="1:19" ht="15" customHeight="1">
      <c r="A35" s="56" t="s">
        <v>555</v>
      </c>
      <c r="B35" s="57" t="s">
        <v>430</v>
      </c>
      <c r="D35" s="47"/>
      <c r="E35" s="48"/>
      <c r="H35" s="11"/>
      <c r="L35" s="45">
        <v>138</v>
      </c>
      <c r="M35" s="45" t="s">
        <v>302</v>
      </c>
      <c r="O35" s="180"/>
      <c r="P35" s="180"/>
      <c r="S35" s="5"/>
    </row>
    <row r="36" spans="1:19" ht="15" customHeight="1">
      <c r="A36" s="56" t="s">
        <v>428</v>
      </c>
      <c r="B36" s="57" t="s">
        <v>431</v>
      </c>
      <c r="D36" s="47"/>
      <c r="E36" s="48"/>
      <c r="H36" s="11"/>
      <c r="L36" s="45">
        <v>139</v>
      </c>
      <c r="M36" s="45" t="s">
        <v>303</v>
      </c>
      <c r="O36" s="180"/>
      <c r="P36" s="180"/>
      <c r="S36" s="5"/>
    </row>
    <row r="37" spans="1:19" ht="15" customHeight="1">
      <c r="A37" s="56" t="s">
        <v>429</v>
      </c>
      <c r="B37" s="57" t="s">
        <v>430</v>
      </c>
      <c r="D37" s="47"/>
      <c r="E37" s="48"/>
      <c r="H37" s="11"/>
      <c r="L37" s="45">
        <v>200</v>
      </c>
      <c r="M37" s="45" t="s">
        <v>304</v>
      </c>
      <c r="O37" s="180"/>
      <c r="P37" s="180"/>
      <c r="S37" s="5"/>
    </row>
    <row r="38" spans="1:19" ht="15" customHeight="1">
      <c r="A38" s="56"/>
      <c r="B38" s="57"/>
      <c r="D38" s="47"/>
      <c r="E38" s="48"/>
      <c r="H38" s="11"/>
      <c r="L38" s="45">
        <v>201</v>
      </c>
      <c r="M38" s="45" t="s">
        <v>305</v>
      </c>
      <c r="O38" s="180"/>
      <c r="P38" s="180"/>
      <c r="S38" s="5"/>
    </row>
    <row r="39" spans="1:19" ht="15" customHeight="1">
      <c r="A39" s="56"/>
      <c r="B39" s="57"/>
      <c r="D39" s="47"/>
      <c r="E39" s="48"/>
      <c r="H39" s="11"/>
      <c r="L39" s="45">
        <v>202</v>
      </c>
      <c r="M39" s="45" t="s">
        <v>347</v>
      </c>
      <c r="O39" s="180"/>
      <c r="P39" s="180"/>
      <c r="S39" s="5"/>
    </row>
    <row r="40" spans="1:19" ht="15" customHeight="1">
      <c r="A40" s="56"/>
      <c r="B40" s="57"/>
      <c r="D40" s="47"/>
      <c r="E40" s="48"/>
      <c r="H40" s="11"/>
      <c r="L40" s="45">
        <v>203</v>
      </c>
      <c r="M40" s="45" t="s">
        <v>350</v>
      </c>
      <c r="O40" s="180"/>
      <c r="P40" s="180"/>
      <c r="S40" s="5"/>
    </row>
    <row r="41" spans="1:19" ht="15" customHeight="1">
      <c r="A41" s="56"/>
      <c r="B41" s="57"/>
      <c r="D41" s="47"/>
      <c r="E41" s="48"/>
      <c r="H41" s="11"/>
      <c r="L41" s="45">
        <v>204</v>
      </c>
      <c r="M41" s="45" t="s">
        <v>306</v>
      </c>
      <c r="O41" s="180"/>
      <c r="P41" s="180"/>
      <c r="S41" s="5"/>
    </row>
    <row r="42" spans="1:19" ht="15" customHeight="1">
      <c r="A42" s="56"/>
      <c r="B42" s="57"/>
      <c r="D42" s="47"/>
      <c r="E42" s="48"/>
      <c r="H42" s="11"/>
      <c r="L42" s="44">
        <v>205</v>
      </c>
      <c r="M42" s="44" t="s">
        <v>352</v>
      </c>
      <c r="O42" s="180"/>
      <c r="P42" s="180"/>
      <c r="S42" s="5"/>
    </row>
    <row r="43" spans="1:19" ht="15" customHeight="1">
      <c r="A43" s="56"/>
      <c r="B43" s="57"/>
      <c r="D43" s="47"/>
      <c r="E43" s="48"/>
      <c r="H43" s="11"/>
      <c r="O43" s="180"/>
      <c r="P43" s="180"/>
      <c r="S43" s="5"/>
    </row>
    <row r="44" spans="1:19" ht="15" customHeight="1">
      <c r="A44" s="56"/>
      <c r="B44" s="57"/>
      <c r="D44" s="47"/>
      <c r="E44" s="48"/>
      <c r="H44" s="11"/>
      <c r="O44" s="180"/>
      <c r="P44" s="180"/>
      <c r="S44" s="5"/>
    </row>
    <row r="45" spans="1:19" ht="15" customHeight="1">
      <c r="A45" s="56"/>
      <c r="B45" s="57"/>
      <c r="D45" s="47"/>
      <c r="E45" s="48"/>
      <c r="H45" s="11"/>
      <c r="O45" s="180"/>
      <c r="P45" s="180"/>
      <c r="S45" s="5"/>
    </row>
    <row r="46" spans="1:19" ht="15" customHeight="1">
      <c r="A46" s="56"/>
      <c r="B46" s="57"/>
      <c r="D46" s="47"/>
      <c r="E46" s="48"/>
      <c r="H46" s="11"/>
      <c r="O46" s="180"/>
      <c r="P46" s="180"/>
      <c r="S46" s="5"/>
    </row>
    <row r="47" spans="1:19" ht="15" customHeight="1">
      <c r="A47" s="56"/>
      <c r="B47" s="57"/>
      <c r="D47" s="47"/>
      <c r="E47" s="48"/>
      <c r="H47" s="11"/>
      <c r="O47" s="180"/>
      <c r="P47" s="180"/>
      <c r="S47" s="5"/>
    </row>
    <row r="48" spans="1:19" ht="15" customHeight="1">
      <c r="A48" s="56"/>
      <c r="B48" s="57"/>
      <c r="D48" s="47"/>
      <c r="E48" s="48"/>
      <c r="H48" s="11"/>
      <c r="O48" s="180"/>
      <c r="P48" s="180"/>
      <c r="S48" s="5"/>
    </row>
    <row r="49" spans="1:21" ht="15" customHeight="1">
      <c r="A49" s="56"/>
      <c r="B49" s="57"/>
      <c r="D49" s="47"/>
      <c r="E49" s="48"/>
      <c r="H49" s="11"/>
      <c r="O49" s="180"/>
      <c r="P49" s="180"/>
      <c r="S49" s="5"/>
    </row>
    <row r="50" spans="1:21" ht="15" customHeight="1">
      <c r="A50" s="56"/>
      <c r="B50" s="57"/>
      <c r="D50" s="47"/>
      <c r="E50" s="48"/>
      <c r="H50" s="11"/>
      <c r="O50" s="180"/>
      <c r="P50" s="180"/>
      <c r="S50" s="5"/>
    </row>
    <row r="51" spans="1:21" ht="15" customHeight="1">
      <c r="A51" s="56"/>
      <c r="B51" s="57"/>
      <c r="D51" s="47"/>
      <c r="E51" s="48"/>
      <c r="H51" s="11"/>
      <c r="O51" s="180"/>
      <c r="P51" s="180"/>
      <c r="S51" s="5"/>
    </row>
    <row r="52" spans="1:21" ht="15" customHeight="1">
      <c r="A52" s="56"/>
      <c r="B52" s="57"/>
      <c r="D52" s="47"/>
      <c r="E52" s="48"/>
      <c r="H52" s="11"/>
      <c r="O52" s="180"/>
      <c r="P52" s="180"/>
      <c r="S52" s="5"/>
      <c r="T52" s="8"/>
      <c r="U52" s="8"/>
    </row>
    <row r="53" spans="1:21" ht="15" customHeight="1">
      <c r="A53" s="56"/>
      <c r="B53" s="57"/>
      <c r="D53" s="47"/>
      <c r="E53" s="48"/>
      <c r="H53" s="11"/>
      <c r="O53" s="180"/>
      <c r="P53" s="180"/>
      <c r="S53" s="5"/>
      <c r="T53" s="8"/>
      <c r="U53" s="8"/>
    </row>
    <row r="54" spans="1:21" ht="15" customHeight="1">
      <c r="A54" s="56"/>
      <c r="B54" s="57"/>
      <c r="D54" s="47"/>
      <c r="E54" s="48"/>
      <c r="H54" s="11"/>
      <c r="O54" s="180"/>
      <c r="P54" s="180"/>
      <c r="S54" s="5"/>
      <c r="T54" s="8"/>
      <c r="U54" s="8"/>
    </row>
    <row r="55" spans="1:21" ht="15" customHeight="1">
      <c r="A55" s="56"/>
      <c r="B55" s="57"/>
      <c r="D55" s="47"/>
      <c r="E55" s="48"/>
      <c r="H55" s="11"/>
      <c r="O55" s="180"/>
      <c r="P55" s="180"/>
      <c r="S55" s="5"/>
    </row>
    <row r="56" spans="1:21" ht="15" customHeight="1">
      <c r="A56" s="56"/>
      <c r="B56" s="57"/>
      <c r="D56" s="47"/>
      <c r="E56" s="48"/>
      <c r="H56" s="11"/>
      <c r="O56" s="180"/>
      <c r="P56" s="180"/>
      <c r="S56" s="5"/>
    </row>
    <row r="57" spans="1:21" ht="15" customHeight="1">
      <c r="A57" s="56"/>
      <c r="B57" s="57"/>
      <c r="D57" s="47"/>
      <c r="E57" s="48"/>
      <c r="H57" s="11"/>
      <c r="O57" s="180"/>
      <c r="P57" s="180"/>
      <c r="S57" s="5"/>
    </row>
    <row r="58" spans="1:21" ht="15" customHeight="1">
      <c r="A58" s="56"/>
      <c r="B58" s="57"/>
      <c r="D58" s="47"/>
      <c r="E58" s="48"/>
      <c r="H58" s="11"/>
      <c r="O58" s="180"/>
      <c r="P58" s="180"/>
      <c r="S58" s="5"/>
    </row>
    <row r="59" spans="1:21" ht="15" customHeight="1">
      <c r="A59" s="56"/>
      <c r="B59" s="57"/>
      <c r="D59" s="47"/>
      <c r="E59" s="48"/>
      <c r="H59" s="11"/>
      <c r="O59" s="180"/>
      <c r="P59" s="180"/>
      <c r="S59" s="5"/>
    </row>
    <row r="60" spans="1:21" ht="15" customHeight="1">
      <c r="A60" s="56"/>
      <c r="B60" s="57"/>
      <c r="D60" s="47"/>
      <c r="E60" s="48"/>
      <c r="H60" s="11"/>
      <c r="O60" s="180"/>
      <c r="P60" s="180"/>
      <c r="S60" s="5"/>
    </row>
    <row r="61" spans="1:21" ht="15" customHeight="1">
      <c r="A61" s="56"/>
      <c r="B61" s="57"/>
      <c r="D61" s="47"/>
      <c r="E61" s="48"/>
      <c r="H61" s="11"/>
      <c r="O61" s="180"/>
      <c r="P61" s="180"/>
      <c r="S61" s="5"/>
    </row>
    <row r="62" spans="1:21" ht="15" customHeight="1">
      <c r="A62" s="56"/>
      <c r="B62" s="57"/>
      <c r="D62" s="51"/>
      <c r="E62" s="52"/>
      <c r="H62" s="11"/>
      <c r="O62" s="180"/>
      <c r="P62" s="180"/>
      <c r="S62" s="5"/>
    </row>
    <row r="63" spans="1:21" ht="15" customHeight="1">
      <c r="A63" s="56"/>
      <c r="B63" s="57"/>
    </row>
    <row r="64" spans="1:21" ht="15" customHeight="1">
      <c r="A64" s="56"/>
      <c r="B64" s="57"/>
    </row>
    <row r="65" spans="1:2" ht="15" customHeight="1">
      <c r="A65" s="56"/>
      <c r="B65" s="57"/>
    </row>
    <row r="66" spans="1:2" ht="15" customHeight="1">
      <c r="A66" s="56"/>
      <c r="B66" s="57"/>
    </row>
    <row r="67" spans="1:2" ht="15" customHeight="1">
      <c r="A67" s="56"/>
      <c r="B67" s="57"/>
    </row>
    <row r="68" spans="1:2" ht="15" customHeight="1">
      <c r="A68" s="56"/>
      <c r="B68" s="57"/>
    </row>
    <row r="69" spans="1:2" ht="15" customHeight="1">
      <c r="A69" s="56"/>
      <c r="B69" s="57"/>
    </row>
    <row r="70" spans="1:2" ht="15" customHeight="1">
      <c r="A70" s="56"/>
      <c r="B70" s="57"/>
    </row>
    <row r="71" spans="1:2" ht="15" customHeight="1">
      <c r="A71" s="61"/>
      <c r="B71" s="62"/>
    </row>
  </sheetData>
  <sheetProtection selectLockedCells="1"/>
  <mergeCells count="2">
    <mergeCell ref="Q19:R19"/>
    <mergeCell ref="Q24:R24"/>
  </mergeCells>
  <phoneticPr fontId="4"/>
  <dataValidations count="12">
    <dataValidation type="list" allowBlank="1" showErrorMessage="1" prompt="利用DB" sqref="B18">
      <formula1>DBList</formula1>
    </dataValidation>
    <dataValidation type="list" allowBlank="1" showErrorMessage="1" prompt="利用DB" sqref="B19">
      <formula1>ODBCDriverList</formula1>
    </dataValidation>
    <dataValidation type="list" allowBlank="1" showInputMessage="1" showErrorMessage="1" sqref="E6">
      <formula1>"all,file⠀箟&amp;,଀,,က,,＀?＀_xFFFF_ÿ,,develop"</formula1>
    </dataValidation>
    <dataValidation type="list" allowBlank="1" showInputMessage="1" showErrorMessage="1" sqref="B6:B7 E30:E33 E5 E7">
      <formula1>"TRUE,FALSE"</formula1>
    </dataValidation>
    <dataValidation type="list" showInputMessage="1" showErrorMessage="1" sqref="R17">
      <formula1>"Laravel"</formula1>
    </dataValidation>
    <dataValidation type="list" showInputMessage="1" showErrorMessage="1" sqref="R16">
      <formula1>"CRLF,CR,LF"</formula1>
    </dataValidation>
    <dataValidation type="list" showInputMessage="1" showErrorMessage="1" sqref="R15">
      <formula1>"Shift-JIS,EUC-JP,UTF-8"</formula1>
    </dataValidation>
    <dataValidation showInputMessage="1" showErrorMessage="1" sqref="R14"/>
    <dataValidation imeMode="off" allowBlank="1" showInputMessage="1" showErrorMessage="1" sqref="R8"/>
    <dataValidation imeMode="disabled" allowBlank="1" showInputMessage="1" showErrorMessage="1" sqref="R6:R7 R9:R13"/>
    <dataValidation type="list" allowBlank="1" showErrorMessage="1" prompt="利用DB" sqref="R5">
      <formula1>ODBCDriver</formula1>
    </dataValidation>
    <dataValidation type="list" allowBlank="1" showInputMessage="1" showErrorMessage="1" sqref="B5">
      <formula1>"none,warning,notice,info,debug"</formula1>
    </dataValidation>
  </dataValidations>
  <pageMargins left="0.39370078740157477" right="0.39370078740157477" top="0.59055118110236215" bottom="0.59055118110236215" header="0.31496062992125989" footer="0.27559055118110232"/>
  <pageSetup paperSize="9" scale="35" fitToHeight="0" orientation="portrait" verticalDpi="360" r:id="rId1"/>
  <headerFooter alignWithMargins="0">
    <oddFooter>&amp;R&amp;"Arial,標準"&amp;8Sharp Business Solutions Corporation&amp;C&amp;P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a">
    <pageSetUpPr fitToPage="1"/>
  </sheetPr>
  <dimension ref="A1:X183"/>
  <sheetViews>
    <sheetView showGridLines="0" zoomScaleNormal="100" workbookViewId="0">
      <pane xSplit="3" ySplit="4" topLeftCell="D5" activePane="bottomRight" state="frozen"/>
      <selection activeCell="A37" sqref="A37"/>
      <selection pane="topRight" activeCell="A37" sqref="A37"/>
      <selection pane="bottomLeft" activeCell="A37" sqref="A37"/>
      <selection pane="bottomRight" activeCell="B16" sqref="B16"/>
    </sheetView>
  </sheetViews>
  <sheetFormatPr defaultRowHeight="15" customHeight="1"/>
  <cols>
    <col min="1" max="1" width="25.7109375" style="16" customWidth="1"/>
    <col min="2" max="2" width="25.7109375" style="17" customWidth="1"/>
    <col min="3" max="3" width="5.7109375" style="16" customWidth="1"/>
    <col min="4" max="4" width="25.7109375" style="16" customWidth="1"/>
    <col min="5" max="5" width="25.7109375" style="17" customWidth="1"/>
    <col min="6" max="6" width="5.7109375" style="16" customWidth="1"/>
    <col min="7" max="7" width="27.85546875" style="5" customWidth="1"/>
    <col min="8" max="8" width="13.42578125" style="5" customWidth="1"/>
    <col min="9" max="9" width="34.7109375" style="5" customWidth="1"/>
    <col min="10" max="10" width="26.85546875" style="5" customWidth="1"/>
    <col min="11" max="11" width="7.42578125" style="179" customWidth="1"/>
    <col min="12" max="12" width="9.5703125" style="5" customWidth="1"/>
    <col min="13" max="14" width="26.85546875" style="5" customWidth="1"/>
    <col min="15" max="16" width="15.7109375" style="179" customWidth="1"/>
    <col min="17" max="17" width="16.42578125" style="5" customWidth="1"/>
    <col min="18" max="18" width="34.7109375" style="5" customWidth="1"/>
    <col min="19" max="19" width="5.7109375" style="3" customWidth="1"/>
    <col min="20" max="20" width="22.85546875" style="5" customWidth="1"/>
    <col min="21" max="21" width="40.28515625" style="5" customWidth="1"/>
    <col min="22" max="22" width="5.7109375" style="3" customWidth="1"/>
    <col min="23" max="16384" width="9.140625" style="5"/>
  </cols>
  <sheetData>
    <row r="1" spans="1:24" ht="15" customHeight="1">
      <c r="A1" s="64">
        <v>1</v>
      </c>
      <c r="B1" s="65">
        <v>2</v>
      </c>
      <c r="C1" s="64">
        <v>3</v>
      </c>
      <c r="D1" s="64">
        <v>4</v>
      </c>
      <c r="E1" s="65">
        <v>5</v>
      </c>
      <c r="F1" s="64">
        <v>6</v>
      </c>
      <c r="G1" s="2">
        <v>7</v>
      </c>
      <c r="H1" s="2">
        <v>8</v>
      </c>
      <c r="I1" s="2">
        <v>9</v>
      </c>
      <c r="J1" s="2">
        <v>10</v>
      </c>
      <c r="K1" s="179">
        <v>11</v>
      </c>
      <c r="L1" s="2">
        <v>12</v>
      </c>
      <c r="M1" s="2">
        <v>13</v>
      </c>
      <c r="N1" s="2">
        <v>14</v>
      </c>
      <c r="O1" s="179">
        <v>15</v>
      </c>
      <c r="P1" s="179">
        <v>16</v>
      </c>
      <c r="Q1" s="5">
        <v>17</v>
      </c>
      <c r="R1" s="5">
        <v>18</v>
      </c>
    </row>
    <row r="3" spans="1:24" ht="15" customHeight="1">
      <c r="A3" s="53" t="s">
        <v>226</v>
      </c>
      <c r="B3" s="54"/>
      <c r="D3" s="14" t="s">
        <v>227</v>
      </c>
      <c r="E3" s="15"/>
      <c r="G3" s="53" t="s">
        <v>238</v>
      </c>
      <c r="L3" s="70" t="s">
        <v>310</v>
      </c>
      <c r="Q3" s="1" t="s">
        <v>127</v>
      </c>
      <c r="R3" s="2"/>
      <c r="T3" s="1" t="s">
        <v>103</v>
      </c>
      <c r="U3" s="4"/>
    </row>
    <row r="4" spans="1:24" ht="15" customHeight="1">
      <c r="A4" s="55" t="s">
        <v>104</v>
      </c>
      <c r="B4" s="55" t="s">
        <v>105</v>
      </c>
      <c r="D4" s="46" t="s">
        <v>104</v>
      </c>
      <c r="E4" s="46" t="s">
        <v>105</v>
      </c>
      <c r="G4" s="55" t="s">
        <v>273</v>
      </c>
      <c r="H4" s="55" t="s">
        <v>270</v>
      </c>
      <c r="I4" s="55" t="s">
        <v>271</v>
      </c>
      <c r="J4" s="55" t="s">
        <v>272</v>
      </c>
      <c r="L4" s="55" t="s">
        <v>274</v>
      </c>
      <c r="M4" s="55" t="s">
        <v>275</v>
      </c>
      <c r="N4" s="179"/>
      <c r="Q4" s="6" t="s">
        <v>104</v>
      </c>
      <c r="R4" s="6" t="s">
        <v>105</v>
      </c>
      <c r="T4" s="6" t="s">
        <v>104</v>
      </c>
      <c r="U4" s="6" t="s">
        <v>105</v>
      </c>
    </row>
    <row r="5" spans="1:24" ht="15" customHeight="1">
      <c r="A5" s="56" t="s">
        <v>568</v>
      </c>
      <c r="B5" s="57" t="s">
        <v>569</v>
      </c>
      <c r="D5" s="63" t="s">
        <v>230</v>
      </c>
      <c r="E5" s="63" t="s">
        <v>231</v>
      </c>
      <c r="G5" s="43" t="s">
        <v>124</v>
      </c>
      <c r="H5" s="43" t="s">
        <v>269</v>
      </c>
      <c r="I5" s="45" t="s">
        <v>220</v>
      </c>
      <c r="J5" s="45" t="s">
        <v>205</v>
      </c>
      <c r="L5" s="45">
        <v>2</v>
      </c>
      <c r="M5" s="45" t="s">
        <v>276</v>
      </c>
      <c r="N5" s="179"/>
      <c r="O5" s="180"/>
      <c r="P5" s="180"/>
      <c r="Q5" s="24" t="s">
        <v>199</v>
      </c>
      <c r="R5" s="10" t="s">
        <v>200</v>
      </c>
      <c r="S5" s="5"/>
      <c r="T5" s="25" t="s">
        <v>65</v>
      </c>
      <c r="U5" s="26" t="s">
        <v>215</v>
      </c>
      <c r="V5" s="5"/>
    </row>
    <row r="6" spans="1:24" ht="15" customHeight="1">
      <c r="A6" s="56" t="s">
        <v>232</v>
      </c>
      <c r="B6" s="58" t="b">
        <v>1</v>
      </c>
      <c r="D6" s="47" t="s">
        <v>228</v>
      </c>
      <c r="E6" s="48" t="s">
        <v>229</v>
      </c>
      <c r="G6" s="43" t="s">
        <v>187</v>
      </c>
      <c r="H6" s="43" t="s">
        <v>267</v>
      </c>
      <c r="I6" s="45" t="s">
        <v>219</v>
      </c>
      <c r="J6" s="45" t="s">
        <v>317</v>
      </c>
      <c r="L6" s="45">
        <v>3</v>
      </c>
      <c r="M6" s="45" t="s">
        <v>320</v>
      </c>
      <c r="N6" s="11"/>
      <c r="O6" s="180"/>
      <c r="P6" s="180"/>
      <c r="Q6" s="24" t="s">
        <v>203</v>
      </c>
      <c r="R6" s="10" t="s">
        <v>223</v>
      </c>
      <c r="S6" s="5"/>
      <c r="T6" s="25" t="s">
        <v>3</v>
      </c>
      <c r="U6" s="27">
        <v>43634</v>
      </c>
      <c r="V6" s="5"/>
    </row>
    <row r="7" spans="1:24" ht="15" customHeight="1">
      <c r="A7" s="56" t="s">
        <v>233</v>
      </c>
      <c r="B7" s="58" t="b">
        <v>1</v>
      </c>
      <c r="D7" s="47" t="s">
        <v>232</v>
      </c>
      <c r="E7" s="49" t="b">
        <v>1</v>
      </c>
      <c r="G7" s="43" t="s">
        <v>188</v>
      </c>
      <c r="H7" s="43" t="s">
        <v>268</v>
      </c>
      <c r="I7" s="45" t="s">
        <v>201</v>
      </c>
      <c r="J7" s="45" t="s">
        <v>207</v>
      </c>
      <c r="L7" s="45">
        <v>4</v>
      </c>
      <c r="M7" s="45" t="s">
        <v>277</v>
      </c>
      <c r="N7" s="11"/>
      <c r="O7" s="180"/>
      <c r="P7" s="180"/>
      <c r="Q7" s="24" t="s">
        <v>241</v>
      </c>
      <c r="R7" s="28" t="s">
        <v>224</v>
      </c>
      <c r="S7" s="5"/>
      <c r="T7" s="25" t="s">
        <v>128</v>
      </c>
      <c r="U7" s="29" t="s">
        <v>216</v>
      </c>
      <c r="V7" s="5"/>
      <c r="X7" s="5" t="s">
        <v>258</v>
      </c>
    </row>
    <row r="8" spans="1:24" ht="15" customHeight="1">
      <c r="A8" s="56" t="s">
        <v>234</v>
      </c>
      <c r="B8" s="57" t="s">
        <v>235</v>
      </c>
      <c r="D8" s="47" t="s">
        <v>233</v>
      </c>
      <c r="E8" s="49" t="b">
        <v>1</v>
      </c>
      <c r="G8" s="43" t="s">
        <v>221</v>
      </c>
      <c r="H8" s="43" t="s">
        <v>200</v>
      </c>
      <c r="I8" s="45"/>
      <c r="J8" s="45" t="s">
        <v>206</v>
      </c>
      <c r="L8" s="45">
        <v>5</v>
      </c>
      <c r="M8" s="45" t="s">
        <v>278</v>
      </c>
      <c r="N8" s="11"/>
      <c r="O8" s="180"/>
      <c r="P8" s="180"/>
      <c r="Q8" s="24" t="s">
        <v>213</v>
      </c>
      <c r="R8" s="30"/>
      <c r="S8" s="5"/>
      <c r="T8" s="25" t="s">
        <v>5</v>
      </c>
      <c r="U8" s="23">
        <v>43634</v>
      </c>
      <c r="V8" s="5"/>
    </row>
    <row r="9" spans="1:24" ht="15" customHeight="1">
      <c r="A9" s="56" t="s">
        <v>236</v>
      </c>
      <c r="B9" s="57" t="s">
        <v>237</v>
      </c>
      <c r="D9" s="47" t="s">
        <v>234</v>
      </c>
      <c r="E9" s="48" t="s">
        <v>235</v>
      </c>
      <c r="G9" s="43" t="s">
        <v>125</v>
      </c>
      <c r="H9" s="43"/>
      <c r="I9" s="45"/>
      <c r="J9" s="45"/>
      <c r="L9" s="45">
        <v>6</v>
      </c>
      <c r="M9" s="45" t="s">
        <v>351</v>
      </c>
      <c r="N9" s="11"/>
      <c r="O9" s="180"/>
      <c r="P9" s="180"/>
      <c r="Q9" s="24" t="s">
        <v>214</v>
      </c>
      <c r="R9" s="30"/>
      <c r="S9" s="5"/>
      <c r="T9" s="25" t="s">
        <v>4</v>
      </c>
      <c r="U9" s="23" t="s">
        <v>222</v>
      </c>
      <c r="V9" s="5"/>
    </row>
    <row r="10" spans="1:24" ht="15" customHeight="1">
      <c r="A10" s="56"/>
      <c r="B10" s="57"/>
      <c r="D10" s="47"/>
      <c r="E10" s="48"/>
      <c r="G10" s="45" t="s">
        <v>309</v>
      </c>
      <c r="H10" s="43"/>
      <c r="I10" s="45"/>
      <c r="J10" s="45"/>
      <c r="L10" s="45">
        <v>7</v>
      </c>
      <c r="M10" s="45" t="s">
        <v>321</v>
      </c>
      <c r="N10" s="11"/>
      <c r="O10" s="180"/>
      <c r="P10" s="180"/>
      <c r="Q10" s="24"/>
      <c r="R10" s="30"/>
      <c r="S10" s="5"/>
      <c r="T10" s="25"/>
      <c r="U10" s="23"/>
      <c r="V10" s="5"/>
    </row>
    <row r="11" spans="1:24" ht="15" customHeight="1">
      <c r="A11" s="56" t="s">
        <v>316</v>
      </c>
      <c r="B11" s="43" t="s">
        <v>269</v>
      </c>
      <c r="D11" s="47"/>
      <c r="E11" s="48"/>
      <c r="G11" s="45"/>
      <c r="H11" s="181"/>
      <c r="I11" s="45"/>
      <c r="J11" s="45"/>
      <c r="L11" s="45">
        <v>8</v>
      </c>
      <c r="M11" s="45" t="s">
        <v>279</v>
      </c>
      <c r="N11" s="11"/>
      <c r="O11" s="180"/>
      <c r="P11" s="180"/>
      <c r="Q11" s="24" t="s">
        <v>204</v>
      </c>
      <c r="R11" s="30"/>
      <c r="S11" s="5"/>
      <c r="T11" s="25"/>
      <c r="U11" s="23"/>
      <c r="V11" s="5"/>
    </row>
    <row r="12" spans="1:24" ht="15" customHeight="1">
      <c r="A12" s="56" t="s">
        <v>239</v>
      </c>
      <c r="B12" s="43" t="s">
        <v>269</v>
      </c>
      <c r="D12" s="47"/>
      <c r="E12" s="48"/>
      <c r="G12" s="44"/>
      <c r="H12" s="182"/>
      <c r="I12" s="44"/>
      <c r="J12" s="44"/>
      <c r="L12" s="45">
        <v>9</v>
      </c>
      <c r="M12" s="45" t="s">
        <v>280</v>
      </c>
      <c r="N12" s="11"/>
      <c r="O12" s="180"/>
      <c r="P12" s="180"/>
      <c r="Q12" s="24" t="s">
        <v>110</v>
      </c>
      <c r="R12" s="30"/>
      <c r="S12" s="5"/>
      <c r="T12" s="25"/>
      <c r="U12" s="31" t="e">
        <f>プロジェクト名 &amp; IF(システム名="",""," ["&amp;システム名&amp;"]") &amp; "DB設計書"</f>
        <v>#NAME?</v>
      </c>
      <c r="V12" s="5"/>
    </row>
    <row r="13" spans="1:24" ht="15" customHeight="1">
      <c r="A13" s="56" t="s">
        <v>240</v>
      </c>
      <c r="B13" s="57" t="s">
        <v>318</v>
      </c>
      <c r="D13" s="47"/>
      <c r="E13" s="48"/>
      <c r="H13" s="179"/>
      <c r="L13" s="45">
        <v>10</v>
      </c>
      <c r="M13" s="45" t="s">
        <v>281</v>
      </c>
      <c r="O13" s="180"/>
      <c r="P13" s="180"/>
      <c r="Q13" s="24" t="s">
        <v>123</v>
      </c>
      <c r="R13" s="30"/>
      <c r="S13" s="5"/>
      <c r="V13" s="5"/>
    </row>
    <row r="14" spans="1:24" ht="15" customHeight="1">
      <c r="A14" s="56" t="s">
        <v>242</v>
      </c>
      <c r="B14" s="57" t="s">
        <v>319</v>
      </c>
      <c r="D14" s="47"/>
      <c r="E14" s="48"/>
      <c r="H14" s="179"/>
      <c r="L14" s="45">
        <v>11</v>
      </c>
      <c r="M14" s="66" t="s">
        <v>343</v>
      </c>
      <c r="O14" s="180"/>
      <c r="P14" s="180"/>
      <c r="Q14" s="24" t="s">
        <v>208</v>
      </c>
      <c r="R14" s="30"/>
      <c r="S14" s="5"/>
      <c r="T14" s="8"/>
      <c r="U14" s="8"/>
      <c r="V14" s="5"/>
    </row>
    <row r="15" spans="1:24" ht="15" customHeight="1">
      <c r="A15" s="56" t="s">
        <v>311</v>
      </c>
      <c r="B15" s="57"/>
      <c r="D15" s="47"/>
      <c r="E15" s="48"/>
      <c r="H15" s="179"/>
      <c r="L15" s="45">
        <v>12</v>
      </c>
      <c r="M15" s="45" t="s">
        <v>282</v>
      </c>
      <c r="O15" s="180"/>
      <c r="P15" s="180"/>
      <c r="Q15" s="24" t="s">
        <v>209</v>
      </c>
      <c r="R15" s="10" t="s">
        <v>217</v>
      </c>
      <c r="S15" s="5"/>
      <c r="T15" s="8"/>
      <c r="U15" s="8"/>
      <c r="V15" s="5"/>
    </row>
    <row r="16" spans="1:24" ht="15" customHeight="1">
      <c r="A16" s="59" t="s">
        <v>308</v>
      </c>
      <c r="B16" s="57"/>
      <c r="D16" s="47"/>
      <c r="E16" s="48"/>
      <c r="H16" s="179"/>
      <c r="L16" s="45">
        <v>13</v>
      </c>
      <c r="M16" s="45" t="s">
        <v>283</v>
      </c>
      <c r="O16" s="180"/>
      <c r="P16" s="180"/>
      <c r="Q16" s="24" t="s">
        <v>210</v>
      </c>
      <c r="R16" s="10" t="s">
        <v>218</v>
      </c>
      <c r="S16" s="5"/>
      <c r="T16" s="8"/>
      <c r="U16" s="8"/>
      <c r="V16" s="5"/>
    </row>
    <row r="17" spans="1:22" ht="15" customHeight="1">
      <c r="A17" s="59" t="s">
        <v>307</v>
      </c>
      <c r="B17" s="57"/>
      <c r="D17" s="63"/>
      <c r="E17" s="63"/>
      <c r="L17" s="45">
        <v>14</v>
      </c>
      <c r="M17" s="45" t="s">
        <v>284</v>
      </c>
      <c r="O17" s="180"/>
      <c r="P17" s="180"/>
      <c r="Q17" s="24"/>
      <c r="R17" s="10"/>
      <c r="S17" s="5"/>
      <c r="T17" s="8"/>
      <c r="U17" s="8"/>
      <c r="V17" s="5"/>
    </row>
    <row r="18" spans="1:22" ht="15" customHeight="1">
      <c r="A18" s="56" t="s">
        <v>251</v>
      </c>
      <c r="B18" s="57"/>
      <c r="D18" s="50"/>
      <c r="E18" s="48"/>
      <c r="L18" s="45">
        <v>16</v>
      </c>
      <c r="M18" s="45" t="s">
        <v>285</v>
      </c>
      <c r="O18" s="180"/>
      <c r="P18" s="180"/>
      <c r="S18" s="5"/>
      <c r="T18" s="8"/>
      <c r="U18" s="8"/>
      <c r="V18" s="5"/>
    </row>
    <row r="19" spans="1:22" ht="15" customHeight="1">
      <c r="A19" s="56" t="s">
        <v>252</v>
      </c>
      <c r="B19" s="57"/>
      <c r="D19" s="50"/>
      <c r="E19" s="48"/>
      <c r="H19" s="32"/>
      <c r="L19" s="45">
        <v>17</v>
      </c>
      <c r="M19" s="45" t="s">
        <v>286</v>
      </c>
      <c r="O19" s="180"/>
      <c r="P19" s="180"/>
      <c r="Q19" s="206" t="s">
        <v>106</v>
      </c>
      <c r="R19" s="207"/>
      <c r="S19" s="5"/>
      <c r="T19" s="8"/>
      <c r="U19" s="8"/>
      <c r="V19" s="5"/>
    </row>
    <row r="20" spans="1:22" ht="15" customHeight="1">
      <c r="A20" s="56"/>
      <c r="B20" s="57"/>
      <c r="D20" s="50"/>
      <c r="E20" s="48"/>
      <c r="H20" s="32"/>
      <c r="L20" s="45">
        <v>18</v>
      </c>
      <c r="M20" s="45" t="s">
        <v>287</v>
      </c>
      <c r="O20" s="180"/>
      <c r="P20" s="180"/>
      <c r="Q20" s="9" t="s">
        <v>211</v>
      </c>
      <c r="R20" s="10">
        <v>10</v>
      </c>
      <c r="S20" s="5"/>
      <c r="T20" s="8"/>
      <c r="U20" s="8"/>
      <c r="V20" s="5"/>
    </row>
    <row r="21" spans="1:22" ht="15" customHeight="1">
      <c r="A21" s="59" t="s">
        <v>253</v>
      </c>
      <c r="B21" s="60" t="s">
        <v>264</v>
      </c>
      <c r="D21" s="50"/>
      <c r="E21" s="48"/>
      <c r="H21" s="32"/>
      <c r="L21" s="45">
        <v>19</v>
      </c>
      <c r="M21" s="45" t="s">
        <v>288</v>
      </c>
      <c r="O21" s="180"/>
      <c r="P21" s="180"/>
      <c r="Q21" s="9" t="s">
        <v>66</v>
      </c>
      <c r="R21" s="10">
        <v>8192</v>
      </c>
      <c r="S21" s="5"/>
      <c r="T21" s="8"/>
      <c r="U21" s="8"/>
      <c r="V21" s="5"/>
    </row>
    <row r="22" spans="1:22" ht="15" customHeight="1">
      <c r="A22" s="59" t="s">
        <v>254</v>
      </c>
      <c r="B22" s="57" t="s">
        <v>265</v>
      </c>
      <c r="D22" s="47"/>
      <c r="E22" s="48"/>
      <c r="H22" s="32"/>
      <c r="L22" s="45">
        <v>20</v>
      </c>
      <c r="M22" s="45" t="s">
        <v>289</v>
      </c>
      <c r="O22" s="180"/>
      <c r="P22" s="180"/>
      <c r="Q22" s="9"/>
      <c r="R22" s="10"/>
      <c r="S22" s="5"/>
      <c r="T22" s="8"/>
      <c r="U22" s="8"/>
      <c r="V22" s="5"/>
    </row>
    <row r="23" spans="1:22" ht="15" customHeight="1">
      <c r="A23" s="56" t="s">
        <v>256</v>
      </c>
      <c r="B23" s="57" t="s">
        <v>266</v>
      </c>
      <c r="D23" s="50"/>
      <c r="E23" s="48"/>
      <c r="H23" s="32"/>
      <c r="L23" s="45">
        <v>21</v>
      </c>
      <c r="M23" s="45" t="s">
        <v>290</v>
      </c>
      <c r="O23" s="180"/>
      <c r="P23" s="180"/>
      <c r="S23" s="5"/>
      <c r="T23" s="8"/>
      <c r="U23" s="8"/>
      <c r="V23" s="5"/>
    </row>
    <row r="24" spans="1:22" ht="15" customHeight="1">
      <c r="A24" s="56" t="s">
        <v>257</v>
      </c>
      <c r="B24" s="69">
        <v>44287</v>
      </c>
      <c r="D24" s="50"/>
      <c r="E24" s="48"/>
      <c r="H24" s="32"/>
      <c r="L24" s="45">
        <v>64</v>
      </c>
      <c r="M24" s="45" t="s">
        <v>291</v>
      </c>
      <c r="O24" s="180"/>
      <c r="P24" s="180"/>
      <c r="Q24" s="206"/>
      <c r="R24" s="207"/>
      <c r="S24" s="5"/>
      <c r="T24" s="8"/>
      <c r="U24" s="8"/>
      <c r="V24" s="5"/>
    </row>
    <row r="25" spans="1:22" ht="15" customHeight="1">
      <c r="A25" s="56"/>
      <c r="B25" s="57"/>
      <c r="D25" s="47"/>
      <c r="E25" s="48"/>
      <c r="H25" s="32"/>
      <c r="L25" s="45">
        <v>72</v>
      </c>
      <c r="M25" s="45" t="s">
        <v>292</v>
      </c>
      <c r="O25" s="180"/>
      <c r="P25" s="180"/>
      <c r="Q25" s="9"/>
      <c r="R25" s="10"/>
      <c r="S25" s="5"/>
      <c r="V25" s="5"/>
    </row>
    <row r="26" spans="1:22" ht="15" customHeight="1">
      <c r="A26" s="56"/>
      <c r="B26" s="57"/>
      <c r="D26" s="47"/>
      <c r="E26" s="48"/>
      <c r="H26" s="32"/>
      <c r="L26" s="45">
        <v>128</v>
      </c>
      <c r="M26" s="45" t="s">
        <v>293</v>
      </c>
      <c r="O26" s="180"/>
      <c r="P26" s="180"/>
      <c r="Q26" s="9" t="s">
        <v>66</v>
      </c>
      <c r="R26" s="10">
        <v>8192</v>
      </c>
      <c r="S26" s="5"/>
      <c r="T26" s="8"/>
      <c r="U26" s="8"/>
      <c r="V26" s="5"/>
    </row>
    <row r="27" spans="1:22" ht="15" customHeight="1">
      <c r="A27" s="56" t="s">
        <v>262</v>
      </c>
      <c r="B27" s="57">
        <v>289</v>
      </c>
      <c r="D27" s="47"/>
      <c r="E27" s="48"/>
      <c r="H27" s="32"/>
      <c r="L27" s="45">
        <v>129</v>
      </c>
      <c r="M27" s="45" t="s">
        <v>294</v>
      </c>
      <c r="O27" s="180"/>
      <c r="P27" s="180"/>
      <c r="Q27" s="9" t="s">
        <v>212</v>
      </c>
      <c r="R27" s="10">
        <v>1</v>
      </c>
      <c r="S27" s="5"/>
      <c r="T27" s="8"/>
      <c r="U27" s="8"/>
      <c r="V27" s="5"/>
    </row>
    <row r="28" spans="1:22" ht="15" customHeight="1">
      <c r="A28" s="56" t="s">
        <v>263</v>
      </c>
      <c r="B28" s="57">
        <v>1852</v>
      </c>
      <c r="D28" s="47"/>
      <c r="E28" s="48"/>
      <c r="H28" s="11"/>
      <c r="L28" s="45">
        <v>130</v>
      </c>
      <c r="M28" s="45" t="s">
        <v>295</v>
      </c>
      <c r="O28" s="180"/>
      <c r="P28" s="180"/>
      <c r="S28" s="5"/>
      <c r="T28" s="8"/>
      <c r="U28" s="8"/>
      <c r="V28" s="5"/>
    </row>
    <row r="29" spans="1:22" ht="15" customHeight="1">
      <c r="A29" s="56"/>
      <c r="B29" s="57"/>
      <c r="D29" s="47"/>
      <c r="E29" s="48"/>
      <c r="H29" s="11"/>
      <c r="L29" s="45">
        <v>131</v>
      </c>
      <c r="M29" s="45" t="s">
        <v>296</v>
      </c>
      <c r="O29" s="180"/>
      <c r="P29" s="180"/>
      <c r="S29" s="5"/>
      <c r="V29" s="5"/>
    </row>
    <row r="30" spans="1:22" ht="15" customHeight="1">
      <c r="A30" s="56" t="s">
        <v>375</v>
      </c>
      <c r="B30" s="57" t="s">
        <v>376</v>
      </c>
      <c r="D30" s="47"/>
      <c r="E30" s="48"/>
      <c r="H30" s="11"/>
      <c r="L30" s="45">
        <v>132</v>
      </c>
      <c r="M30" s="45" t="s">
        <v>297</v>
      </c>
      <c r="O30" s="180"/>
      <c r="P30" s="180"/>
      <c r="S30" s="5"/>
      <c r="V30" s="5"/>
    </row>
    <row r="31" spans="1:22" ht="15" customHeight="1">
      <c r="A31" s="56" t="s">
        <v>371</v>
      </c>
      <c r="B31" s="57" t="s">
        <v>373</v>
      </c>
      <c r="D31" s="47"/>
      <c r="E31" s="48"/>
      <c r="H31" s="11"/>
      <c r="L31" s="45">
        <v>133</v>
      </c>
      <c r="M31" s="45" t="s">
        <v>298</v>
      </c>
      <c r="O31" s="180"/>
      <c r="P31" s="180"/>
      <c r="S31" s="5"/>
      <c r="V31" s="5"/>
    </row>
    <row r="32" spans="1:22" ht="15" customHeight="1">
      <c r="A32" s="56" t="s">
        <v>372</v>
      </c>
      <c r="B32" s="57" t="s">
        <v>374</v>
      </c>
      <c r="D32" s="47"/>
      <c r="E32" s="48"/>
      <c r="H32" s="11"/>
      <c r="L32" s="45">
        <v>134</v>
      </c>
      <c r="M32" s="45" t="s">
        <v>299</v>
      </c>
      <c r="O32" s="180"/>
      <c r="P32" s="180"/>
      <c r="S32" s="5"/>
      <c r="V32" s="5"/>
    </row>
    <row r="33" spans="1:22" ht="15" customHeight="1">
      <c r="A33" s="56"/>
      <c r="B33" s="57"/>
      <c r="D33" s="47"/>
      <c r="E33" s="48"/>
      <c r="H33" s="11"/>
      <c r="L33" s="45">
        <v>135</v>
      </c>
      <c r="M33" s="45" t="s">
        <v>300</v>
      </c>
      <c r="O33" s="180"/>
      <c r="P33" s="180"/>
      <c r="S33" s="5"/>
      <c r="V33" s="5"/>
    </row>
    <row r="34" spans="1:22" ht="15" customHeight="1">
      <c r="A34" s="56" t="s">
        <v>354</v>
      </c>
      <c r="B34" s="57" t="s">
        <v>355</v>
      </c>
      <c r="D34" s="47"/>
      <c r="E34" s="48"/>
      <c r="H34" s="11"/>
      <c r="L34" s="45">
        <v>136</v>
      </c>
      <c r="M34" s="45" t="s">
        <v>301</v>
      </c>
      <c r="O34" s="180"/>
      <c r="P34" s="180"/>
      <c r="S34" s="5"/>
      <c r="V34" s="5"/>
    </row>
    <row r="35" spans="1:22" ht="15" customHeight="1">
      <c r="A35" s="56" t="s">
        <v>353</v>
      </c>
      <c r="B35" s="57" t="s">
        <v>356</v>
      </c>
      <c r="D35" s="47"/>
      <c r="E35" s="48"/>
      <c r="H35" s="11"/>
      <c r="L35" s="45">
        <v>138</v>
      </c>
      <c r="M35" s="45" t="s">
        <v>302</v>
      </c>
      <c r="O35" s="180"/>
      <c r="P35" s="180"/>
      <c r="S35" s="5"/>
      <c r="V35" s="5"/>
    </row>
    <row r="36" spans="1:22" ht="15" customHeight="1">
      <c r="A36" s="56" t="s">
        <v>357</v>
      </c>
      <c r="B36" s="57" t="s">
        <v>358</v>
      </c>
      <c r="D36" s="47"/>
      <c r="E36" s="48"/>
      <c r="H36" s="11"/>
      <c r="L36" s="45">
        <v>139</v>
      </c>
      <c r="M36" s="45" t="s">
        <v>303</v>
      </c>
      <c r="O36" s="180"/>
      <c r="P36" s="180"/>
      <c r="S36" s="5"/>
      <c r="V36" s="5"/>
    </row>
    <row r="37" spans="1:22" ht="15" customHeight="1">
      <c r="A37" s="56" t="s">
        <v>359</v>
      </c>
      <c r="B37" s="57" t="s">
        <v>360</v>
      </c>
      <c r="D37" s="47"/>
      <c r="E37" s="48"/>
      <c r="H37" s="11"/>
      <c r="L37" s="45">
        <v>200</v>
      </c>
      <c r="M37" s="45" t="s">
        <v>304</v>
      </c>
      <c r="O37" s="180"/>
      <c r="P37" s="180"/>
      <c r="S37" s="5"/>
      <c r="V37" s="5"/>
    </row>
    <row r="38" spans="1:22" ht="15" customHeight="1">
      <c r="A38" s="56" t="s">
        <v>361</v>
      </c>
      <c r="B38" s="57" t="s">
        <v>363</v>
      </c>
      <c r="D38" s="47"/>
      <c r="E38" s="48"/>
      <c r="H38" s="11"/>
      <c r="L38" s="45">
        <v>201</v>
      </c>
      <c r="M38" s="45" t="s">
        <v>305</v>
      </c>
      <c r="O38" s="180"/>
      <c r="P38" s="180"/>
      <c r="S38" s="5"/>
      <c r="V38" s="5"/>
    </row>
    <row r="39" spans="1:22" ht="15" customHeight="1">
      <c r="A39" s="56" t="s">
        <v>362</v>
      </c>
      <c r="B39" s="57" t="s">
        <v>364</v>
      </c>
      <c r="D39" s="47"/>
      <c r="E39" s="48"/>
      <c r="H39" s="11"/>
      <c r="L39" s="45">
        <v>202</v>
      </c>
      <c r="M39" s="45" t="s">
        <v>349</v>
      </c>
      <c r="O39" s="180"/>
      <c r="P39" s="180"/>
      <c r="S39" s="5"/>
      <c r="V39" s="5"/>
    </row>
    <row r="40" spans="1:22" ht="15" customHeight="1">
      <c r="A40" s="56" t="s">
        <v>365</v>
      </c>
      <c r="B40" s="57" t="s">
        <v>368</v>
      </c>
      <c r="D40" s="47"/>
      <c r="E40" s="48"/>
      <c r="H40" s="11"/>
      <c r="L40" s="45">
        <v>203</v>
      </c>
      <c r="M40" s="45" t="s">
        <v>350</v>
      </c>
      <c r="O40" s="180"/>
      <c r="P40" s="180"/>
      <c r="S40" s="5"/>
      <c r="V40" s="5"/>
    </row>
    <row r="41" spans="1:22" ht="15" customHeight="1">
      <c r="A41" s="56" t="s">
        <v>366</v>
      </c>
      <c r="B41" s="57" t="s">
        <v>369</v>
      </c>
      <c r="D41" s="47"/>
      <c r="E41" s="48"/>
      <c r="H41" s="11"/>
      <c r="L41" s="45">
        <v>204</v>
      </c>
      <c r="M41" s="45" t="s">
        <v>306</v>
      </c>
      <c r="O41" s="180"/>
      <c r="P41" s="180"/>
      <c r="S41" s="5"/>
      <c r="V41" s="5"/>
    </row>
    <row r="42" spans="1:22" ht="15" customHeight="1">
      <c r="A42" s="56" t="s">
        <v>367</v>
      </c>
      <c r="B42" s="57" t="s">
        <v>370</v>
      </c>
      <c r="D42" s="47"/>
      <c r="E42" s="48"/>
      <c r="H42" s="11"/>
      <c r="L42" s="44">
        <v>205</v>
      </c>
      <c r="M42" s="44" t="s">
        <v>352</v>
      </c>
      <c r="O42" s="180"/>
      <c r="P42" s="180"/>
      <c r="S42" s="5"/>
      <c r="V42" s="5"/>
    </row>
    <row r="43" spans="1:22" ht="15" customHeight="1">
      <c r="A43" s="56"/>
      <c r="B43" s="57"/>
      <c r="D43" s="47"/>
      <c r="E43" s="48"/>
      <c r="H43" s="11"/>
      <c r="O43" s="180"/>
      <c r="P43" s="180"/>
      <c r="S43" s="5"/>
      <c r="V43" s="5"/>
    </row>
    <row r="44" spans="1:22" ht="15" customHeight="1">
      <c r="A44" s="56"/>
      <c r="B44" s="57"/>
      <c r="D44" s="47"/>
      <c r="E44" s="48"/>
      <c r="H44" s="11"/>
      <c r="O44" s="180"/>
      <c r="P44" s="180"/>
      <c r="S44" s="5"/>
      <c r="V44" s="5"/>
    </row>
    <row r="45" spans="1:22" ht="15" customHeight="1">
      <c r="A45" s="56"/>
      <c r="B45" s="57"/>
      <c r="D45" s="47"/>
      <c r="E45" s="48"/>
      <c r="H45" s="11"/>
      <c r="O45" s="180"/>
      <c r="P45" s="180"/>
      <c r="S45" s="5"/>
      <c r="V45" s="5"/>
    </row>
    <row r="46" spans="1:22" ht="15" customHeight="1">
      <c r="A46" s="56"/>
      <c r="B46" s="57"/>
      <c r="D46" s="47"/>
      <c r="E46" s="48"/>
      <c r="H46" s="11"/>
      <c r="O46" s="180"/>
      <c r="P46" s="180"/>
      <c r="S46" s="5"/>
      <c r="V46" s="5"/>
    </row>
    <row r="47" spans="1:22" ht="15" customHeight="1">
      <c r="A47" s="56"/>
      <c r="B47" s="57"/>
      <c r="D47" s="47"/>
      <c r="E47" s="48"/>
      <c r="H47" s="11"/>
      <c r="O47" s="180"/>
      <c r="P47" s="180"/>
      <c r="S47" s="5"/>
      <c r="V47" s="5"/>
    </row>
    <row r="48" spans="1:22" ht="15" customHeight="1">
      <c r="A48" s="56"/>
      <c r="B48" s="57"/>
      <c r="D48" s="47"/>
      <c r="E48" s="48"/>
      <c r="H48" s="11"/>
      <c r="O48" s="180"/>
      <c r="P48" s="180"/>
      <c r="S48" s="5"/>
      <c r="V48" s="5"/>
    </row>
    <row r="49" spans="1:22" ht="15" customHeight="1">
      <c r="A49" s="56"/>
      <c r="B49" s="57"/>
      <c r="D49" s="47"/>
      <c r="E49" s="48"/>
      <c r="H49" s="11"/>
      <c r="O49" s="180"/>
      <c r="P49" s="180"/>
      <c r="S49" s="5"/>
      <c r="V49" s="5"/>
    </row>
    <row r="50" spans="1:22" ht="15" customHeight="1">
      <c r="A50" s="56"/>
      <c r="B50" s="57"/>
      <c r="D50" s="47"/>
      <c r="E50" s="48"/>
      <c r="H50" s="11"/>
      <c r="O50" s="180"/>
      <c r="P50" s="180"/>
      <c r="S50" s="5"/>
      <c r="V50" s="5"/>
    </row>
    <row r="51" spans="1:22" ht="15" customHeight="1">
      <c r="A51" s="56"/>
      <c r="B51" s="57"/>
      <c r="D51" s="47"/>
      <c r="E51" s="48"/>
      <c r="H51" s="11"/>
      <c r="O51" s="180"/>
      <c r="P51" s="180"/>
      <c r="S51" s="5"/>
      <c r="V51" s="5"/>
    </row>
    <row r="52" spans="1:22" ht="15" customHeight="1">
      <c r="A52" s="56"/>
      <c r="B52" s="57"/>
      <c r="D52" s="47"/>
      <c r="E52" s="48"/>
      <c r="H52" s="11"/>
      <c r="O52" s="180"/>
      <c r="P52" s="180"/>
      <c r="S52" s="5"/>
      <c r="T52" s="8"/>
      <c r="U52" s="8"/>
      <c r="V52" s="5"/>
    </row>
    <row r="53" spans="1:22" ht="15" customHeight="1">
      <c r="A53" s="56"/>
      <c r="B53" s="57"/>
      <c r="D53" s="47"/>
      <c r="E53" s="48"/>
      <c r="H53" s="11"/>
      <c r="O53" s="180"/>
      <c r="P53" s="180"/>
      <c r="S53" s="5"/>
      <c r="T53" s="8"/>
      <c r="U53" s="8"/>
      <c r="V53" s="5"/>
    </row>
    <row r="54" spans="1:22" ht="15" customHeight="1">
      <c r="A54" s="56"/>
      <c r="B54" s="57"/>
      <c r="D54" s="47"/>
      <c r="E54" s="48"/>
      <c r="H54" s="11"/>
      <c r="O54" s="180"/>
      <c r="P54" s="180"/>
      <c r="S54" s="5"/>
      <c r="T54" s="8"/>
      <c r="U54" s="8"/>
      <c r="V54" s="5"/>
    </row>
    <row r="55" spans="1:22" ht="15" customHeight="1">
      <c r="A55" s="56"/>
      <c r="B55" s="57"/>
      <c r="D55" s="47"/>
      <c r="E55" s="48"/>
      <c r="H55" s="11"/>
      <c r="O55" s="180"/>
      <c r="P55" s="180"/>
      <c r="S55" s="5"/>
      <c r="V55" s="5"/>
    </row>
    <row r="56" spans="1:22" ht="15" customHeight="1">
      <c r="A56" s="56"/>
      <c r="B56" s="57"/>
      <c r="D56" s="47"/>
      <c r="E56" s="48"/>
      <c r="H56" s="11"/>
      <c r="O56" s="180"/>
      <c r="P56" s="180"/>
      <c r="S56" s="5"/>
      <c r="V56" s="5"/>
    </row>
    <row r="57" spans="1:22" ht="15" customHeight="1">
      <c r="A57" s="56"/>
      <c r="B57" s="57"/>
      <c r="D57" s="47"/>
      <c r="E57" s="48"/>
      <c r="H57" s="11"/>
      <c r="O57" s="180"/>
      <c r="P57" s="180"/>
      <c r="S57" s="5"/>
      <c r="V57" s="5"/>
    </row>
    <row r="58" spans="1:22" ht="15" customHeight="1">
      <c r="A58" s="56"/>
      <c r="B58" s="57"/>
      <c r="D58" s="47"/>
      <c r="E58" s="48"/>
      <c r="H58" s="11"/>
      <c r="O58" s="180"/>
      <c r="P58" s="180"/>
      <c r="S58" s="5"/>
      <c r="V58" s="5"/>
    </row>
    <row r="59" spans="1:22" ht="15" customHeight="1">
      <c r="A59" s="56"/>
      <c r="B59" s="57"/>
      <c r="D59" s="47"/>
      <c r="E59" s="48"/>
      <c r="H59" s="11"/>
      <c r="O59" s="180"/>
      <c r="P59" s="180"/>
      <c r="S59" s="5"/>
      <c r="V59" s="5"/>
    </row>
    <row r="60" spans="1:22" ht="15" customHeight="1">
      <c r="A60" s="56"/>
      <c r="B60" s="57"/>
      <c r="D60" s="47"/>
      <c r="E60" s="48"/>
      <c r="H60" s="11"/>
      <c r="O60" s="180"/>
      <c r="P60" s="180"/>
      <c r="S60" s="5"/>
      <c r="V60" s="5"/>
    </row>
    <row r="61" spans="1:22" ht="15" customHeight="1">
      <c r="A61" s="56"/>
      <c r="B61" s="57"/>
      <c r="D61" s="47"/>
      <c r="E61" s="48"/>
      <c r="H61" s="11"/>
      <c r="O61" s="180"/>
      <c r="P61" s="180"/>
      <c r="S61" s="5"/>
      <c r="V61" s="5"/>
    </row>
    <row r="62" spans="1:22" ht="15" customHeight="1">
      <c r="A62" s="56"/>
      <c r="B62" s="57"/>
      <c r="D62" s="51"/>
      <c r="E62" s="52"/>
      <c r="H62" s="11"/>
      <c r="O62" s="180"/>
      <c r="P62" s="180"/>
      <c r="S62" s="5"/>
      <c r="V62" s="5"/>
    </row>
    <row r="63" spans="1:22" ht="15" customHeight="1">
      <c r="A63" s="56"/>
      <c r="B63" s="62"/>
      <c r="H63" s="11"/>
    </row>
    <row r="64" spans="1:22" ht="15" customHeight="1">
      <c r="A64" s="56"/>
      <c r="H64" s="11"/>
    </row>
    <row r="65" spans="1:8" ht="15" customHeight="1">
      <c r="A65" s="61"/>
      <c r="H65" s="11"/>
    </row>
    <row r="66" spans="1:8" ht="15" customHeight="1">
      <c r="H66" s="11"/>
    </row>
    <row r="67" spans="1:8" ht="15" customHeight="1">
      <c r="H67" s="11"/>
    </row>
    <row r="68" spans="1:8" ht="15" customHeight="1">
      <c r="H68" s="11"/>
    </row>
    <row r="69" spans="1:8" ht="15" customHeight="1">
      <c r="H69" s="11"/>
    </row>
    <row r="70" spans="1:8" ht="15" customHeight="1">
      <c r="H70" s="11"/>
    </row>
    <row r="71" spans="1:8" ht="15" customHeight="1">
      <c r="H71" s="11"/>
    </row>
    <row r="72" spans="1:8" ht="15" customHeight="1">
      <c r="H72" s="11"/>
    </row>
    <row r="73" spans="1:8" ht="15" customHeight="1">
      <c r="H73" s="11"/>
    </row>
    <row r="74" spans="1:8" ht="15" customHeight="1">
      <c r="H74" s="11"/>
    </row>
    <row r="75" spans="1:8" ht="15" customHeight="1">
      <c r="H75" s="11"/>
    </row>
    <row r="76" spans="1:8" ht="15" customHeight="1">
      <c r="H76" s="11"/>
    </row>
    <row r="77" spans="1:8" ht="15" customHeight="1">
      <c r="H77" s="11"/>
    </row>
    <row r="78" spans="1:8" ht="15" customHeight="1">
      <c r="H78" s="11"/>
    </row>
    <row r="79" spans="1:8" ht="15" customHeight="1">
      <c r="H79" s="11"/>
    </row>
    <row r="80" spans="1:8" ht="15" customHeight="1">
      <c r="H80" s="11"/>
    </row>
    <row r="81" spans="8:8" ht="15" customHeight="1">
      <c r="H81" s="11"/>
    </row>
    <row r="82" spans="8:8" ht="15" customHeight="1">
      <c r="H82" s="11"/>
    </row>
    <row r="83" spans="8:8" ht="15" customHeight="1">
      <c r="H83" s="11"/>
    </row>
    <row r="84" spans="8:8" ht="15" customHeight="1">
      <c r="H84" s="11"/>
    </row>
    <row r="85" spans="8:8" ht="15" customHeight="1">
      <c r="H85" s="11"/>
    </row>
    <row r="86" spans="8:8" ht="15" customHeight="1">
      <c r="H86" s="11"/>
    </row>
    <row r="87" spans="8:8" ht="15" customHeight="1">
      <c r="H87" s="11"/>
    </row>
    <row r="88" spans="8:8" ht="15" customHeight="1">
      <c r="H88" s="11"/>
    </row>
    <row r="89" spans="8:8" ht="15" customHeight="1">
      <c r="H89" s="11"/>
    </row>
    <row r="90" spans="8:8" ht="15" customHeight="1">
      <c r="H90" s="11"/>
    </row>
    <row r="91" spans="8:8" ht="15" customHeight="1">
      <c r="H91" s="11"/>
    </row>
    <row r="92" spans="8:8" ht="15" customHeight="1">
      <c r="H92" s="11"/>
    </row>
    <row r="93" spans="8:8" ht="15" customHeight="1">
      <c r="H93" s="11"/>
    </row>
    <row r="94" spans="8:8" ht="15" customHeight="1">
      <c r="H94" s="11"/>
    </row>
    <row r="95" spans="8:8" ht="15" customHeight="1">
      <c r="H95" s="11"/>
    </row>
    <row r="96" spans="8:8" ht="15" customHeight="1">
      <c r="H96" s="11"/>
    </row>
    <row r="97" spans="8:8" ht="15" customHeight="1">
      <c r="H97" s="11"/>
    </row>
    <row r="98" spans="8:8" ht="15" customHeight="1">
      <c r="H98" s="11"/>
    </row>
    <row r="99" spans="8:8" ht="15" customHeight="1">
      <c r="H99" s="11"/>
    </row>
    <row r="100" spans="8:8" ht="15" customHeight="1">
      <c r="H100" s="11"/>
    </row>
    <row r="101" spans="8:8" ht="15" customHeight="1">
      <c r="H101" s="11"/>
    </row>
    <row r="102" spans="8:8" ht="15" customHeight="1">
      <c r="H102" s="11"/>
    </row>
    <row r="103" spans="8:8" ht="15" customHeight="1">
      <c r="H103" s="12"/>
    </row>
    <row r="104" spans="8:8" ht="15" customHeight="1">
      <c r="H104" s="13"/>
    </row>
    <row r="105" spans="8:8" ht="15" customHeight="1">
      <c r="H105" s="13"/>
    </row>
    <row r="106" spans="8:8" ht="15" customHeight="1">
      <c r="H106" s="13"/>
    </row>
    <row r="107" spans="8:8" ht="15" customHeight="1">
      <c r="H107" s="13"/>
    </row>
    <row r="108" spans="8:8" ht="15" customHeight="1">
      <c r="H108" s="13"/>
    </row>
    <row r="109" spans="8:8" ht="15" customHeight="1">
      <c r="H109" s="13"/>
    </row>
    <row r="110" spans="8:8" ht="15" customHeight="1">
      <c r="H110" s="13"/>
    </row>
    <row r="111" spans="8:8" ht="15" customHeight="1">
      <c r="H111" s="13"/>
    </row>
    <row r="112" spans="8:8" ht="15" customHeight="1">
      <c r="H112" s="13"/>
    </row>
    <row r="113" spans="8:8" ht="15" customHeight="1">
      <c r="H113" s="13"/>
    </row>
    <row r="114" spans="8:8" ht="15" customHeight="1">
      <c r="H114" s="13"/>
    </row>
    <row r="115" spans="8:8" ht="15" customHeight="1">
      <c r="H115" s="13"/>
    </row>
    <row r="116" spans="8:8" ht="15" customHeight="1">
      <c r="H116" s="13"/>
    </row>
    <row r="117" spans="8:8" ht="15" customHeight="1">
      <c r="H117" s="13"/>
    </row>
    <row r="118" spans="8:8" ht="15" customHeight="1">
      <c r="H118" s="13"/>
    </row>
    <row r="119" spans="8:8" ht="15" customHeight="1">
      <c r="H119" s="13"/>
    </row>
    <row r="120" spans="8:8" ht="15" customHeight="1">
      <c r="H120" s="13"/>
    </row>
    <row r="121" spans="8:8" ht="15" customHeight="1">
      <c r="H121" s="13"/>
    </row>
    <row r="122" spans="8:8" ht="15" customHeight="1">
      <c r="H122" s="13"/>
    </row>
    <row r="123" spans="8:8" ht="15" customHeight="1">
      <c r="H123" s="13"/>
    </row>
    <row r="124" spans="8:8" ht="15" customHeight="1">
      <c r="H124" s="13"/>
    </row>
    <row r="125" spans="8:8" ht="15" customHeight="1">
      <c r="H125" s="13"/>
    </row>
    <row r="126" spans="8:8" ht="15" customHeight="1">
      <c r="H126" s="13"/>
    </row>
    <row r="127" spans="8:8" ht="15" customHeight="1">
      <c r="H127" s="13"/>
    </row>
    <row r="128" spans="8:8" ht="15" customHeight="1">
      <c r="H128" s="13"/>
    </row>
    <row r="129" spans="8:8" ht="15" customHeight="1">
      <c r="H129" s="13"/>
    </row>
    <row r="130" spans="8:8" ht="15" customHeight="1">
      <c r="H130" s="13"/>
    </row>
    <row r="131" spans="8:8" ht="15" customHeight="1">
      <c r="H131" s="13"/>
    </row>
    <row r="132" spans="8:8" ht="15" customHeight="1">
      <c r="H132" s="13"/>
    </row>
    <row r="133" spans="8:8" ht="15" customHeight="1">
      <c r="H133" s="13"/>
    </row>
    <row r="134" spans="8:8" ht="15" customHeight="1">
      <c r="H134" s="13"/>
    </row>
    <row r="135" spans="8:8" ht="15" customHeight="1">
      <c r="H135" s="13"/>
    </row>
    <row r="136" spans="8:8" ht="15" customHeight="1">
      <c r="H136" s="13"/>
    </row>
    <row r="137" spans="8:8" ht="15" customHeight="1">
      <c r="H137" s="13"/>
    </row>
    <row r="138" spans="8:8" ht="15" customHeight="1">
      <c r="H138" s="13"/>
    </row>
    <row r="139" spans="8:8" ht="15" customHeight="1">
      <c r="H139" s="13"/>
    </row>
    <row r="140" spans="8:8" ht="15" customHeight="1">
      <c r="H140" s="13"/>
    </row>
    <row r="141" spans="8:8" ht="15" customHeight="1">
      <c r="H141" s="13"/>
    </row>
    <row r="142" spans="8:8" ht="15" customHeight="1">
      <c r="H142" s="13"/>
    </row>
    <row r="143" spans="8:8" ht="15" customHeight="1">
      <c r="H143" s="13"/>
    </row>
    <row r="144" spans="8:8" ht="15" customHeight="1">
      <c r="H144" s="13"/>
    </row>
    <row r="145" spans="8:8" ht="15" customHeight="1">
      <c r="H145" s="13"/>
    </row>
    <row r="146" spans="8:8" ht="15" customHeight="1">
      <c r="H146" s="13"/>
    </row>
    <row r="147" spans="8:8" ht="15" customHeight="1">
      <c r="H147" s="13"/>
    </row>
    <row r="148" spans="8:8" ht="15" customHeight="1">
      <c r="H148" s="13"/>
    </row>
    <row r="149" spans="8:8" ht="15" customHeight="1">
      <c r="H149" s="13"/>
    </row>
    <row r="150" spans="8:8" ht="15" customHeight="1">
      <c r="H150" s="13"/>
    </row>
    <row r="151" spans="8:8" ht="15" customHeight="1">
      <c r="H151" s="13"/>
    </row>
    <row r="152" spans="8:8" ht="15" customHeight="1">
      <c r="H152" s="13"/>
    </row>
    <row r="153" spans="8:8" ht="15" customHeight="1">
      <c r="H153" s="13"/>
    </row>
    <row r="154" spans="8:8" ht="15" customHeight="1">
      <c r="H154" s="13"/>
    </row>
    <row r="155" spans="8:8" ht="15" customHeight="1">
      <c r="H155" s="13"/>
    </row>
    <row r="156" spans="8:8" ht="15" customHeight="1">
      <c r="H156" s="13"/>
    </row>
    <row r="157" spans="8:8" ht="15" customHeight="1">
      <c r="H157" s="13"/>
    </row>
    <row r="158" spans="8:8" ht="15" customHeight="1">
      <c r="H158" s="13"/>
    </row>
    <row r="159" spans="8:8" ht="15" customHeight="1">
      <c r="H159" s="13"/>
    </row>
    <row r="160" spans="8:8" ht="15" customHeight="1">
      <c r="H160" s="13"/>
    </row>
    <row r="161" spans="8:8" ht="15" customHeight="1">
      <c r="H161" s="13"/>
    </row>
    <row r="162" spans="8:8" ht="15" customHeight="1">
      <c r="H162" s="13"/>
    </row>
    <row r="163" spans="8:8" ht="15" customHeight="1">
      <c r="H163" s="13"/>
    </row>
    <row r="164" spans="8:8" ht="15" customHeight="1">
      <c r="H164" s="13"/>
    </row>
    <row r="165" spans="8:8" ht="15" customHeight="1">
      <c r="H165" s="13"/>
    </row>
    <row r="166" spans="8:8" ht="15" customHeight="1">
      <c r="H166" s="13"/>
    </row>
    <row r="167" spans="8:8" ht="15" customHeight="1">
      <c r="H167" s="13"/>
    </row>
    <row r="168" spans="8:8" ht="15" customHeight="1">
      <c r="H168" s="13"/>
    </row>
    <row r="169" spans="8:8" ht="15" customHeight="1">
      <c r="H169" s="13"/>
    </row>
    <row r="170" spans="8:8" ht="15" customHeight="1">
      <c r="H170" s="13"/>
    </row>
    <row r="171" spans="8:8" ht="15" customHeight="1">
      <c r="H171" s="13"/>
    </row>
    <row r="172" spans="8:8" ht="15" customHeight="1">
      <c r="H172" s="13"/>
    </row>
    <row r="173" spans="8:8" ht="15" customHeight="1">
      <c r="H173" s="13"/>
    </row>
    <row r="174" spans="8:8" ht="15" customHeight="1">
      <c r="H174" s="13"/>
    </row>
    <row r="175" spans="8:8" ht="15" customHeight="1">
      <c r="H175" s="13"/>
    </row>
    <row r="176" spans="8:8" ht="15" customHeight="1">
      <c r="H176" s="13"/>
    </row>
    <row r="177" spans="8:8" ht="15" customHeight="1">
      <c r="H177" s="13"/>
    </row>
    <row r="178" spans="8:8" ht="15" customHeight="1">
      <c r="H178" s="13"/>
    </row>
    <row r="179" spans="8:8" ht="15" customHeight="1">
      <c r="H179" s="13"/>
    </row>
    <row r="180" spans="8:8" ht="15" customHeight="1">
      <c r="H180" s="13"/>
    </row>
    <row r="181" spans="8:8" ht="15" customHeight="1">
      <c r="H181" s="13"/>
    </row>
    <row r="182" spans="8:8" ht="15" customHeight="1">
      <c r="H182" s="13"/>
    </row>
    <row r="183" spans="8:8" ht="15" customHeight="1">
      <c r="H183" s="7"/>
    </row>
  </sheetData>
  <sheetProtection selectLockedCells="1"/>
  <mergeCells count="2">
    <mergeCell ref="Q19:R19"/>
    <mergeCell ref="Q24:R24"/>
  </mergeCells>
  <phoneticPr fontId="8"/>
  <dataValidations count="12">
    <dataValidation type="list" allowBlank="1" showErrorMessage="1" prompt="利用DB" sqref="R5">
      <formula1>ODBCDriver</formula1>
    </dataValidation>
    <dataValidation imeMode="disabled" allowBlank="1" showInputMessage="1" showErrorMessage="1" sqref="R6:R7 R9:R13"/>
    <dataValidation imeMode="off" allowBlank="1" showInputMessage="1" showErrorMessage="1" sqref="R8"/>
    <dataValidation showInputMessage="1" showErrorMessage="1" sqref="R14"/>
    <dataValidation type="list" showInputMessage="1" showErrorMessage="1" sqref="R15">
      <formula1>"Shift-JIS,EUC-JP,UTF-8"</formula1>
    </dataValidation>
    <dataValidation type="list" showInputMessage="1" showErrorMessage="1" sqref="R16">
      <formula1>"CRLF,CR,LF"</formula1>
    </dataValidation>
    <dataValidation type="list" showInputMessage="1" showErrorMessage="1" sqref="R17">
      <formula1>"Laravel"</formula1>
    </dataValidation>
    <dataValidation type="list" allowBlank="1" showInputMessage="1" showErrorMessage="1" sqref="E7:E8 B6:B7 E30:E33">
      <formula1>"TRUE,FALSE"</formula1>
    </dataValidation>
    <dataValidation type="list" allowBlank="1" showInputMessage="1" showErrorMessage="1" sqref="E6">
      <formula1>"all,file⠀箟&amp;,଀,,က,,＀?＀_xFFFF_ÿ,,develop"</formula1>
    </dataValidation>
    <dataValidation type="list" allowBlank="1" showErrorMessage="1" prompt="利用DB" sqref="B12">
      <formula1>ODBCDriverList</formula1>
    </dataValidation>
    <dataValidation type="list" allowBlank="1" showErrorMessage="1" prompt="利用DB" sqref="B11">
      <formula1>DBList</formula1>
    </dataValidation>
    <dataValidation type="list" allowBlank="1" showInputMessage="1" showErrorMessage="1" sqref="B5">
      <formula1>"none,warning,notice,info,debug"</formula1>
    </dataValidation>
  </dataValidations>
  <pageMargins left="0.39370078740157477" right="0.39370078740157477" top="0.59055118110236215" bottom="0.59055118110236215" header="0.31496062992125989" footer="0.27559055118110232"/>
  <pageSetup paperSize="9" scale="35" fitToHeight="0" orientation="portrait" verticalDpi="360" r:id="rId1"/>
  <headerFooter alignWithMargins="0">
    <oddFooter>&amp;R&amp;"Arial,標準"&amp;8Sharp Business Solutions Corporation&amp;C&amp;P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ResetButton">
                <anchor moveWithCells="1">
                  <from>
                    <xdr:col>19</xdr:col>
                    <xdr:colOff>152400</xdr:colOff>
                    <xdr:row>15</xdr:row>
                    <xdr:rowOff>95250</xdr:rowOff>
                  </from>
                  <to>
                    <xdr:col>19</xdr:col>
                    <xdr:colOff>1409700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GetSheetListButton">
                <anchor moveWithCells="1">
                  <from>
                    <xdr:col>20</xdr:col>
                    <xdr:colOff>466725</xdr:colOff>
                    <xdr:row>15</xdr:row>
                    <xdr:rowOff>76200</xdr:rowOff>
                  </from>
                  <to>
                    <xdr:col>20</xdr:col>
                    <xdr:colOff>1743075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GetAllSheetColumnList">
                <anchor moveWithCells="1">
                  <from>
                    <xdr:col>19</xdr:col>
                    <xdr:colOff>152400</xdr:colOff>
                    <xdr:row>18</xdr:row>
                    <xdr:rowOff>228600</xdr:rowOff>
                  </from>
                  <to>
                    <xdr:col>19</xdr:col>
                    <xdr:colOff>1409700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Y62"/>
  <sheetViews>
    <sheetView showGridLines="0" zoomScaleNormal="100" workbookViewId="0">
      <pane ySplit="1" topLeftCell="A14" activePane="bottomLeft" state="frozen"/>
      <selection activeCell="A9" sqref="A9"/>
      <selection pane="bottomLeft" activeCell="B37" sqref="B37"/>
    </sheetView>
  </sheetViews>
  <sheetFormatPr defaultRowHeight="15" customHeight="1"/>
  <cols>
    <col min="1" max="1" width="9.140625" style="190"/>
    <col min="2" max="2" width="80.7109375" style="20" customWidth="1"/>
    <col min="3" max="3" width="9.140625" style="19"/>
    <col min="4" max="16384" width="9.140625" style="20"/>
  </cols>
  <sheetData>
    <row r="1" spans="1:25" ht="15" customHeight="1">
      <c r="A1" s="18" t="s">
        <v>225</v>
      </c>
      <c r="B1" s="18" t="s">
        <v>243</v>
      </c>
    </row>
    <row r="2" spans="1:25" ht="15" customHeight="1">
      <c r="A2" s="21"/>
      <c r="B2" s="22" t="s">
        <v>260</v>
      </c>
      <c r="C2" s="20"/>
    </row>
    <row r="3" spans="1:25" ht="15" customHeight="1">
      <c r="A3" s="183">
        <v>1</v>
      </c>
      <c r="B3" s="184" t="s">
        <v>380</v>
      </c>
      <c r="V3" s="20" t="s">
        <v>379</v>
      </c>
      <c r="Y3" s="71">
        <v>44454</v>
      </c>
    </row>
    <row r="4" spans="1:25" ht="15" customHeight="1">
      <c r="A4" s="183">
        <v>2</v>
      </c>
      <c r="B4" s="184" t="s">
        <v>381</v>
      </c>
    </row>
    <row r="5" spans="1:25" ht="15" customHeight="1">
      <c r="A5" s="183">
        <v>3</v>
      </c>
      <c r="B5" s="184" t="s">
        <v>382</v>
      </c>
    </row>
    <row r="6" spans="1:25" ht="15" customHeight="1">
      <c r="A6" s="183">
        <v>4</v>
      </c>
      <c r="B6" s="184" t="s">
        <v>383</v>
      </c>
    </row>
    <row r="7" spans="1:25" ht="15" customHeight="1">
      <c r="A7" s="183">
        <v>5</v>
      </c>
      <c r="B7" s="184"/>
    </row>
    <row r="8" spans="1:25" ht="15" customHeight="1">
      <c r="A8" s="183"/>
      <c r="B8" s="184"/>
    </row>
    <row r="9" spans="1:25" ht="15" customHeight="1">
      <c r="A9" s="183"/>
      <c r="B9" s="184"/>
    </row>
    <row r="10" spans="1:25" ht="15" customHeight="1">
      <c r="A10" s="183"/>
      <c r="B10" s="184"/>
    </row>
    <row r="11" spans="1:25" ht="15" customHeight="1">
      <c r="A11" s="183"/>
      <c r="B11" s="184"/>
    </row>
    <row r="12" spans="1:25" ht="15" customHeight="1">
      <c r="A12" s="183"/>
      <c r="B12" s="184"/>
    </row>
    <row r="13" spans="1:25" ht="15" customHeight="1">
      <c r="A13" s="183">
        <v>100</v>
      </c>
      <c r="B13" s="184" t="s">
        <v>384</v>
      </c>
    </row>
    <row r="14" spans="1:25" ht="15" customHeight="1">
      <c r="A14" s="183"/>
      <c r="B14" s="184"/>
    </row>
    <row r="15" spans="1:25" ht="15" customHeight="1">
      <c r="A15" s="183">
        <v>200</v>
      </c>
      <c r="B15" s="184" t="s">
        <v>385</v>
      </c>
    </row>
    <row r="16" spans="1:25" ht="15" customHeight="1">
      <c r="A16" s="183">
        <v>201</v>
      </c>
      <c r="B16" s="184" t="s">
        <v>386</v>
      </c>
    </row>
    <row r="17" spans="1:2" ht="15" customHeight="1">
      <c r="A17" s="183">
        <v>202</v>
      </c>
      <c r="B17" s="184" t="s">
        <v>387</v>
      </c>
    </row>
    <row r="18" spans="1:2" ht="15" customHeight="1">
      <c r="A18" s="183">
        <v>203</v>
      </c>
      <c r="B18" s="184" t="s">
        <v>388</v>
      </c>
    </row>
    <row r="19" spans="1:2" ht="15" customHeight="1">
      <c r="A19" s="183">
        <v>204</v>
      </c>
      <c r="B19" s="184" t="s">
        <v>389</v>
      </c>
    </row>
    <row r="20" spans="1:2" ht="15" customHeight="1">
      <c r="A20" s="183">
        <v>205</v>
      </c>
      <c r="B20" s="184" t="s">
        <v>390</v>
      </c>
    </row>
    <row r="21" spans="1:2" ht="15" customHeight="1">
      <c r="A21" s="185"/>
      <c r="B21" s="186"/>
    </row>
    <row r="22" spans="1:2" ht="15" customHeight="1">
      <c r="A22" s="185">
        <v>210</v>
      </c>
      <c r="B22" s="184" t="s">
        <v>459</v>
      </c>
    </row>
    <row r="23" spans="1:2" ht="15" customHeight="1">
      <c r="A23" s="183"/>
      <c r="B23" s="184"/>
    </row>
    <row r="24" spans="1:2" ht="15" customHeight="1">
      <c r="A24" s="183"/>
      <c r="B24" s="187"/>
    </row>
    <row r="25" spans="1:2" ht="15" customHeight="1">
      <c r="A25" s="183"/>
      <c r="B25" s="184"/>
    </row>
    <row r="26" spans="1:2" ht="15" customHeight="1">
      <c r="A26" s="21"/>
      <c r="B26" s="22" t="s">
        <v>391</v>
      </c>
    </row>
    <row r="27" spans="1:2" ht="15" customHeight="1">
      <c r="A27" s="183">
        <v>400</v>
      </c>
      <c r="B27" s="187" t="s">
        <v>392</v>
      </c>
    </row>
    <row r="28" spans="1:2" ht="15" customHeight="1">
      <c r="A28" s="183">
        <v>401</v>
      </c>
      <c r="B28" s="184" t="s">
        <v>393</v>
      </c>
    </row>
    <row r="29" spans="1:2" ht="15" customHeight="1">
      <c r="A29" s="183">
        <v>402</v>
      </c>
      <c r="B29" s="184" t="s">
        <v>394</v>
      </c>
    </row>
    <row r="30" spans="1:2" ht="15" customHeight="1">
      <c r="A30" s="183">
        <v>403</v>
      </c>
      <c r="B30" s="187" t="s">
        <v>395</v>
      </c>
    </row>
    <row r="31" spans="1:2" ht="15" customHeight="1">
      <c r="A31" s="183">
        <v>404</v>
      </c>
      <c r="B31" s="184" t="s">
        <v>396</v>
      </c>
    </row>
    <row r="32" spans="1:2" ht="15" customHeight="1">
      <c r="A32" s="183">
        <v>405</v>
      </c>
      <c r="B32" s="184" t="s">
        <v>397</v>
      </c>
    </row>
    <row r="33" spans="1:2" ht="15" customHeight="1">
      <c r="A33" s="183">
        <v>406</v>
      </c>
      <c r="B33" s="184" t="s">
        <v>398</v>
      </c>
    </row>
    <row r="34" spans="1:2" ht="15" customHeight="1">
      <c r="A34" s="183">
        <v>407</v>
      </c>
      <c r="B34" s="187" t="s">
        <v>399</v>
      </c>
    </row>
    <row r="35" spans="1:2" ht="15" customHeight="1">
      <c r="A35" s="183">
        <v>408</v>
      </c>
      <c r="B35" s="184" t="s">
        <v>244</v>
      </c>
    </row>
    <row r="36" spans="1:2" ht="15" customHeight="1">
      <c r="A36" s="183">
        <v>409</v>
      </c>
      <c r="B36" s="187" t="s">
        <v>578</v>
      </c>
    </row>
    <row r="37" spans="1:2" ht="15" customHeight="1">
      <c r="A37" s="183">
        <v>410</v>
      </c>
      <c r="B37" s="187" t="s">
        <v>579</v>
      </c>
    </row>
    <row r="38" spans="1:2" ht="15" customHeight="1">
      <c r="A38" s="185"/>
      <c r="B38" s="201"/>
    </row>
    <row r="39" spans="1:2" ht="15" customHeight="1">
      <c r="A39" s="185"/>
      <c r="B39" s="201"/>
    </row>
    <row r="40" spans="1:2" ht="15" customHeight="1">
      <c r="A40" s="185"/>
      <c r="B40" s="201"/>
    </row>
    <row r="41" spans="1:2" ht="15" customHeight="1">
      <c r="A41" s="183"/>
      <c r="B41" s="184"/>
    </row>
    <row r="42" spans="1:2" ht="15" customHeight="1">
      <c r="A42" s="183">
        <v>500</v>
      </c>
      <c r="B42" s="187" t="s">
        <v>400</v>
      </c>
    </row>
    <row r="43" spans="1:2" ht="15" customHeight="1">
      <c r="A43" s="183">
        <v>501</v>
      </c>
      <c r="B43" s="187" t="s">
        <v>401</v>
      </c>
    </row>
    <row r="44" spans="1:2" ht="15" customHeight="1">
      <c r="A44" s="183">
        <v>502</v>
      </c>
      <c r="B44" s="184" t="s">
        <v>402</v>
      </c>
    </row>
    <row r="45" spans="1:2" ht="15" customHeight="1">
      <c r="A45" s="183">
        <v>502</v>
      </c>
      <c r="B45" s="184" t="s">
        <v>403</v>
      </c>
    </row>
    <row r="46" spans="1:2" ht="15" customHeight="1">
      <c r="A46" s="183"/>
      <c r="B46" s="184"/>
    </row>
    <row r="47" spans="1:2" ht="15" customHeight="1">
      <c r="A47" s="183">
        <v>510</v>
      </c>
      <c r="B47" s="187" t="s">
        <v>561</v>
      </c>
    </row>
    <row r="48" spans="1:2" ht="15" customHeight="1">
      <c r="A48" s="183">
        <v>511</v>
      </c>
      <c r="B48" s="187" t="s">
        <v>542</v>
      </c>
    </row>
    <row r="49" spans="1:2" ht="15" customHeight="1">
      <c r="A49" s="183"/>
      <c r="B49" s="187"/>
    </row>
    <row r="50" spans="1:2" ht="15" customHeight="1">
      <c r="A50" s="183"/>
      <c r="B50" s="187"/>
    </row>
    <row r="51" spans="1:2" ht="15" customHeight="1">
      <c r="A51" s="183"/>
      <c r="B51" s="187"/>
    </row>
    <row r="52" spans="1:2" ht="15" customHeight="1">
      <c r="A52" s="21"/>
      <c r="B52" s="22" t="s">
        <v>261</v>
      </c>
    </row>
    <row r="53" spans="1:2" ht="15" customHeight="1">
      <c r="A53" s="183"/>
      <c r="B53" s="184"/>
    </row>
    <row r="54" spans="1:2" ht="15" customHeight="1">
      <c r="A54" s="183"/>
      <c r="B54" s="184"/>
    </row>
    <row r="55" spans="1:2" ht="15" customHeight="1">
      <c r="A55" s="183"/>
      <c r="B55" s="184"/>
    </row>
    <row r="56" spans="1:2" ht="15" customHeight="1">
      <c r="A56" s="183"/>
      <c r="B56" s="184"/>
    </row>
    <row r="57" spans="1:2" ht="15" customHeight="1">
      <c r="A57" s="21"/>
      <c r="B57" s="22"/>
    </row>
    <row r="58" spans="1:2" ht="15" customHeight="1">
      <c r="A58" s="183">
        <v>9</v>
      </c>
      <c r="B58" s="184" t="s">
        <v>245</v>
      </c>
    </row>
    <row r="59" spans="1:2" ht="15" customHeight="1">
      <c r="A59" s="183">
        <v>13</v>
      </c>
      <c r="B59" s="184" t="s">
        <v>246</v>
      </c>
    </row>
    <row r="60" spans="1:2" ht="15" customHeight="1">
      <c r="A60" s="183">
        <v>53</v>
      </c>
      <c r="B60" s="184" t="s">
        <v>259</v>
      </c>
    </row>
    <row r="61" spans="1:2" ht="15" customHeight="1">
      <c r="A61" s="183">
        <v>91</v>
      </c>
      <c r="B61" s="184" t="s">
        <v>247</v>
      </c>
    </row>
    <row r="62" spans="1:2" ht="15" customHeight="1">
      <c r="A62" s="188">
        <v>1004</v>
      </c>
      <c r="B62" s="189" t="s">
        <v>248</v>
      </c>
    </row>
  </sheetData>
  <phoneticPr fontId="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Q73"/>
  <sheetViews>
    <sheetView showGridLines="0" topLeftCell="C1" zoomScaleNormal="100" workbookViewId="0">
      <pane ySplit="2" topLeftCell="A3" activePane="bottomLeft" state="frozen"/>
      <selection activeCell="A9" sqref="A9"/>
      <selection pane="bottomLeft" activeCell="F15" sqref="F15"/>
    </sheetView>
  </sheetViews>
  <sheetFormatPr defaultRowHeight="20.100000000000001" customHeight="1"/>
  <cols>
    <col min="1" max="1" width="23.42578125" style="33" customWidth="1"/>
    <col min="2" max="2" width="31.28515625" style="33" customWidth="1"/>
    <col min="3" max="3" width="64.42578125" style="33" customWidth="1"/>
    <col min="4" max="4" width="23.42578125" style="33" customWidth="1"/>
    <col min="5" max="5" width="31.28515625" style="33" customWidth="1"/>
    <col min="6" max="6" width="64.42578125" style="33" customWidth="1"/>
    <col min="7" max="7" width="23.42578125" style="33" customWidth="1"/>
    <col min="8" max="8" width="31.28515625" style="33" customWidth="1"/>
    <col min="9" max="9" width="64.42578125" style="33" customWidth="1"/>
    <col min="10" max="10" width="23.42578125" style="33" customWidth="1"/>
    <col min="11" max="11" width="31.28515625" style="33" customWidth="1"/>
    <col min="12" max="12" width="64.42578125" style="33" customWidth="1"/>
    <col min="13" max="13" width="23.42578125" style="33" customWidth="1"/>
    <col min="14" max="14" width="31.28515625" style="33" customWidth="1"/>
    <col min="15" max="15" width="64.42578125" style="33" customWidth="1"/>
    <col min="16" max="17" width="9.140625" style="179"/>
    <col min="18" max="16384" width="9.140625" style="33"/>
  </cols>
  <sheetData>
    <row r="1" spans="1:15" ht="20.100000000000001" customHeight="1">
      <c r="A1" s="35" t="s">
        <v>111</v>
      </c>
      <c r="B1" s="36"/>
      <c r="C1" s="37"/>
      <c r="D1" s="35" t="s">
        <v>113</v>
      </c>
      <c r="E1" s="36"/>
      <c r="F1" s="37"/>
      <c r="G1" s="35" t="s">
        <v>115</v>
      </c>
      <c r="H1" s="36"/>
      <c r="I1" s="37"/>
      <c r="J1" s="35" t="s">
        <v>255</v>
      </c>
      <c r="K1" s="36"/>
      <c r="L1" s="37"/>
      <c r="M1" s="35" t="s">
        <v>220</v>
      </c>
      <c r="N1" s="36"/>
      <c r="O1" s="37"/>
    </row>
    <row r="2" spans="1:15" ht="20.100000000000001" customHeight="1">
      <c r="A2" s="38" t="s">
        <v>108</v>
      </c>
      <c r="B2" s="39" t="s">
        <v>249</v>
      </c>
      <c r="C2" s="40" t="s">
        <v>250</v>
      </c>
      <c r="D2" s="38" t="s">
        <v>108</v>
      </c>
      <c r="E2" s="39" t="s">
        <v>249</v>
      </c>
      <c r="F2" s="40" t="s">
        <v>250</v>
      </c>
      <c r="G2" s="38" t="s">
        <v>108</v>
      </c>
      <c r="H2" s="39" t="s">
        <v>249</v>
      </c>
      <c r="I2" s="40" t="s">
        <v>250</v>
      </c>
      <c r="J2" s="38" t="s">
        <v>108</v>
      </c>
      <c r="K2" s="39" t="s">
        <v>249</v>
      </c>
      <c r="L2" s="40" t="s">
        <v>250</v>
      </c>
      <c r="M2" s="38" t="s">
        <v>108</v>
      </c>
      <c r="N2" s="39" t="s">
        <v>249</v>
      </c>
      <c r="O2" s="40" t="s">
        <v>250</v>
      </c>
    </row>
    <row r="3" spans="1:15" ht="20.100000000000001" customHeight="1">
      <c r="A3" s="41" t="s">
        <v>56</v>
      </c>
      <c r="B3" s="41" t="s">
        <v>56</v>
      </c>
      <c r="C3" s="41" t="s">
        <v>67</v>
      </c>
      <c r="D3" s="42" t="s">
        <v>69</v>
      </c>
      <c r="E3" s="42" t="s">
        <v>98</v>
      </c>
      <c r="F3" s="42" t="s">
        <v>21</v>
      </c>
      <c r="G3" s="41" t="s">
        <v>116</v>
      </c>
      <c r="H3" s="41" t="s">
        <v>56</v>
      </c>
      <c r="I3" s="41" t="s">
        <v>117</v>
      </c>
      <c r="J3" s="41" t="s">
        <v>192</v>
      </c>
      <c r="K3" s="41" t="s">
        <v>192</v>
      </c>
      <c r="L3" s="41" t="s">
        <v>191</v>
      </c>
      <c r="M3" s="41" t="s">
        <v>347</v>
      </c>
      <c r="N3" s="41" t="s">
        <v>322</v>
      </c>
      <c r="O3" s="41"/>
    </row>
    <row r="4" spans="1:15" ht="20.100000000000001" customHeight="1">
      <c r="A4" s="42" t="s">
        <v>68</v>
      </c>
      <c r="B4" s="42" t="s">
        <v>34</v>
      </c>
      <c r="C4" s="42" t="s">
        <v>35</v>
      </c>
      <c r="D4" s="42" t="s">
        <v>68</v>
      </c>
      <c r="E4" s="42" t="s">
        <v>89</v>
      </c>
      <c r="F4" s="42" t="s">
        <v>0</v>
      </c>
      <c r="G4" s="42" t="s">
        <v>68</v>
      </c>
      <c r="H4" s="42" t="s">
        <v>34</v>
      </c>
      <c r="I4" s="42" t="s">
        <v>35</v>
      </c>
      <c r="J4" s="66" t="s">
        <v>6</v>
      </c>
      <c r="K4" s="66" t="s">
        <v>6</v>
      </c>
      <c r="L4" s="42" t="s">
        <v>134</v>
      </c>
      <c r="M4" s="66" t="s">
        <v>324</v>
      </c>
      <c r="N4" s="66" t="s">
        <v>323</v>
      </c>
      <c r="O4" s="66"/>
    </row>
    <row r="5" spans="1:15" ht="20.100000000000001" customHeight="1">
      <c r="A5" s="42" t="s">
        <v>69</v>
      </c>
      <c r="B5" s="42" t="s">
        <v>70</v>
      </c>
      <c r="C5" s="42" t="s">
        <v>21</v>
      </c>
      <c r="D5" s="42" t="s">
        <v>27</v>
      </c>
      <c r="E5" s="42" t="s">
        <v>90</v>
      </c>
      <c r="F5" s="42" t="s">
        <v>114</v>
      </c>
      <c r="G5" s="42" t="s">
        <v>69</v>
      </c>
      <c r="H5" s="42" t="s">
        <v>70</v>
      </c>
      <c r="I5" s="42" t="s">
        <v>118</v>
      </c>
      <c r="J5" s="42" t="s">
        <v>184</v>
      </c>
      <c r="K5" s="42" t="s">
        <v>161</v>
      </c>
      <c r="L5" s="42" t="s">
        <v>162</v>
      </c>
      <c r="M5" s="42" t="s">
        <v>326</v>
      </c>
      <c r="N5" s="42" t="s">
        <v>325</v>
      </c>
      <c r="O5" s="42"/>
    </row>
    <row r="6" spans="1:15" ht="20.100000000000001" customHeight="1">
      <c r="A6" s="42" t="s">
        <v>27</v>
      </c>
      <c r="B6" s="42" t="s">
        <v>27</v>
      </c>
      <c r="C6" s="42" t="s">
        <v>28</v>
      </c>
      <c r="D6" s="42" t="s">
        <v>126</v>
      </c>
      <c r="E6" s="42" t="s">
        <v>87</v>
      </c>
      <c r="F6" s="42" t="s">
        <v>189</v>
      </c>
      <c r="G6" s="42" t="s">
        <v>119</v>
      </c>
      <c r="H6" s="42" t="s">
        <v>120</v>
      </c>
      <c r="I6" s="42" t="s">
        <v>121</v>
      </c>
      <c r="J6" s="42" t="s">
        <v>11</v>
      </c>
      <c r="K6" s="42" t="s">
        <v>11</v>
      </c>
      <c r="L6" s="42" t="s">
        <v>167</v>
      </c>
      <c r="M6" s="42" t="s">
        <v>404</v>
      </c>
      <c r="N6" s="42" t="s">
        <v>327</v>
      </c>
      <c r="O6" s="42"/>
    </row>
    <row r="7" spans="1:15" ht="20.100000000000001" customHeight="1">
      <c r="A7" s="42" t="s">
        <v>112</v>
      </c>
      <c r="B7" s="42" t="s">
        <v>72</v>
      </c>
      <c r="C7" s="42" t="s">
        <v>62</v>
      </c>
      <c r="D7" s="42" t="s">
        <v>61</v>
      </c>
      <c r="E7" s="42" t="s">
        <v>89</v>
      </c>
      <c r="F7" s="42" t="s">
        <v>102</v>
      </c>
      <c r="G7" s="42" t="s">
        <v>129</v>
      </c>
      <c r="H7" s="42" t="s">
        <v>27</v>
      </c>
      <c r="I7" s="42" t="s">
        <v>28</v>
      </c>
      <c r="J7" s="42" t="s">
        <v>180</v>
      </c>
      <c r="K7" s="42" t="s">
        <v>75</v>
      </c>
      <c r="L7" s="42" t="s">
        <v>142</v>
      </c>
      <c r="M7" s="42" t="s">
        <v>329</v>
      </c>
      <c r="N7" s="42" t="s">
        <v>328</v>
      </c>
      <c r="O7" s="42"/>
    </row>
    <row r="8" spans="1:15" ht="20.100000000000001" customHeight="1">
      <c r="A8" s="42" t="s">
        <v>61</v>
      </c>
      <c r="B8" s="42" t="s">
        <v>72</v>
      </c>
      <c r="C8" s="42" t="s">
        <v>62</v>
      </c>
      <c r="D8" s="42" t="s">
        <v>83</v>
      </c>
      <c r="E8" s="42" t="s">
        <v>90</v>
      </c>
      <c r="F8" s="42" t="s">
        <v>190</v>
      </c>
      <c r="G8" s="42" t="s">
        <v>61</v>
      </c>
      <c r="H8" s="42" t="s">
        <v>72</v>
      </c>
      <c r="I8" s="42" t="s">
        <v>62</v>
      </c>
      <c r="J8" s="42" t="s">
        <v>27</v>
      </c>
      <c r="K8" s="42" t="s">
        <v>27</v>
      </c>
      <c r="L8" s="42" t="s">
        <v>152</v>
      </c>
      <c r="M8" s="42" t="s">
        <v>331</v>
      </c>
      <c r="N8" s="42" t="s">
        <v>330</v>
      </c>
      <c r="O8" s="42"/>
    </row>
    <row r="9" spans="1:15" ht="20.100000000000001" customHeight="1">
      <c r="A9" s="42" t="s">
        <v>73</v>
      </c>
      <c r="B9" s="42" t="s">
        <v>74</v>
      </c>
      <c r="C9" s="42" t="s">
        <v>22</v>
      </c>
      <c r="D9" s="42" t="s">
        <v>57</v>
      </c>
      <c r="E9" s="42" t="s">
        <v>99</v>
      </c>
      <c r="F9" s="42"/>
      <c r="G9" s="42" t="s">
        <v>73</v>
      </c>
      <c r="H9" s="42" t="s">
        <v>74</v>
      </c>
      <c r="I9" s="42" t="s">
        <v>22</v>
      </c>
      <c r="J9" s="42" t="s">
        <v>126</v>
      </c>
      <c r="K9" s="42" t="s">
        <v>126</v>
      </c>
      <c r="L9" s="42" t="s">
        <v>151</v>
      </c>
      <c r="M9" s="42" t="s">
        <v>333</v>
      </c>
      <c r="N9" s="42" t="s">
        <v>332</v>
      </c>
      <c r="O9" s="42"/>
    </row>
    <row r="10" spans="1:15" ht="20.100000000000001" customHeight="1">
      <c r="A10" s="42" t="s">
        <v>57</v>
      </c>
      <c r="B10" s="42" t="s">
        <v>57</v>
      </c>
      <c r="C10" s="42" t="s">
        <v>21</v>
      </c>
      <c r="D10" s="42" t="s">
        <v>193</v>
      </c>
      <c r="E10" s="42" t="s">
        <v>87</v>
      </c>
      <c r="F10" s="42" t="s">
        <v>88</v>
      </c>
      <c r="G10" s="42" t="s">
        <v>57</v>
      </c>
      <c r="H10" s="42" t="s">
        <v>57</v>
      </c>
      <c r="I10" s="42" t="s">
        <v>21</v>
      </c>
      <c r="J10" s="42" t="s">
        <v>154</v>
      </c>
      <c r="K10" s="42" t="s">
        <v>154</v>
      </c>
      <c r="L10" s="42" t="s">
        <v>155</v>
      </c>
      <c r="M10" s="42" t="s">
        <v>335</v>
      </c>
      <c r="N10" s="42" t="s">
        <v>334</v>
      </c>
      <c r="O10" s="42"/>
    </row>
    <row r="11" spans="1:15" ht="20.100000000000001" customHeight="1">
      <c r="A11" s="42" t="s">
        <v>29</v>
      </c>
      <c r="B11" s="42" t="s">
        <v>30</v>
      </c>
      <c r="C11" s="42" t="s">
        <v>31</v>
      </c>
      <c r="D11" s="42" t="s">
        <v>194</v>
      </c>
      <c r="E11" s="42" t="s">
        <v>89</v>
      </c>
      <c r="F11" s="42" t="s">
        <v>96</v>
      </c>
      <c r="G11" s="42" t="s">
        <v>122</v>
      </c>
      <c r="H11" s="42"/>
      <c r="I11" s="42"/>
      <c r="J11" s="42" t="s">
        <v>156</v>
      </c>
      <c r="K11" s="42" t="s">
        <v>156</v>
      </c>
      <c r="L11" s="42" t="s">
        <v>157</v>
      </c>
      <c r="M11" s="42" t="s">
        <v>337</v>
      </c>
      <c r="N11" s="42" t="s">
        <v>336</v>
      </c>
      <c r="O11" s="42"/>
    </row>
    <row r="12" spans="1:15" ht="20.100000000000001" customHeight="1">
      <c r="A12" s="42" t="s">
        <v>14</v>
      </c>
      <c r="B12" s="42" t="s">
        <v>15</v>
      </c>
      <c r="C12" s="42" t="s">
        <v>16</v>
      </c>
      <c r="D12" s="42" t="s">
        <v>6</v>
      </c>
      <c r="E12" s="42" t="s">
        <v>87</v>
      </c>
      <c r="F12" s="42" t="s">
        <v>97</v>
      </c>
      <c r="G12" s="42"/>
      <c r="H12" s="42"/>
      <c r="I12" s="42"/>
      <c r="J12" s="42" t="s">
        <v>177</v>
      </c>
      <c r="K12" s="42" t="s">
        <v>135</v>
      </c>
      <c r="L12" s="42" t="s">
        <v>136</v>
      </c>
      <c r="M12" s="42" t="s">
        <v>339</v>
      </c>
      <c r="N12" s="42" t="s">
        <v>338</v>
      </c>
      <c r="O12" s="42"/>
    </row>
    <row r="13" spans="1:15" ht="20.100000000000001" customHeight="1">
      <c r="A13" s="42" t="s">
        <v>54</v>
      </c>
      <c r="B13" s="42" t="s">
        <v>54</v>
      </c>
      <c r="C13" s="42" t="s">
        <v>55</v>
      </c>
      <c r="D13" s="42" t="s">
        <v>195</v>
      </c>
      <c r="E13" s="42" t="s">
        <v>90</v>
      </c>
      <c r="F13" s="42" t="s">
        <v>91</v>
      </c>
      <c r="G13" s="42"/>
      <c r="H13" s="42"/>
      <c r="I13" s="42"/>
      <c r="J13" s="42" t="s">
        <v>179</v>
      </c>
      <c r="K13" s="42" t="s">
        <v>139</v>
      </c>
      <c r="L13" s="42" t="s">
        <v>140</v>
      </c>
      <c r="M13" s="42" t="s">
        <v>341</v>
      </c>
      <c r="N13" s="42" t="s">
        <v>340</v>
      </c>
      <c r="O13" s="42"/>
    </row>
    <row r="14" spans="1:15" ht="20.100000000000001" customHeight="1">
      <c r="A14" s="42" t="s">
        <v>11</v>
      </c>
      <c r="B14" s="42" t="s">
        <v>11</v>
      </c>
      <c r="C14" s="42" t="s">
        <v>12</v>
      </c>
      <c r="D14" s="42" t="s">
        <v>786</v>
      </c>
      <c r="E14" s="42" t="s">
        <v>92</v>
      </c>
      <c r="F14" s="42" t="s">
        <v>93</v>
      </c>
      <c r="G14" s="42"/>
      <c r="H14" s="42"/>
      <c r="I14" s="42"/>
      <c r="J14" s="66" t="s">
        <v>68</v>
      </c>
      <c r="K14" s="66" t="s">
        <v>68</v>
      </c>
      <c r="L14" s="42" t="s">
        <v>133</v>
      </c>
      <c r="M14" s="66" t="s">
        <v>405</v>
      </c>
      <c r="N14" s="66" t="s">
        <v>342</v>
      </c>
      <c r="O14" s="66"/>
    </row>
    <row r="15" spans="1:15" ht="20.100000000000001" customHeight="1">
      <c r="A15" s="42" t="s">
        <v>9</v>
      </c>
      <c r="B15" s="42" t="s">
        <v>10</v>
      </c>
      <c r="C15" s="42" t="s">
        <v>76</v>
      </c>
      <c r="D15" s="42" t="s">
        <v>787</v>
      </c>
      <c r="E15" s="42" t="s">
        <v>94</v>
      </c>
      <c r="F15" s="42" t="s">
        <v>95</v>
      </c>
      <c r="G15" s="42"/>
      <c r="H15" s="42"/>
      <c r="I15" s="42"/>
      <c r="J15" s="42" t="s">
        <v>43</v>
      </c>
      <c r="K15" s="42" t="s">
        <v>43</v>
      </c>
      <c r="L15" s="42" t="s">
        <v>160</v>
      </c>
      <c r="M15" s="42" t="s">
        <v>345</v>
      </c>
      <c r="N15" s="42" t="s">
        <v>344</v>
      </c>
      <c r="O15" s="42"/>
    </row>
    <row r="16" spans="1:15" ht="20.100000000000001" customHeight="1">
      <c r="A16" s="42" t="s">
        <v>7</v>
      </c>
      <c r="B16" s="42" t="s">
        <v>6</v>
      </c>
      <c r="C16" s="42" t="s">
        <v>8</v>
      </c>
      <c r="D16" s="42" t="s">
        <v>73</v>
      </c>
      <c r="E16" s="42" t="s">
        <v>98</v>
      </c>
      <c r="F16" s="42"/>
      <c r="G16" s="42"/>
      <c r="H16" s="42"/>
      <c r="I16" s="42"/>
      <c r="J16" s="42" t="s">
        <v>182</v>
      </c>
      <c r="K16" s="42" t="s">
        <v>144</v>
      </c>
      <c r="L16" s="42" t="s">
        <v>145</v>
      </c>
      <c r="M16" s="42" t="s">
        <v>348</v>
      </c>
      <c r="N16" s="42" t="s">
        <v>346</v>
      </c>
      <c r="O16" s="42"/>
    </row>
    <row r="17" spans="1:15" ht="20.100000000000001" customHeight="1">
      <c r="A17" s="42" t="s">
        <v>23</v>
      </c>
      <c r="B17" s="42" t="s">
        <v>23</v>
      </c>
      <c r="C17" s="42" t="s">
        <v>24</v>
      </c>
      <c r="D17" s="42" t="s">
        <v>196</v>
      </c>
      <c r="E17" s="42" t="s">
        <v>98</v>
      </c>
      <c r="F17" s="42"/>
      <c r="G17" s="42"/>
      <c r="H17" s="42"/>
      <c r="I17" s="42"/>
      <c r="J17" s="42" t="s">
        <v>148</v>
      </c>
      <c r="K17" s="42" t="s">
        <v>148</v>
      </c>
      <c r="L17" s="42"/>
      <c r="M17" s="42"/>
      <c r="N17" s="42"/>
      <c r="O17" s="42"/>
    </row>
    <row r="18" spans="1:15" ht="20.100000000000001" customHeight="1">
      <c r="A18" s="42" t="s">
        <v>32</v>
      </c>
      <c r="B18" s="42" t="s">
        <v>32</v>
      </c>
      <c r="C18" s="42" t="s">
        <v>33</v>
      </c>
      <c r="D18" s="42" t="s">
        <v>197</v>
      </c>
      <c r="E18" s="42" t="s">
        <v>100</v>
      </c>
      <c r="F18" s="42"/>
      <c r="G18" s="42"/>
      <c r="H18" s="42"/>
      <c r="I18" s="42"/>
      <c r="J18" s="42" t="s">
        <v>178</v>
      </c>
      <c r="K18" s="42" t="s">
        <v>137</v>
      </c>
      <c r="L18" s="42" t="s">
        <v>138</v>
      </c>
      <c r="M18" s="42"/>
      <c r="N18" s="42"/>
      <c r="O18" s="42"/>
    </row>
    <row r="19" spans="1:15" ht="20.100000000000001" customHeight="1">
      <c r="A19" s="42" t="s">
        <v>41</v>
      </c>
      <c r="B19" s="42" t="s">
        <v>41</v>
      </c>
      <c r="C19" s="42" t="s">
        <v>42</v>
      </c>
      <c r="D19" s="42" t="s">
        <v>198</v>
      </c>
      <c r="E19" s="42" t="s">
        <v>101</v>
      </c>
      <c r="F19" s="42"/>
      <c r="G19" s="42"/>
      <c r="H19" s="42"/>
      <c r="I19" s="42"/>
      <c r="J19" s="42" t="s">
        <v>183</v>
      </c>
      <c r="K19" s="42" t="s">
        <v>146</v>
      </c>
      <c r="L19" s="42" t="s">
        <v>147</v>
      </c>
      <c r="M19" s="42"/>
      <c r="N19" s="42"/>
      <c r="O19" s="42"/>
    </row>
    <row r="20" spans="1:15" ht="20.100000000000001" customHeight="1">
      <c r="A20" s="42" t="s">
        <v>19</v>
      </c>
      <c r="B20" s="42" t="s">
        <v>19</v>
      </c>
      <c r="C20" s="42" t="s">
        <v>20</v>
      </c>
      <c r="D20" s="42" t="s">
        <v>788</v>
      </c>
      <c r="E20" s="42" t="s">
        <v>94</v>
      </c>
      <c r="F20" s="42" t="s">
        <v>793</v>
      </c>
      <c r="G20" s="42"/>
      <c r="H20" s="42"/>
      <c r="I20" s="42"/>
      <c r="J20" s="42" t="s">
        <v>52</v>
      </c>
      <c r="K20" s="42" t="s">
        <v>52</v>
      </c>
      <c r="L20" s="42" t="s">
        <v>141</v>
      </c>
      <c r="M20" s="42"/>
      <c r="N20" s="42"/>
      <c r="O20" s="42"/>
    </row>
    <row r="21" spans="1:15" ht="20.100000000000001" customHeight="1">
      <c r="A21" s="42" t="s">
        <v>77</v>
      </c>
      <c r="B21" s="42" t="s">
        <v>78</v>
      </c>
      <c r="C21" s="42" t="s">
        <v>13</v>
      </c>
      <c r="D21" s="42" t="s">
        <v>785</v>
      </c>
      <c r="E21" s="42" t="s">
        <v>92</v>
      </c>
      <c r="F21" s="42" t="s">
        <v>794</v>
      </c>
      <c r="G21" s="42"/>
      <c r="H21" s="42"/>
      <c r="I21" s="42"/>
      <c r="J21" s="42" t="s">
        <v>149</v>
      </c>
      <c r="K21" s="42" t="s">
        <v>149</v>
      </c>
      <c r="L21" s="42" t="s">
        <v>150</v>
      </c>
      <c r="M21" s="42"/>
      <c r="N21" s="42"/>
      <c r="O21" s="42"/>
    </row>
    <row r="22" spans="1:15" ht="20.100000000000001" customHeight="1">
      <c r="A22" s="42" t="s">
        <v>43</v>
      </c>
      <c r="B22" s="42" t="s">
        <v>43</v>
      </c>
      <c r="C22" s="42" t="s">
        <v>44</v>
      </c>
      <c r="D22" s="42" t="s">
        <v>791</v>
      </c>
      <c r="E22" s="42" t="s">
        <v>90</v>
      </c>
      <c r="F22" s="42" t="s">
        <v>795</v>
      </c>
      <c r="G22" s="42"/>
      <c r="H22" s="42"/>
      <c r="I22" s="42"/>
      <c r="J22" s="42" t="s">
        <v>54</v>
      </c>
      <c r="K22" s="42" t="s">
        <v>54</v>
      </c>
      <c r="L22" s="42" t="s">
        <v>132</v>
      </c>
      <c r="M22" s="42"/>
      <c r="N22" s="42"/>
      <c r="O22" s="42"/>
    </row>
    <row r="23" spans="1:15" ht="20.100000000000001" customHeight="1">
      <c r="A23" s="42" t="s">
        <v>79</v>
      </c>
      <c r="B23" s="42" t="s">
        <v>80</v>
      </c>
      <c r="C23" s="42" t="s">
        <v>36</v>
      </c>
      <c r="D23" s="42" t="s">
        <v>789</v>
      </c>
      <c r="E23" s="42" t="s">
        <v>89</v>
      </c>
      <c r="F23" s="42" t="s">
        <v>792</v>
      </c>
      <c r="G23" s="42"/>
      <c r="H23" s="42"/>
      <c r="I23" s="42"/>
      <c r="J23" s="42" t="s">
        <v>158</v>
      </c>
      <c r="K23" s="42" t="s">
        <v>158</v>
      </c>
      <c r="L23" s="42" t="s">
        <v>159</v>
      </c>
      <c r="M23" s="42"/>
      <c r="N23" s="42"/>
      <c r="O23" s="42"/>
    </row>
    <row r="24" spans="1:15" ht="20.100000000000001" customHeight="1">
      <c r="A24" s="42" t="s">
        <v>59</v>
      </c>
      <c r="B24" s="42" t="s">
        <v>81</v>
      </c>
      <c r="C24" s="42" t="s">
        <v>60</v>
      </c>
      <c r="D24" s="42" t="s">
        <v>790</v>
      </c>
      <c r="E24" s="42" t="s">
        <v>87</v>
      </c>
      <c r="F24" s="42" t="s">
        <v>796</v>
      </c>
      <c r="G24" s="42"/>
      <c r="H24" s="42"/>
      <c r="I24" s="42"/>
      <c r="J24" s="42" t="s">
        <v>175</v>
      </c>
      <c r="K24" s="42" t="s">
        <v>175</v>
      </c>
      <c r="L24" s="42" t="s">
        <v>176</v>
      </c>
      <c r="M24" s="42"/>
      <c r="N24" s="42"/>
      <c r="O24" s="42"/>
    </row>
    <row r="25" spans="1:15" ht="20.100000000000001" customHeight="1">
      <c r="A25" s="42" t="s">
        <v>63</v>
      </c>
      <c r="B25" s="42" t="s">
        <v>82</v>
      </c>
      <c r="C25" s="42" t="s">
        <v>64</v>
      </c>
      <c r="D25" s="42"/>
      <c r="E25" s="42"/>
      <c r="F25" s="42"/>
      <c r="G25" s="42"/>
      <c r="H25" s="42"/>
      <c r="I25" s="42"/>
      <c r="J25" s="42" t="s">
        <v>168</v>
      </c>
      <c r="K25" s="42" t="s">
        <v>168</v>
      </c>
      <c r="L25" s="42" t="s">
        <v>169</v>
      </c>
      <c r="M25" s="42"/>
      <c r="N25" s="42"/>
      <c r="O25" s="42"/>
    </row>
    <row r="26" spans="1:15" ht="20.100000000000001" customHeight="1">
      <c r="A26" s="42" t="s">
        <v>83</v>
      </c>
      <c r="B26" s="42" t="s">
        <v>84</v>
      </c>
      <c r="C26" s="42" t="s">
        <v>58</v>
      </c>
      <c r="D26" s="42"/>
      <c r="E26" s="42"/>
      <c r="F26" s="42"/>
      <c r="G26" s="42"/>
      <c r="H26" s="42"/>
      <c r="I26" s="42"/>
      <c r="J26" s="42" t="s">
        <v>57</v>
      </c>
      <c r="K26" s="42" t="s">
        <v>57</v>
      </c>
      <c r="L26" s="42"/>
      <c r="M26" s="42"/>
      <c r="N26" s="42"/>
      <c r="O26" s="42"/>
    </row>
    <row r="27" spans="1:15" ht="20.100000000000001" customHeight="1">
      <c r="A27" s="42" t="s">
        <v>85</v>
      </c>
      <c r="B27" s="42" t="s">
        <v>86</v>
      </c>
      <c r="C27" s="42" t="s">
        <v>45</v>
      </c>
      <c r="D27" s="42"/>
      <c r="E27" s="42"/>
      <c r="F27" s="42"/>
      <c r="G27" s="42"/>
      <c r="H27" s="42"/>
      <c r="I27" s="42"/>
      <c r="J27" s="42" t="s">
        <v>83</v>
      </c>
      <c r="K27" s="42" t="s">
        <v>83</v>
      </c>
      <c r="L27" s="42" t="s">
        <v>153</v>
      </c>
      <c r="M27" s="42"/>
      <c r="N27" s="42"/>
      <c r="O27" s="42"/>
    </row>
    <row r="28" spans="1:15" ht="20.100000000000001" customHeight="1">
      <c r="A28" s="42" t="s">
        <v>52</v>
      </c>
      <c r="B28" s="42" t="s">
        <v>52</v>
      </c>
      <c r="C28" s="42" t="s">
        <v>53</v>
      </c>
      <c r="D28" s="42"/>
      <c r="E28" s="42"/>
      <c r="F28" s="42"/>
      <c r="G28" s="42"/>
      <c r="H28" s="42"/>
      <c r="I28" s="42"/>
      <c r="J28" s="42" t="s">
        <v>61</v>
      </c>
      <c r="K28" s="42" t="s">
        <v>61</v>
      </c>
      <c r="L28" s="42" t="s">
        <v>174</v>
      </c>
      <c r="M28" s="42"/>
      <c r="N28" s="42"/>
      <c r="O28" s="42"/>
    </row>
    <row r="29" spans="1:15" ht="20.100000000000001" customHeight="1">
      <c r="A29" s="42" t="s">
        <v>25</v>
      </c>
      <c r="B29" s="42" t="s">
        <v>25</v>
      </c>
      <c r="C29" s="42" t="s">
        <v>26</v>
      </c>
      <c r="D29" s="42"/>
      <c r="E29" s="42"/>
      <c r="F29" s="42"/>
      <c r="G29" s="42"/>
      <c r="H29" s="42"/>
      <c r="I29" s="42"/>
      <c r="J29" s="42" t="s">
        <v>130</v>
      </c>
      <c r="K29" s="42" t="s">
        <v>130</v>
      </c>
      <c r="L29" s="42" t="s">
        <v>131</v>
      </c>
      <c r="M29" s="42"/>
      <c r="N29" s="42"/>
      <c r="O29" s="42"/>
    </row>
    <row r="30" spans="1:15" ht="20.100000000000001" customHeight="1">
      <c r="A30" s="42" t="s">
        <v>48</v>
      </c>
      <c r="B30" s="42" t="s">
        <v>48</v>
      </c>
      <c r="C30" s="42" t="s">
        <v>49</v>
      </c>
      <c r="D30" s="42"/>
      <c r="E30" s="42"/>
      <c r="F30" s="42"/>
      <c r="G30" s="42"/>
      <c r="H30" s="42"/>
      <c r="I30" s="42"/>
      <c r="J30" s="42" t="s">
        <v>172</v>
      </c>
      <c r="K30" s="42" t="s">
        <v>172</v>
      </c>
      <c r="L30" s="42" t="s">
        <v>173</v>
      </c>
      <c r="M30" s="42"/>
      <c r="N30" s="42"/>
      <c r="O30" s="42"/>
    </row>
    <row r="31" spans="1:15" ht="20.100000000000001" customHeight="1">
      <c r="A31" s="42" t="s">
        <v>17</v>
      </c>
      <c r="B31" s="42" t="s">
        <v>17</v>
      </c>
      <c r="C31" s="42" t="s">
        <v>18</v>
      </c>
      <c r="D31" s="42"/>
      <c r="E31" s="42"/>
      <c r="F31" s="42"/>
      <c r="G31" s="42"/>
      <c r="H31" s="42"/>
      <c r="I31" s="42"/>
      <c r="J31" s="42" t="s">
        <v>185</v>
      </c>
      <c r="K31" s="42" t="s">
        <v>163</v>
      </c>
      <c r="L31" s="42" t="s">
        <v>164</v>
      </c>
      <c r="M31" s="42"/>
      <c r="N31" s="42"/>
      <c r="O31" s="42"/>
    </row>
    <row r="32" spans="1:15" ht="20.100000000000001" customHeight="1">
      <c r="A32" s="42" t="s">
        <v>46</v>
      </c>
      <c r="B32" s="42" t="s">
        <v>46</v>
      </c>
      <c r="C32" s="42" t="s">
        <v>47</v>
      </c>
      <c r="D32" s="42"/>
      <c r="E32" s="42"/>
      <c r="F32" s="42"/>
      <c r="G32" s="42"/>
      <c r="H32" s="42"/>
      <c r="I32" s="42"/>
      <c r="J32" s="42" t="s">
        <v>181</v>
      </c>
      <c r="K32" s="42" t="s">
        <v>71</v>
      </c>
      <c r="L32" s="42" t="s">
        <v>143</v>
      </c>
      <c r="M32" s="42"/>
      <c r="N32" s="42"/>
      <c r="O32" s="42"/>
    </row>
    <row r="33" spans="1:15" ht="20.100000000000001" customHeight="1">
      <c r="A33" s="42" t="s">
        <v>39</v>
      </c>
      <c r="B33" s="42" t="s">
        <v>39</v>
      </c>
      <c r="C33" s="42" t="s">
        <v>40</v>
      </c>
      <c r="D33" s="42"/>
      <c r="E33" s="42"/>
      <c r="F33" s="42"/>
      <c r="G33" s="42"/>
      <c r="H33" s="42"/>
      <c r="I33" s="42"/>
      <c r="J33" s="42" t="s">
        <v>186</v>
      </c>
      <c r="K33" s="42" t="s">
        <v>165</v>
      </c>
      <c r="L33" s="42" t="s">
        <v>166</v>
      </c>
      <c r="M33" s="42"/>
      <c r="N33" s="42"/>
      <c r="O33" s="42"/>
    </row>
    <row r="34" spans="1:15" ht="20.100000000000001" customHeight="1">
      <c r="A34" s="42" t="s">
        <v>50</v>
      </c>
      <c r="B34" s="42" t="s">
        <v>50</v>
      </c>
      <c r="C34" s="42" t="s">
        <v>51</v>
      </c>
      <c r="D34" s="42"/>
      <c r="E34" s="42"/>
      <c r="F34" s="42"/>
      <c r="G34" s="42"/>
      <c r="H34" s="42"/>
      <c r="I34" s="42"/>
      <c r="J34" s="42" t="s">
        <v>170</v>
      </c>
      <c r="K34" s="42" t="s">
        <v>170</v>
      </c>
      <c r="L34" s="42" t="s">
        <v>171</v>
      </c>
      <c r="M34" s="42"/>
      <c r="N34" s="42"/>
      <c r="O34" s="42"/>
    </row>
    <row r="35" spans="1:15" ht="20.100000000000001" customHeight="1">
      <c r="A35" s="42" t="s">
        <v>37</v>
      </c>
      <c r="B35" s="42" t="s">
        <v>37</v>
      </c>
      <c r="C35" s="42" t="s">
        <v>38</v>
      </c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</row>
    <row r="36" spans="1:15" ht="20.100000000000001" customHeight="1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</row>
    <row r="37" spans="1:15" ht="20.100000000000001" customHeight="1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</row>
    <row r="38" spans="1:15" ht="20.100000000000001" customHeight="1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</row>
    <row r="39" spans="1:15" ht="20.100000000000001" customHeight="1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</row>
    <row r="40" spans="1:15" ht="20.100000000000001" customHeight="1">
      <c r="A40" s="67"/>
      <c r="B40" s="67"/>
      <c r="C40" s="67"/>
      <c r="D40" s="42"/>
      <c r="E40" s="42"/>
      <c r="F40" s="42"/>
      <c r="G40" s="67"/>
      <c r="H40" s="67"/>
      <c r="I40" s="67"/>
      <c r="J40" s="68"/>
      <c r="K40" s="67"/>
      <c r="L40" s="67"/>
      <c r="M40" s="68"/>
      <c r="N40" s="68"/>
      <c r="O40" s="67"/>
    </row>
    <row r="41" spans="1:15" ht="20.100000000000001" customHeight="1">
      <c r="D41" s="42"/>
      <c r="E41" s="42"/>
      <c r="F41" s="42"/>
      <c r="J41" s="34"/>
      <c r="M41" s="34"/>
    </row>
    <row r="42" spans="1:15" ht="20.100000000000001" customHeight="1">
      <c r="D42" s="42"/>
      <c r="E42" s="42"/>
      <c r="F42" s="42"/>
      <c r="J42" s="34"/>
      <c r="M42" s="34"/>
    </row>
    <row r="43" spans="1:15" ht="20.100000000000001" customHeight="1">
      <c r="D43" s="67"/>
      <c r="E43" s="67"/>
      <c r="F43" s="67"/>
      <c r="J43" s="34"/>
      <c r="M43" s="34"/>
    </row>
    <row r="44" spans="1:15" ht="20.100000000000001" customHeight="1">
      <c r="J44" s="34"/>
      <c r="M44" s="34"/>
    </row>
    <row r="45" spans="1:15" ht="20.100000000000001" customHeight="1">
      <c r="J45" s="34"/>
      <c r="M45" s="34"/>
    </row>
    <row r="46" spans="1:15" ht="20.100000000000001" customHeight="1">
      <c r="J46" s="34"/>
      <c r="M46" s="34"/>
    </row>
    <row r="47" spans="1:15" ht="20.100000000000001" customHeight="1">
      <c r="J47" s="34"/>
      <c r="M47" s="34"/>
    </row>
    <row r="48" spans="1:15" ht="20.100000000000001" customHeight="1">
      <c r="J48" s="34"/>
      <c r="M48" s="34"/>
    </row>
    <row r="49" spans="10:13" ht="20.100000000000001" customHeight="1">
      <c r="J49" s="34"/>
      <c r="M49" s="34"/>
    </row>
    <row r="50" spans="10:13" ht="20.100000000000001" customHeight="1">
      <c r="J50" s="34"/>
      <c r="M50" s="34"/>
    </row>
    <row r="51" spans="10:13" ht="20.100000000000001" customHeight="1">
      <c r="J51" s="34"/>
      <c r="M51" s="34"/>
    </row>
    <row r="52" spans="10:13" ht="20.100000000000001" customHeight="1">
      <c r="J52" s="34"/>
      <c r="M52" s="34"/>
    </row>
    <row r="53" spans="10:13" ht="20.100000000000001" customHeight="1">
      <c r="J53" s="34"/>
      <c r="M53" s="34"/>
    </row>
    <row r="54" spans="10:13" ht="20.100000000000001" customHeight="1">
      <c r="J54" s="34"/>
      <c r="M54" s="34"/>
    </row>
    <row r="55" spans="10:13" ht="20.100000000000001" customHeight="1">
      <c r="J55" s="34"/>
      <c r="M55" s="34"/>
    </row>
    <row r="56" spans="10:13" ht="20.100000000000001" customHeight="1">
      <c r="J56" s="34"/>
      <c r="M56" s="34"/>
    </row>
    <row r="57" spans="10:13" ht="20.100000000000001" customHeight="1">
      <c r="J57" s="34"/>
      <c r="M57" s="34"/>
    </row>
    <row r="58" spans="10:13" ht="20.100000000000001" customHeight="1">
      <c r="J58" s="34"/>
      <c r="M58" s="34"/>
    </row>
    <row r="59" spans="10:13" ht="20.100000000000001" customHeight="1">
      <c r="J59" s="34"/>
      <c r="M59" s="34"/>
    </row>
    <row r="60" spans="10:13" ht="20.100000000000001" customHeight="1">
      <c r="J60" s="34"/>
      <c r="M60" s="34"/>
    </row>
    <row r="61" spans="10:13" ht="20.100000000000001" customHeight="1">
      <c r="J61" s="34"/>
      <c r="M61" s="34"/>
    </row>
    <row r="62" spans="10:13" ht="20.100000000000001" customHeight="1">
      <c r="J62" s="34"/>
      <c r="M62" s="34"/>
    </row>
    <row r="63" spans="10:13" ht="20.100000000000001" customHeight="1">
      <c r="J63" s="34"/>
      <c r="M63" s="34"/>
    </row>
    <row r="64" spans="10:13" ht="20.100000000000001" customHeight="1">
      <c r="J64" s="34"/>
      <c r="M64" s="34"/>
    </row>
    <row r="65" spans="10:13" ht="20.100000000000001" customHeight="1">
      <c r="J65" s="34"/>
      <c r="M65" s="34"/>
    </row>
    <row r="66" spans="10:13" ht="20.100000000000001" customHeight="1">
      <c r="J66" s="34"/>
      <c r="M66" s="34"/>
    </row>
    <row r="67" spans="10:13" ht="20.100000000000001" customHeight="1">
      <c r="J67" s="34"/>
      <c r="M67" s="34"/>
    </row>
    <row r="68" spans="10:13" ht="20.100000000000001" customHeight="1">
      <c r="J68" s="34"/>
      <c r="M68" s="34"/>
    </row>
    <row r="69" spans="10:13" ht="20.100000000000001" customHeight="1">
      <c r="J69" s="34"/>
      <c r="M69" s="34"/>
    </row>
    <row r="70" spans="10:13" ht="20.100000000000001" customHeight="1">
      <c r="J70" s="34"/>
      <c r="M70" s="34"/>
    </row>
    <row r="71" spans="10:13" ht="20.100000000000001" customHeight="1">
      <c r="J71" s="34"/>
      <c r="M71" s="34"/>
    </row>
    <row r="72" spans="10:13" ht="20.100000000000001" customHeight="1">
      <c r="J72" s="34"/>
      <c r="M72" s="34"/>
    </row>
    <row r="73" spans="10:13" ht="20.100000000000001" customHeight="1">
      <c r="J73" s="34"/>
      <c r="M73" s="34"/>
    </row>
  </sheetData>
  <sortState ref="J3:M35">
    <sortCondition ref="J3:J35"/>
  </sortState>
  <customSheetViews>
    <customSheetView guid="{11FF3D1A-B611-4935-A0EC-72FFAD7F9EAF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1"/>
      <headerFooter alignWithMargins="0"/>
    </customSheetView>
    <customSheetView guid="{1D8BE6F4-405A-4FC6-B1E3-D9618F9FD7A8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2"/>
      <headerFooter alignWithMargins="0"/>
    </customSheetView>
    <customSheetView guid="{898DF6CC-64C7-4F2D-A13E-0A476B60DF75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3"/>
      <headerFooter alignWithMargins="0"/>
    </customSheetView>
    <customSheetView guid="{809E84AF-EE5E-4456-99E6-0390B35F6AD9}" scale="80" showGridLines="0">
      <pane ySplit="2" topLeftCell="A3" activePane="bottomLeft" state="frozen"/>
      <selection pane="bottomLeft" sqref="A1:D1"/>
      <pageMargins left="0.75" right="0.75" top="1" bottom="1" header="0.51200000000000001" footer="0.51200000000000001"/>
      <pageSetup paperSize="9" orientation="portrait" verticalDpi="0" r:id="rId4"/>
      <headerFooter alignWithMargins="0"/>
    </customSheetView>
  </customSheetViews>
  <phoneticPr fontId="4"/>
  <pageMargins left="0.75" right="0.75" top="1" bottom="1" header="0.51200000000000001" footer="0.51200000000000001"/>
  <pageSetup paperSize="9" orientation="portrait" verticalDpi="0" r:id="rId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D9"/>
  <sheetViews>
    <sheetView showGridLines="0" zoomScaleNormal="100" workbookViewId="0"/>
  </sheetViews>
  <sheetFormatPr defaultRowHeight="15"/>
  <cols>
    <col min="1" max="4" width="18.5703125" style="179" customWidth="1"/>
    <col min="5" max="16384" width="9.140625" style="179"/>
  </cols>
  <sheetData>
    <row r="1" spans="1:4" ht="16.5">
      <c r="A1" s="35" t="s">
        <v>220</v>
      </c>
      <c r="B1" s="35" t="s">
        <v>113</v>
      </c>
      <c r="C1" s="35" t="s">
        <v>111</v>
      </c>
      <c r="D1" s="35" t="s">
        <v>255</v>
      </c>
    </row>
    <row r="2" spans="1:4">
      <c r="A2" s="73"/>
      <c r="B2" s="73" t="s">
        <v>434</v>
      </c>
      <c r="C2" s="73"/>
      <c r="D2" s="73"/>
    </row>
    <row r="3" spans="1:4">
      <c r="A3" s="73"/>
      <c r="B3" s="73" t="s">
        <v>433</v>
      </c>
      <c r="C3" s="73"/>
      <c r="D3" s="73"/>
    </row>
    <row r="4" spans="1:4">
      <c r="A4" s="73"/>
      <c r="B4" s="73" t="s">
        <v>435</v>
      </c>
      <c r="C4" s="73"/>
      <c r="D4" s="73"/>
    </row>
    <row r="5" spans="1:4">
      <c r="A5" s="73"/>
      <c r="B5" s="73"/>
      <c r="C5" s="73"/>
      <c r="D5" s="73"/>
    </row>
    <row r="6" spans="1:4">
      <c r="A6" s="73"/>
      <c r="B6" s="73"/>
      <c r="C6" s="73"/>
      <c r="D6" s="73"/>
    </row>
    <row r="7" spans="1:4">
      <c r="A7" s="73"/>
      <c r="B7" s="73"/>
      <c r="C7" s="73"/>
      <c r="D7" s="73"/>
    </row>
    <row r="8" spans="1:4">
      <c r="A8" s="73"/>
      <c r="B8" s="73"/>
      <c r="C8" s="73"/>
      <c r="D8" s="73"/>
    </row>
    <row r="9" spans="1:4">
      <c r="A9" s="74"/>
      <c r="B9" s="74"/>
      <c r="C9" s="74"/>
      <c r="D9" s="74"/>
    </row>
  </sheetData>
  <phoneticPr fontId="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I7:Q7"/>
  <sheetViews>
    <sheetView zoomScale="205" zoomScaleNormal="205" workbookViewId="0">
      <selection activeCell="X13" sqref="X13"/>
    </sheetView>
  </sheetViews>
  <sheetFormatPr defaultColWidth="3.5703125" defaultRowHeight="15"/>
  <sheetData>
    <row r="7" spans="9:17">
      <c r="I7" s="466">
        <v>1</v>
      </c>
      <c r="J7" s="466">
        <v>2</v>
      </c>
      <c r="K7" s="466">
        <v>3</v>
      </c>
      <c r="L7" s="466">
        <v>4</v>
      </c>
      <c r="M7" s="466">
        <v>5</v>
      </c>
      <c r="N7" s="466">
        <v>6</v>
      </c>
      <c r="O7" s="466">
        <v>7</v>
      </c>
      <c r="P7" s="466">
        <v>8</v>
      </c>
      <c r="Q7" s="466">
        <v>9</v>
      </c>
    </row>
  </sheetData>
  <phoneticPr fontId="8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00">
    <tabColor theme="5"/>
  </sheetPr>
  <dimension ref="A1:BJ49"/>
  <sheetViews>
    <sheetView showGridLines="0" zoomScaleNormal="100" workbookViewId="0">
      <selection activeCell="F7" sqref="F7:BB7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tr">
        <f>CreateBy</f>
        <v>○○　✕✕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f>CreateAt</f>
        <v>44287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tr">
        <f ca="1">RIGHT(CELL("filename",A2),LEN(CELL("filename",A2))-FIND("]",CELL("filename",A2)))</f>
        <v>&lt;CopyTable&gt;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tr">
        <f>Schema</f>
        <v>sakila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/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/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3.5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/>
      <c r="M16" s="249"/>
      <c r="N16" s="249"/>
      <c r="O16" s="249"/>
      <c r="P16" s="249"/>
      <c r="Q16" s="249"/>
      <c r="R16" s="249"/>
      <c r="S16" s="249"/>
      <c r="T16" s="249"/>
      <c r="U16" s="250"/>
      <c r="V16" s="214"/>
      <c r="W16" s="249"/>
      <c r="X16" s="249"/>
      <c r="Y16" s="249"/>
      <c r="Z16" s="249"/>
      <c r="AA16" s="250"/>
      <c r="AB16" s="251"/>
      <c r="AC16" s="252"/>
      <c r="AD16" s="252"/>
      <c r="AE16" s="253"/>
      <c r="AF16" s="254"/>
      <c r="AG16" s="255"/>
      <c r="AH16" s="254"/>
      <c r="AI16" s="255"/>
      <c r="AJ16" s="254"/>
      <c r="AK16" s="255"/>
      <c r="AL16" s="254"/>
      <c r="AM16" s="255"/>
      <c r="AN16" s="254"/>
      <c r="AO16" s="255"/>
      <c r="AP16" s="173"/>
      <c r="AQ16" s="174"/>
      <c r="AR16" s="174"/>
      <c r="AS16" s="174"/>
      <c r="AT16" s="174"/>
      <c r="AU16" s="174"/>
      <c r="AV16" s="174"/>
      <c r="AW16" s="174"/>
      <c r="AX16" s="174"/>
      <c r="AY16" s="174"/>
      <c r="AZ16" s="174"/>
      <c r="BA16" s="174"/>
      <c r="BB16" s="175"/>
      <c r="BC16"/>
      <c r="BD16"/>
      <c r="BF16" s="199" t="s">
        <v>573</v>
      </c>
      <c r="BG16" s="199"/>
      <c r="BH16" s="199">
        <f>LENB($L16)</f>
        <v>0</v>
      </c>
      <c r="BI16" s="197"/>
      <c r="BJ16" s="198"/>
    </row>
    <row r="17" spans="1:62" s="75" customFormat="1" ht="13.5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/>
      <c r="M17" s="249"/>
      <c r="N17" s="249"/>
      <c r="O17" s="249"/>
      <c r="P17" s="249"/>
      <c r="Q17" s="249"/>
      <c r="R17" s="249"/>
      <c r="S17" s="249"/>
      <c r="T17" s="249"/>
      <c r="U17" s="250"/>
      <c r="V17" s="214"/>
      <c r="W17" s="249"/>
      <c r="X17" s="249"/>
      <c r="Y17" s="249"/>
      <c r="Z17" s="249"/>
      <c r="AA17" s="250"/>
      <c r="AB17" s="251"/>
      <c r="AC17" s="252"/>
      <c r="AD17" s="252"/>
      <c r="AE17" s="253"/>
      <c r="AF17" s="254"/>
      <c r="AG17" s="255"/>
      <c r="AH17" s="254"/>
      <c r="AI17" s="255"/>
      <c r="AJ17" s="254"/>
      <c r="AK17" s="255"/>
      <c r="AL17" s="254"/>
      <c r="AM17" s="255"/>
      <c r="AN17" s="254"/>
      <c r="AO17" s="255"/>
      <c r="AP17" s="173"/>
      <c r="AQ17" s="174"/>
      <c r="AR17" s="174"/>
      <c r="AS17" s="174"/>
      <c r="AT17" s="174"/>
      <c r="AU17" s="174"/>
      <c r="AV17" s="174"/>
      <c r="AW17" s="174"/>
      <c r="AX17" s="174"/>
      <c r="AY17" s="174"/>
      <c r="AZ17" s="174"/>
      <c r="BA17" s="174"/>
      <c r="BB17" s="175"/>
      <c r="BC17"/>
      <c r="BD17"/>
      <c r="BF17" s="199" t="s">
        <v>574</v>
      </c>
      <c r="BG17" s="199"/>
      <c r="BH17" s="199">
        <f t="shared" ref="BH17:BH31" si="1">LENB($L17)</f>
        <v>0</v>
      </c>
      <c r="BI17" s="197"/>
      <c r="BJ17" s="198"/>
    </row>
    <row r="18" spans="1:62" s="75" customFormat="1" ht="13.5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/>
      <c r="M18" s="249"/>
      <c r="N18" s="249"/>
      <c r="O18" s="249"/>
      <c r="P18" s="249"/>
      <c r="Q18" s="249"/>
      <c r="R18" s="249"/>
      <c r="S18" s="249"/>
      <c r="T18" s="249"/>
      <c r="U18" s="250"/>
      <c r="V18" s="214"/>
      <c r="W18" s="249"/>
      <c r="X18" s="249"/>
      <c r="Y18" s="249"/>
      <c r="Z18" s="249"/>
      <c r="AA18" s="250"/>
      <c r="AB18" s="251"/>
      <c r="AC18" s="252"/>
      <c r="AD18" s="252"/>
      <c r="AE18" s="253"/>
      <c r="AF18" s="254"/>
      <c r="AG18" s="255"/>
      <c r="AH18" s="254"/>
      <c r="AI18" s="255"/>
      <c r="AJ18" s="254"/>
      <c r="AK18" s="255"/>
      <c r="AL18" s="254"/>
      <c r="AM18" s="255"/>
      <c r="AN18" s="254"/>
      <c r="AO18" s="255"/>
      <c r="AP18" s="173"/>
      <c r="AQ18" s="174"/>
      <c r="AR18" s="174"/>
      <c r="AS18" s="174"/>
      <c r="AT18" s="174"/>
      <c r="AU18" s="174"/>
      <c r="AV18" s="174"/>
      <c r="AW18" s="174"/>
      <c r="AX18" s="174"/>
      <c r="AY18" s="174"/>
      <c r="AZ18" s="174"/>
      <c r="BA18" s="174"/>
      <c r="BB18" s="175"/>
      <c r="BC18"/>
      <c r="BD18"/>
      <c r="BF18" s="199" t="s">
        <v>574</v>
      </c>
      <c r="BG18" s="199"/>
      <c r="BH18" s="199">
        <f t="shared" si="1"/>
        <v>0</v>
      </c>
      <c r="BI18" s="197"/>
      <c r="BJ18" s="198"/>
    </row>
    <row r="19" spans="1:62" s="75" customFormat="1" ht="13.5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/>
      <c r="M19" s="249"/>
      <c r="N19" s="249"/>
      <c r="O19" s="249"/>
      <c r="P19" s="249"/>
      <c r="Q19" s="249"/>
      <c r="R19" s="249"/>
      <c r="S19" s="249"/>
      <c r="T19" s="249"/>
      <c r="U19" s="250"/>
      <c r="V19" s="214"/>
      <c r="W19" s="249"/>
      <c r="X19" s="249"/>
      <c r="Y19" s="249"/>
      <c r="Z19" s="249"/>
      <c r="AA19" s="250"/>
      <c r="AB19" s="251"/>
      <c r="AC19" s="252"/>
      <c r="AD19" s="252"/>
      <c r="AE19" s="253"/>
      <c r="AF19" s="254"/>
      <c r="AG19" s="255"/>
      <c r="AH19" s="254"/>
      <c r="AI19" s="255"/>
      <c r="AJ19" s="254"/>
      <c r="AK19" s="255"/>
      <c r="AL19" s="254"/>
      <c r="AM19" s="255"/>
      <c r="AN19" s="254"/>
      <c r="AO19" s="255"/>
      <c r="AP19" s="173"/>
      <c r="AQ19" s="174"/>
      <c r="AR19" s="174"/>
      <c r="AS19" s="174"/>
      <c r="AT19" s="174"/>
      <c r="AU19" s="174"/>
      <c r="AV19" s="174"/>
      <c r="AW19" s="174"/>
      <c r="AX19" s="174"/>
      <c r="AY19" s="174"/>
      <c r="AZ19" s="174"/>
      <c r="BA19" s="174"/>
      <c r="BB19" s="175"/>
      <c r="BC19"/>
      <c r="BD19"/>
      <c r="BF19" s="199" t="s">
        <v>574</v>
      </c>
      <c r="BG19" s="199"/>
      <c r="BH19" s="199">
        <f t="shared" si="1"/>
        <v>0</v>
      </c>
      <c r="BI19" s="197"/>
      <c r="BJ19" s="198"/>
    </row>
    <row r="20" spans="1:62" s="75" customFormat="1" ht="13.5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/>
      <c r="M20" s="249"/>
      <c r="N20" s="249"/>
      <c r="O20" s="249"/>
      <c r="P20" s="249"/>
      <c r="Q20" s="249"/>
      <c r="R20" s="249"/>
      <c r="S20" s="249"/>
      <c r="T20" s="249"/>
      <c r="U20" s="250"/>
      <c r="V20" s="214"/>
      <c r="W20" s="249"/>
      <c r="X20" s="249"/>
      <c r="Y20" s="249"/>
      <c r="Z20" s="249"/>
      <c r="AA20" s="250"/>
      <c r="AB20" s="251"/>
      <c r="AC20" s="252"/>
      <c r="AD20" s="252"/>
      <c r="AE20" s="253"/>
      <c r="AF20" s="254"/>
      <c r="AG20" s="255"/>
      <c r="AH20" s="254"/>
      <c r="AI20" s="255"/>
      <c r="AJ20" s="254"/>
      <c r="AK20" s="255"/>
      <c r="AL20" s="254"/>
      <c r="AM20" s="255"/>
      <c r="AN20" s="254"/>
      <c r="AO20" s="255"/>
      <c r="AP20" s="173"/>
      <c r="AQ20" s="174"/>
      <c r="AR20" s="174"/>
      <c r="AS20" s="174"/>
      <c r="AT20" s="174"/>
      <c r="AU20" s="174"/>
      <c r="AV20" s="174"/>
      <c r="AW20" s="174"/>
      <c r="AX20" s="174"/>
      <c r="AY20" s="174"/>
      <c r="AZ20" s="174"/>
      <c r="BA20" s="174"/>
      <c r="BB20" s="175"/>
      <c r="BC20"/>
      <c r="BD20"/>
      <c r="BF20" s="199" t="s">
        <v>574</v>
      </c>
      <c r="BG20" s="199"/>
      <c r="BH20" s="199">
        <f t="shared" si="1"/>
        <v>0</v>
      </c>
      <c r="BI20" s="197"/>
      <c r="BJ20" s="198"/>
    </row>
    <row r="21" spans="1:62" s="75" customFormat="1" ht="13.5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/>
      <c r="M21" s="249"/>
      <c r="N21" s="249"/>
      <c r="O21" s="249"/>
      <c r="P21" s="249"/>
      <c r="Q21" s="249"/>
      <c r="R21" s="249"/>
      <c r="S21" s="249"/>
      <c r="T21" s="249"/>
      <c r="U21" s="250"/>
      <c r="V21" s="214"/>
      <c r="W21" s="249"/>
      <c r="X21" s="249"/>
      <c r="Y21" s="249"/>
      <c r="Z21" s="249"/>
      <c r="AA21" s="250"/>
      <c r="AB21" s="251"/>
      <c r="AC21" s="252"/>
      <c r="AD21" s="252"/>
      <c r="AE21" s="253"/>
      <c r="AF21" s="254"/>
      <c r="AG21" s="255"/>
      <c r="AH21" s="254"/>
      <c r="AI21" s="255"/>
      <c r="AJ21" s="254"/>
      <c r="AK21" s="255"/>
      <c r="AL21" s="254"/>
      <c r="AM21" s="255"/>
      <c r="AN21" s="254"/>
      <c r="AO21" s="255"/>
      <c r="AP21" s="173"/>
      <c r="AQ21" s="174"/>
      <c r="AR21" s="174"/>
      <c r="AS21" s="174"/>
      <c r="AT21" s="174"/>
      <c r="AU21" s="174"/>
      <c r="AV21" s="174"/>
      <c r="AW21" s="174"/>
      <c r="AX21" s="174"/>
      <c r="AY21" s="174"/>
      <c r="AZ21" s="174"/>
      <c r="BA21" s="174"/>
      <c r="BB21" s="175"/>
      <c r="BC21"/>
      <c r="BD21"/>
      <c r="BF21" s="199" t="s">
        <v>574</v>
      </c>
      <c r="BG21" s="199"/>
      <c r="BH21" s="199">
        <f t="shared" si="1"/>
        <v>0</v>
      </c>
      <c r="BI21" s="197"/>
      <c r="BJ21" s="198"/>
    </row>
    <row r="22" spans="1:62" s="75" customFormat="1" ht="13.5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/>
      <c r="M22" s="249"/>
      <c r="N22" s="249"/>
      <c r="O22" s="249"/>
      <c r="P22" s="249"/>
      <c r="Q22" s="249"/>
      <c r="R22" s="249"/>
      <c r="S22" s="249"/>
      <c r="T22" s="249"/>
      <c r="U22" s="250"/>
      <c r="V22" s="214"/>
      <c r="W22" s="249"/>
      <c r="X22" s="249"/>
      <c r="Y22" s="249"/>
      <c r="Z22" s="249"/>
      <c r="AA22" s="250"/>
      <c r="AB22" s="251"/>
      <c r="AC22" s="252"/>
      <c r="AD22" s="252"/>
      <c r="AE22" s="253"/>
      <c r="AF22" s="254"/>
      <c r="AG22" s="255"/>
      <c r="AH22" s="254"/>
      <c r="AI22" s="255"/>
      <c r="AJ22" s="254"/>
      <c r="AK22" s="255"/>
      <c r="AL22" s="254"/>
      <c r="AM22" s="255"/>
      <c r="AN22" s="254"/>
      <c r="AO22" s="255"/>
      <c r="AP22" s="173"/>
      <c r="AQ22" s="174"/>
      <c r="AR22" s="174"/>
      <c r="AS22" s="174"/>
      <c r="AT22" s="174"/>
      <c r="AU22" s="174"/>
      <c r="AV22" s="174"/>
      <c r="AW22" s="174"/>
      <c r="AX22" s="174"/>
      <c r="AY22" s="174"/>
      <c r="AZ22" s="174"/>
      <c r="BA22" s="174"/>
      <c r="BB22" s="175"/>
      <c r="BC22"/>
      <c r="BD22"/>
      <c r="BF22" s="199" t="s">
        <v>574</v>
      </c>
      <c r="BG22" s="199"/>
      <c r="BH22" s="199">
        <f t="shared" si="1"/>
        <v>0</v>
      </c>
      <c r="BI22" s="197"/>
      <c r="BJ22" s="198"/>
    </row>
    <row r="23" spans="1:62" s="75" customFormat="1" ht="13.5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/>
      <c r="M23" s="249"/>
      <c r="N23" s="249"/>
      <c r="O23" s="249"/>
      <c r="P23" s="249"/>
      <c r="Q23" s="249"/>
      <c r="R23" s="249"/>
      <c r="S23" s="249"/>
      <c r="T23" s="249"/>
      <c r="U23" s="250"/>
      <c r="V23" s="214"/>
      <c r="W23" s="249"/>
      <c r="X23" s="249"/>
      <c r="Y23" s="249"/>
      <c r="Z23" s="249"/>
      <c r="AA23" s="250"/>
      <c r="AB23" s="251"/>
      <c r="AC23" s="252"/>
      <c r="AD23" s="252"/>
      <c r="AE23" s="253"/>
      <c r="AF23" s="254"/>
      <c r="AG23" s="255"/>
      <c r="AH23" s="254"/>
      <c r="AI23" s="255"/>
      <c r="AJ23" s="254"/>
      <c r="AK23" s="255"/>
      <c r="AL23" s="254"/>
      <c r="AM23" s="255"/>
      <c r="AN23" s="254"/>
      <c r="AO23" s="255"/>
      <c r="AP23" s="173"/>
      <c r="AQ23" s="174"/>
      <c r="AR23" s="174"/>
      <c r="AS23" s="174"/>
      <c r="AT23" s="174"/>
      <c r="AU23" s="174"/>
      <c r="AV23" s="174"/>
      <c r="AW23" s="174"/>
      <c r="AX23" s="174"/>
      <c r="AY23" s="174"/>
      <c r="AZ23" s="174"/>
      <c r="BA23" s="174"/>
      <c r="BB23" s="175"/>
      <c r="BC23"/>
      <c r="BD23"/>
      <c r="BF23" s="199" t="s">
        <v>574</v>
      </c>
      <c r="BG23" s="199"/>
      <c r="BH23" s="199">
        <f t="shared" si="1"/>
        <v>0</v>
      </c>
      <c r="BI23" s="197"/>
      <c r="BJ23" s="198"/>
    </row>
    <row r="24" spans="1:62" s="75" customFormat="1" ht="13.5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/>
      <c r="M24" s="249"/>
      <c r="N24" s="249"/>
      <c r="O24" s="249"/>
      <c r="P24" s="249"/>
      <c r="Q24" s="249"/>
      <c r="R24" s="249"/>
      <c r="S24" s="249"/>
      <c r="T24" s="249"/>
      <c r="U24" s="250"/>
      <c r="V24" s="214"/>
      <c r="W24" s="249"/>
      <c r="X24" s="249"/>
      <c r="Y24" s="249"/>
      <c r="Z24" s="249"/>
      <c r="AA24" s="250"/>
      <c r="AB24" s="251"/>
      <c r="AC24" s="252"/>
      <c r="AD24" s="252"/>
      <c r="AE24" s="253"/>
      <c r="AF24" s="254"/>
      <c r="AG24" s="255"/>
      <c r="AH24" s="254"/>
      <c r="AI24" s="255"/>
      <c r="AJ24" s="254"/>
      <c r="AK24" s="255"/>
      <c r="AL24" s="254"/>
      <c r="AM24" s="255"/>
      <c r="AN24" s="254"/>
      <c r="AO24" s="255"/>
      <c r="AP24" s="173"/>
      <c r="AQ24" s="174"/>
      <c r="AR24" s="174"/>
      <c r="AS24" s="174"/>
      <c r="AT24" s="174"/>
      <c r="AU24" s="174"/>
      <c r="AV24" s="174"/>
      <c r="AW24" s="174"/>
      <c r="AX24" s="174"/>
      <c r="AY24" s="174"/>
      <c r="AZ24" s="174"/>
      <c r="BA24" s="174"/>
      <c r="BB24" s="175"/>
      <c r="BC24"/>
      <c r="BD24"/>
      <c r="BF24" s="199" t="s">
        <v>574</v>
      </c>
      <c r="BG24" s="199"/>
      <c r="BH24" s="199">
        <f t="shared" si="1"/>
        <v>0</v>
      </c>
      <c r="BI24" s="197"/>
      <c r="BJ24" s="198"/>
    </row>
    <row r="25" spans="1:62" s="75" customFormat="1" ht="13.5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254"/>
      <c r="AG25" s="255"/>
      <c r="AH25" s="254"/>
      <c r="AI25" s="255"/>
      <c r="AJ25" s="254"/>
      <c r="AK25" s="255"/>
      <c r="AL25" s="254"/>
      <c r="AM25" s="255"/>
      <c r="AN25" s="254"/>
      <c r="AO25" s="255"/>
      <c r="AP25" s="173"/>
      <c r="AQ25" s="174"/>
      <c r="AR25" s="174"/>
      <c r="AS25" s="174"/>
      <c r="AT25" s="174"/>
      <c r="AU25" s="174"/>
      <c r="AV25" s="174"/>
      <c r="AW25" s="174"/>
      <c r="AX25" s="174"/>
      <c r="AY25" s="174"/>
      <c r="AZ25" s="174"/>
      <c r="BA25" s="174"/>
      <c r="BB25" s="175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3.5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254"/>
      <c r="AG26" s="255"/>
      <c r="AH26" s="254"/>
      <c r="AI26" s="255"/>
      <c r="AJ26" s="254"/>
      <c r="AK26" s="255"/>
      <c r="AL26" s="254"/>
      <c r="AM26" s="255"/>
      <c r="AN26" s="254"/>
      <c r="AO26" s="255"/>
      <c r="AP26" s="173"/>
      <c r="AQ26" s="174"/>
      <c r="AR26" s="174"/>
      <c r="AS26" s="174"/>
      <c r="AT26" s="174"/>
      <c r="AU26" s="174"/>
      <c r="AV26" s="174"/>
      <c r="AW26" s="174"/>
      <c r="AX26" s="174"/>
      <c r="AY26" s="174"/>
      <c r="AZ26" s="174"/>
      <c r="BA26" s="174"/>
      <c r="BB26" s="175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3.5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254"/>
      <c r="AG27" s="255"/>
      <c r="AH27" s="254"/>
      <c r="AI27" s="255"/>
      <c r="AJ27" s="254"/>
      <c r="AK27" s="255"/>
      <c r="AL27" s="254"/>
      <c r="AM27" s="255"/>
      <c r="AN27" s="254"/>
      <c r="AO27" s="255"/>
      <c r="AP27" s="173"/>
      <c r="AQ27" s="174"/>
      <c r="AR27" s="174"/>
      <c r="AS27" s="174"/>
      <c r="AT27" s="174"/>
      <c r="AU27" s="174"/>
      <c r="AV27" s="174"/>
      <c r="AW27" s="174"/>
      <c r="AX27" s="174"/>
      <c r="AY27" s="174"/>
      <c r="AZ27" s="174"/>
      <c r="BA27" s="174"/>
      <c r="BB27" s="175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3.5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254"/>
      <c r="AG28" s="255"/>
      <c r="AH28" s="254"/>
      <c r="AI28" s="255"/>
      <c r="AJ28" s="254"/>
      <c r="AK28" s="255"/>
      <c r="AL28" s="254"/>
      <c r="AM28" s="255"/>
      <c r="AN28" s="254"/>
      <c r="AO28" s="255"/>
      <c r="AP28" s="173"/>
      <c r="AQ28" s="174"/>
      <c r="AR28" s="174"/>
      <c r="AS28" s="174"/>
      <c r="AT28" s="174"/>
      <c r="AU28" s="174"/>
      <c r="AV28" s="174"/>
      <c r="AW28" s="174"/>
      <c r="AX28" s="174"/>
      <c r="AY28" s="174"/>
      <c r="AZ28" s="174"/>
      <c r="BA28" s="174"/>
      <c r="BB28" s="175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3.5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254"/>
      <c r="AG29" s="255"/>
      <c r="AH29" s="254"/>
      <c r="AI29" s="255"/>
      <c r="AJ29" s="254"/>
      <c r="AK29" s="255"/>
      <c r="AL29" s="254"/>
      <c r="AM29" s="255"/>
      <c r="AN29" s="254"/>
      <c r="AO29" s="255"/>
      <c r="AP29" s="173"/>
      <c r="AQ29" s="174"/>
      <c r="AR29" s="174"/>
      <c r="AS29" s="174"/>
      <c r="AT29" s="174"/>
      <c r="AU29" s="174"/>
      <c r="AV29" s="174"/>
      <c r="AW29" s="174"/>
      <c r="AX29" s="174"/>
      <c r="AY29" s="174"/>
      <c r="AZ29" s="174"/>
      <c r="BA29" s="174"/>
      <c r="BB29" s="175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3.5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254"/>
      <c r="AG30" s="255"/>
      <c r="AH30" s="254"/>
      <c r="AI30" s="255"/>
      <c r="AJ30" s="254"/>
      <c r="AK30" s="255"/>
      <c r="AL30" s="254"/>
      <c r="AM30" s="255"/>
      <c r="AN30" s="254"/>
      <c r="AO30" s="255"/>
      <c r="AP30" s="173"/>
      <c r="AQ30" s="174"/>
      <c r="AR30" s="174"/>
      <c r="AS30" s="174"/>
      <c r="AT30" s="174"/>
      <c r="AU30" s="174"/>
      <c r="AV30" s="174"/>
      <c r="AW30" s="174"/>
      <c r="AX30" s="174"/>
      <c r="AY30" s="174"/>
      <c r="AZ30" s="174"/>
      <c r="BA30" s="174"/>
      <c r="BB30" s="175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3.5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254"/>
      <c r="AG31" s="255"/>
      <c r="AH31" s="254"/>
      <c r="AI31" s="255"/>
      <c r="AJ31" s="305"/>
      <c r="AK31" s="306"/>
      <c r="AL31" s="305"/>
      <c r="AM31" s="306"/>
      <c r="AN31" s="305"/>
      <c r="AO31" s="306"/>
      <c r="AP31" s="173"/>
      <c r="AQ31" s="174"/>
      <c r="AR31" s="174"/>
      <c r="AS31" s="174"/>
      <c r="AT31" s="174"/>
      <c r="AU31" s="174"/>
      <c r="AV31" s="174"/>
      <c r="AW31" s="174"/>
      <c r="AX31" s="174"/>
      <c r="AY31" s="174"/>
      <c r="AZ31" s="174"/>
      <c r="BA31" s="174"/>
      <c r="BB31" s="175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8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3.5" customHeight="1">
      <c r="A35" s="157" t="str">
        <f t="shared" ref="A35:A39" si="2">IF(B35&lt;&gt;"",ROW()-34,"")</f>
        <v/>
      </c>
      <c r="B35" s="214"/>
      <c r="C35" s="249"/>
      <c r="D35" s="249"/>
      <c r="E35" s="249"/>
      <c r="F35" s="249"/>
      <c r="G35" s="249"/>
      <c r="H35" s="249"/>
      <c r="I35" s="249"/>
      <c r="J35" s="249"/>
      <c r="K35" s="250"/>
      <c r="L35" s="214"/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/>
      <c r="BJ35" s="194"/>
    </row>
    <row r="36" spans="1:62" s="75" customFormat="1" ht="13.5" customHeight="1">
      <c r="A36" s="157" t="str">
        <f t="shared" si="2"/>
        <v/>
      </c>
      <c r="B36" s="214"/>
      <c r="C36" s="249"/>
      <c r="D36" s="249"/>
      <c r="E36" s="249"/>
      <c r="F36" s="249"/>
      <c r="G36" s="249"/>
      <c r="H36" s="249"/>
      <c r="I36" s="249"/>
      <c r="J36" s="249"/>
      <c r="K36" s="250"/>
      <c r="L36" s="214"/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/>
      <c r="BJ36" s="194"/>
    </row>
    <row r="37" spans="1:62" s="75" customFormat="1" ht="13.5" customHeight="1">
      <c r="A37" s="157" t="str">
        <f t="shared" si="2"/>
        <v/>
      </c>
      <c r="B37" s="214"/>
      <c r="C37" s="249"/>
      <c r="D37" s="249"/>
      <c r="E37" s="249"/>
      <c r="F37" s="249"/>
      <c r="G37" s="249"/>
      <c r="H37" s="249"/>
      <c r="I37" s="249"/>
      <c r="J37" s="249"/>
      <c r="K37" s="250"/>
      <c r="L37" s="214"/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/>
      <c r="BJ37" s="194"/>
    </row>
    <row r="38" spans="1:62" ht="13.5" customHeight="1">
      <c r="A38" s="157" t="str">
        <f t="shared" si="2"/>
        <v/>
      </c>
      <c r="B38" s="214"/>
      <c r="C38" s="249"/>
      <c r="D38" s="249"/>
      <c r="E38" s="249"/>
      <c r="F38" s="249"/>
      <c r="G38" s="249"/>
      <c r="H38" s="249"/>
      <c r="I38" s="249"/>
      <c r="J38" s="249"/>
      <c r="K38" s="250"/>
      <c r="L38" s="214"/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572</v>
      </c>
      <c r="BG38" s="197"/>
      <c r="BH38" s="197"/>
      <c r="BI38" s="194"/>
      <c r="BJ38" s="194"/>
    </row>
    <row r="39" spans="1:62" ht="13.5" customHeight="1" thickBot="1">
      <c r="A39" s="158" t="str">
        <f t="shared" si="2"/>
        <v/>
      </c>
      <c r="B39" s="217"/>
      <c r="C39" s="307"/>
      <c r="D39" s="307"/>
      <c r="E39" s="307"/>
      <c r="F39" s="307"/>
      <c r="G39" s="307"/>
      <c r="H39" s="307"/>
      <c r="I39" s="307"/>
      <c r="J39" s="307"/>
      <c r="K39" s="308"/>
      <c r="L39" s="217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9"/>
      <c r="BF39" s="199" t="s">
        <v>577</v>
      </c>
      <c r="BG39" s="197"/>
      <c r="BH39" s="197"/>
      <c r="BI39" s="194"/>
      <c r="BJ39" s="194"/>
    </row>
    <row r="40" spans="1:62" ht="13.5" customHeight="1">
      <c r="BF40" s="3"/>
      <c r="BG40" s="3"/>
      <c r="BH40" s="3"/>
      <c r="BI40" s="3"/>
    </row>
    <row r="41" spans="1:62" ht="13.5" customHeight="1">
      <c r="BF41" s="3"/>
      <c r="BG41" s="3"/>
      <c r="BH41" s="3"/>
      <c r="BI41" s="3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58:61" ht="13.5" customHeight="1">
      <c r="BF49" s="3"/>
      <c r="BG49" s="3"/>
      <c r="BH49" s="3"/>
      <c r="BI49" s="3"/>
    </row>
  </sheetData>
  <mergeCells count="197">
    <mergeCell ref="G10:M10"/>
    <mergeCell ref="B38:K38"/>
    <mergeCell ref="B39:K39"/>
    <mergeCell ref="B34:K34"/>
    <mergeCell ref="B35:K35"/>
    <mergeCell ref="B36:K36"/>
    <mergeCell ref="B37:K37"/>
    <mergeCell ref="AH31:AI31"/>
    <mergeCell ref="AJ31:AK31"/>
    <mergeCell ref="AB29:AE29"/>
    <mergeCell ref="AF29:AG29"/>
    <mergeCell ref="AH27:AI27"/>
    <mergeCell ref="AJ27:AK27"/>
    <mergeCell ref="AH25:AI25"/>
    <mergeCell ref="AJ25:AK25"/>
    <mergeCell ref="AH23:AI23"/>
    <mergeCell ref="AJ23:AK23"/>
    <mergeCell ref="AH21:AI21"/>
    <mergeCell ref="AJ21:AK21"/>
    <mergeCell ref="AH19:AI19"/>
    <mergeCell ref="AJ19:AK19"/>
    <mergeCell ref="AH17:AI17"/>
    <mergeCell ref="AJ17:AK17"/>
    <mergeCell ref="B16:K16"/>
    <mergeCell ref="AL31:AM31"/>
    <mergeCell ref="AN31:AO31"/>
    <mergeCell ref="A32:BB33"/>
    <mergeCell ref="B31:K31"/>
    <mergeCell ref="L31:U31"/>
    <mergeCell ref="V31:AA31"/>
    <mergeCell ref="AB31:AE31"/>
    <mergeCell ref="AF31:AG31"/>
    <mergeCell ref="AH29:AI29"/>
    <mergeCell ref="AJ29:AK29"/>
    <mergeCell ref="AL29:AM29"/>
    <mergeCell ref="AN29:AO29"/>
    <mergeCell ref="B30:K30"/>
    <mergeCell ref="L30:U30"/>
    <mergeCell ref="V30:AA30"/>
    <mergeCell ref="AB30:AE30"/>
    <mergeCell ref="AF30:AG30"/>
    <mergeCell ref="AH30:AI30"/>
    <mergeCell ref="AJ30:AK30"/>
    <mergeCell ref="AL30:AM30"/>
    <mergeCell ref="AN30:AO30"/>
    <mergeCell ref="B29:K29"/>
    <mergeCell ref="L29:U29"/>
    <mergeCell ref="V29:AA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N28:AO28"/>
    <mergeCell ref="B27:K27"/>
    <mergeCell ref="L27:U27"/>
    <mergeCell ref="V27:AA27"/>
    <mergeCell ref="AB27:AE27"/>
    <mergeCell ref="AF27:AG27"/>
    <mergeCell ref="AL25:AM25"/>
    <mergeCell ref="AN25:AO25"/>
    <mergeCell ref="B26:K26"/>
    <mergeCell ref="L26:U26"/>
    <mergeCell ref="V26:AA26"/>
    <mergeCell ref="AB26:AE26"/>
    <mergeCell ref="AF26:AG26"/>
    <mergeCell ref="AH26:AI26"/>
    <mergeCell ref="AJ26:AK26"/>
    <mergeCell ref="AL26:AM26"/>
    <mergeCell ref="AN26:AO26"/>
    <mergeCell ref="B25:K25"/>
    <mergeCell ref="L25:U25"/>
    <mergeCell ref="V25:AA25"/>
    <mergeCell ref="AB25:AE25"/>
    <mergeCell ref="AF25:AG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N24:AO24"/>
    <mergeCell ref="B23:K23"/>
    <mergeCell ref="L23:U23"/>
    <mergeCell ref="V23:AA23"/>
    <mergeCell ref="AB23:AE23"/>
    <mergeCell ref="AF23:AG23"/>
    <mergeCell ref="AL21:AM21"/>
    <mergeCell ref="AN21:AO21"/>
    <mergeCell ref="B22:K22"/>
    <mergeCell ref="L22:U22"/>
    <mergeCell ref="V22:AA22"/>
    <mergeCell ref="AB22:AE22"/>
    <mergeCell ref="AF22:AG22"/>
    <mergeCell ref="AH22:AI22"/>
    <mergeCell ref="AJ22:AK22"/>
    <mergeCell ref="AL22:AM22"/>
    <mergeCell ref="AN22:AO22"/>
    <mergeCell ref="B21:K21"/>
    <mergeCell ref="L21:U21"/>
    <mergeCell ref="V21:AA21"/>
    <mergeCell ref="AB21:AE21"/>
    <mergeCell ref="AF21:AG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N20:AO20"/>
    <mergeCell ref="B19:K19"/>
    <mergeCell ref="L19:U19"/>
    <mergeCell ref="V19:AA19"/>
    <mergeCell ref="AB19:AE19"/>
    <mergeCell ref="AF19:AG19"/>
    <mergeCell ref="AL17:AM17"/>
    <mergeCell ref="AN17:AO17"/>
    <mergeCell ref="B18:K18"/>
    <mergeCell ref="L18:U18"/>
    <mergeCell ref="V18:AA18"/>
    <mergeCell ref="AB18:AE18"/>
    <mergeCell ref="AF18:AG18"/>
    <mergeCell ref="AH18:AI18"/>
    <mergeCell ref="AJ18:AK18"/>
    <mergeCell ref="AL18:AM18"/>
    <mergeCell ref="AN18:AO18"/>
    <mergeCell ref="B17:K17"/>
    <mergeCell ref="L17:U17"/>
    <mergeCell ref="V17:AA17"/>
    <mergeCell ref="AB17:AE17"/>
    <mergeCell ref="AF17:AG17"/>
    <mergeCell ref="AN16:AO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N14:AO15"/>
    <mergeCell ref="AP14:BB15"/>
    <mergeCell ref="AO1:AS1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10:E11"/>
    <mergeCell ref="L35:BB35"/>
    <mergeCell ref="L36:BB36"/>
    <mergeCell ref="L37:BB37"/>
    <mergeCell ref="L38:BB38"/>
    <mergeCell ref="L39:BB39"/>
    <mergeCell ref="F8:BB8"/>
    <mergeCell ref="F9:BB9"/>
    <mergeCell ref="AK3:AN3"/>
    <mergeCell ref="AO3:BB3"/>
    <mergeCell ref="A5:BB6"/>
    <mergeCell ref="A7:E7"/>
    <mergeCell ref="A8:E8"/>
    <mergeCell ref="A3:G3"/>
    <mergeCell ref="H3:AJ3"/>
    <mergeCell ref="F7:BB7"/>
    <mergeCell ref="A9:E9"/>
    <mergeCell ref="L16:U16"/>
    <mergeCell ref="V16:AA16"/>
    <mergeCell ref="AB16:AE16"/>
    <mergeCell ref="AF16:AG16"/>
    <mergeCell ref="AH16:AI16"/>
    <mergeCell ref="AJ16:AK16"/>
    <mergeCell ref="AL16:AM16"/>
  </mergeCells>
  <phoneticPr fontId="8"/>
  <dataValidations count="5">
    <dataValidation type="list" allowBlank="1" showInputMessage="1" showErrorMessage="1" sqref="G10">
      <formula1>TableTypeList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BI35:BI39">
      <formula1>IndexTypeList</formula1>
    </dataValidation>
    <dataValidation imeMode="disabled" allowBlank="1" showInputMessage="1" showErrorMessage="1" sqref="L16:U31 AB16:AO31"/>
    <dataValidation imeMode="on" allowBlank="1" showInputMessage="1" showErrorMessage="1" sqref="B16:K31 AP16:BB31"/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48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ew00"/>
  <dimension ref="A1:BU36"/>
  <sheetViews>
    <sheetView showGridLines="0" zoomScaleNormal="100" zoomScaleSheetLayoutView="85" workbookViewId="0">
      <selection activeCell="A12" sqref="A12:BB13"/>
    </sheetView>
  </sheetViews>
  <sheetFormatPr defaultColWidth="3.5703125" defaultRowHeight="13.5" customHeight="1"/>
  <cols>
    <col min="1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tr">
        <f>CreateBy</f>
        <v>○○　✕✕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f>CreateAt</f>
        <v>44287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tr">
        <f ca="1">RIGHT(CELL("filename",A2),LEN(CELL("filename",A2))-FIND("]",CELL("filename",A2)))</f>
        <v>&lt;CopyView&gt;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487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tr">
        <f>Schema</f>
        <v>sakila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488</v>
      </c>
      <c r="B8" s="239"/>
      <c r="C8" s="239"/>
      <c r="D8" s="239"/>
      <c r="E8" s="240"/>
      <c r="F8" s="214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6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585</v>
      </c>
      <c r="B9" s="239"/>
      <c r="C9" s="239"/>
      <c r="D9" s="239"/>
      <c r="E9" s="240"/>
      <c r="F9" s="214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6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214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217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  <c r="AM11" s="218"/>
      <c r="AN11" s="218"/>
      <c r="AO11" s="218"/>
      <c r="AP11" s="218"/>
      <c r="AQ11" s="218"/>
      <c r="AR11" s="218"/>
      <c r="AS11" s="218"/>
      <c r="AT11" s="218"/>
      <c r="AU11" s="218"/>
      <c r="AV11" s="218"/>
      <c r="AW11" s="218"/>
      <c r="AX11" s="218"/>
      <c r="AY11" s="218"/>
      <c r="AZ11" s="218"/>
      <c r="BA11" s="218"/>
      <c r="BB11" s="219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1" t="s">
        <v>552</v>
      </c>
      <c r="BG13" s="191"/>
      <c r="BH13" s="191"/>
      <c r="BI13" s="191"/>
      <c r="BJ13" s="191"/>
    </row>
    <row r="14" spans="1:62" s="75" customFormat="1" ht="13.5" customHeight="1">
      <c r="A14" s="203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489</v>
      </c>
      <c r="W14" s="295"/>
      <c r="X14" s="295"/>
      <c r="Y14" s="295"/>
      <c r="Z14" s="295"/>
      <c r="AA14" s="295"/>
      <c r="AB14" s="295"/>
      <c r="AC14" s="295"/>
      <c r="AD14" s="295"/>
      <c r="AE14" s="296"/>
      <c r="AF14" s="294" t="s">
        <v>490</v>
      </c>
      <c r="AG14" s="295"/>
      <c r="AH14" s="295"/>
      <c r="AI14" s="295"/>
      <c r="AJ14" s="295"/>
      <c r="AK14" s="295"/>
      <c r="AL14" s="295"/>
      <c r="AM14" s="295"/>
      <c r="AN14" s="295"/>
      <c r="AO14" s="296"/>
      <c r="AP14" s="204" t="s">
        <v>473</v>
      </c>
      <c r="AQ14" s="204"/>
      <c r="AR14" s="204"/>
      <c r="AS14" s="204"/>
      <c r="AT14" s="204"/>
      <c r="AU14" s="204"/>
      <c r="AV14" s="204"/>
      <c r="AW14" s="204"/>
      <c r="AX14" s="204"/>
      <c r="AY14" s="204"/>
      <c r="AZ14" s="204"/>
      <c r="BA14" s="204"/>
      <c r="BB14" s="205"/>
      <c r="BC14"/>
      <c r="BD14"/>
      <c r="BF14" s="192" t="s">
        <v>571</v>
      </c>
      <c r="BG14" s="192" t="s">
        <v>570</v>
      </c>
      <c r="BH14" s="192" t="s">
        <v>545</v>
      </c>
      <c r="BI14" s="192" t="s">
        <v>565</v>
      </c>
      <c r="BJ14" s="192" t="s">
        <v>563</v>
      </c>
    </row>
    <row r="15" spans="1:62" s="75" customFormat="1" ht="13.5" customHeight="1">
      <c r="A15" s="81">
        <v>1</v>
      </c>
      <c r="B15" s="311"/>
      <c r="C15" s="312"/>
      <c r="D15" s="312"/>
      <c r="E15" s="312"/>
      <c r="F15" s="312"/>
      <c r="G15" s="312"/>
      <c r="H15" s="312"/>
      <c r="I15" s="312"/>
      <c r="J15" s="312"/>
      <c r="K15" s="312"/>
      <c r="L15" s="311"/>
      <c r="M15" s="312"/>
      <c r="N15" s="312"/>
      <c r="O15" s="312"/>
      <c r="P15" s="312"/>
      <c r="Q15" s="312"/>
      <c r="R15" s="312"/>
      <c r="S15" s="312"/>
      <c r="T15" s="312"/>
      <c r="U15" s="312"/>
      <c r="V15" s="214"/>
      <c r="W15" s="215"/>
      <c r="X15" s="215"/>
      <c r="Y15" s="215"/>
      <c r="Z15" s="215"/>
      <c r="AA15" s="215"/>
      <c r="AB15" s="215"/>
      <c r="AC15" s="215"/>
      <c r="AD15" s="215"/>
      <c r="AE15" s="313"/>
      <c r="AF15" s="214"/>
      <c r="AG15" s="215"/>
      <c r="AH15" s="215"/>
      <c r="AI15" s="215"/>
      <c r="AJ15" s="215"/>
      <c r="AK15" s="215"/>
      <c r="AL15" s="215"/>
      <c r="AM15" s="215"/>
      <c r="AN15" s="215"/>
      <c r="AO15" s="313"/>
      <c r="AP15" s="174"/>
      <c r="AQ15" s="174"/>
      <c r="AR15" s="174"/>
      <c r="AS15" s="174"/>
      <c r="AT15" s="174"/>
      <c r="AU15" s="174"/>
      <c r="AV15" s="174"/>
      <c r="AW15" s="174"/>
      <c r="AX15" s="174"/>
      <c r="AY15" s="174"/>
      <c r="AZ15" s="174"/>
      <c r="BA15" s="174"/>
      <c r="BB15" s="175"/>
      <c r="BC15"/>
      <c r="BD15"/>
      <c r="BF15" s="199" t="s">
        <v>573</v>
      </c>
      <c r="BG15" s="199"/>
      <c r="BH15" s="199"/>
      <c r="BI15" s="197"/>
      <c r="BJ15" s="198"/>
    </row>
    <row r="16" spans="1:62" s="75" customFormat="1" ht="13.5" customHeight="1">
      <c r="A16" s="81">
        <f t="shared" ref="A16:A17" si="0">A15+1</f>
        <v>2</v>
      </c>
      <c r="B16" s="311"/>
      <c r="C16" s="312"/>
      <c r="D16" s="312"/>
      <c r="E16" s="312"/>
      <c r="F16" s="312"/>
      <c r="G16" s="312"/>
      <c r="H16" s="312"/>
      <c r="I16" s="312"/>
      <c r="J16" s="312"/>
      <c r="K16" s="312"/>
      <c r="L16" s="311"/>
      <c r="M16" s="312"/>
      <c r="N16" s="312"/>
      <c r="O16" s="312"/>
      <c r="P16" s="312"/>
      <c r="Q16" s="312"/>
      <c r="R16" s="312"/>
      <c r="S16" s="312"/>
      <c r="T16" s="312"/>
      <c r="U16" s="312"/>
      <c r="V16" s="214"/>
      <c r="W16" s="215"/>
      <c r="X16" s="215"/>
      <c r="Y16" s="215"/>
      <c r="Z16" s="215"/>
      <c r="AA16" s="215"/>
      <c r="AB16" s="215"/>
      <c r="AC16" s="215"/>
      <c r="AD16" s="215"/>
      <c r="AE16" s="313"/>
      <c r="AF16" s="214"/>
      <c r="AG16" s="215"/>
      <c r="AH16" s="215"/>
      <c r="AI16" s="215"/>
      <c r="AJ16" s="215"/>
      <c r="AK16" s="215"/>
      <c r="AL16" s="215"/>
      <c r="AM16" s="215"/>
      <c r="AN16" s="215"/>
      <c r="AO16" s="313"/>
      <c r="AP16" s="174"/>
      <c r="AQ16" s="174"/>
      <c r="AR16" s="174"/>
      <c r="AS16" s="174"/>
      <c r="AT16" s="174"/>
      <c r="AU16" s="174"/>
      <c r="AV16" s="174"/>
      <c r="AW16" s="174"/>
      <c r="AX16" s="174"/>
      <c r="AY16" s="174"/>
      <c r="AZ16" s="174"/>
      <c r="BA16" s="174"/>
      <c r="BB16" s="175"/>
      <c r="BC16"/>
      <c r="BD16"/>
      <c r="BF16" s="199" t="s">
        <v>574</v>
      </c>
      <c r="BG16" s="199"/>
      <c r="BH16" s="199"/>
      <c r="BI16" s="197"/>
      <c r="BJ16" s="198"/>
    </row>
    <row r="17" spans="1:73" s="75" customFormat="1" ht="13.5" customHeight="1">
      <c r="A17" s="81">
        <f t="shared" si="0"/>
        <v>3</v>
      </c>
      <c r="B17" s="311"/>
      <c r="C17" s="312"/>
      <c r="D17" s="312"/>
      <c r="E17" s="312"/>
      <c r="F17" s="312"/>
      <c r="G17" s="312"/>
      <c r="H17" s="312"/>
      <c r="I17" s="312"/>
      <c r="J17" s="312"/>
      <c r="K17" s="312"/>
      <c r="L17" s="311"/>
      <c r="M17" s="312"/>
      <c r="N17" s="312"/>
      <c r="O17" s="312"/>
      <c r="P17" s="312"/>
      <c r="Q17" s="312"/>
      <c r="R17" s="312"/>
      <c r="S17" s="312"/>
      <c r="T17" s="312"/>
      <c r="U17" s="312"/>
      <c r="V17" s="214"/>
      <c r="W17" s="215"/>
      <c r="X17" s="215"/>
      <c r="Y17" s="215"/>
      <c r="Z17" s="215"/>
      <c r="AA17" s="215"/>
      <c r="AB17" s="215"/>
      <c r="AC17" s="215"/>
      <c r="AD17" s="215"/>
      <c r="AE17" s="313"/>
      <c r="AF17" s="214"/>
      <c r="AG17" s="215"/>
      <c r="AH17" s="215"/>
      <c r="AI17" s="215"/>
      <c r="AJ17" s="215"/>
      <c r="AK17" s="215"/>
      <c r="AL17" s="215"/>
      <c r="AM17" s="215"/>
      <c r="AN17" s="215"/>
      <c r="AO17" s="313"/>
      <c r="AP17" s="174"/>
      <c r="AQ17" s="174"/>
      <c r="AR17" s="174"/>
      <c r="AS17" s="174"/>
      <c r="AT17" s="174"/>
      <c r="AU17" s="174"/>
      <c r="AV17" s="174"/>
      <c r="AW17" s="174"/>
      <c r="AX17" s="174"/>
      <c r="AY17" s="174"/>
      <c r="AZ17" s="174"/>
      <c r="BA17" s="174"/>
      <c r="BB17" s="175"/>
      <c r="BC17"/>
      <c r="BD17"/>
      <c r="BF17" s="199" t="s">
        <v>574</v>
      </c>
      <c r="BG17" s="199"/>
      <c r="BH17" s="199"/>
      <c r="BI17" s="197"/>
      <c r="BJ17" s="198"/>
    </row>
    <row r="18" spans="1:73" s="75" customFormat="1" ht="13.5" customHeight="1">
      <c r="A18" s="81">
        <v>4</v>
      </c>
      <c r="B18" s="311"/>
      <c r="C18" s="312"/>
      <c r="D18" s="312"/>
      <c r="E18" s="312"/>
      <c r="F18" s="312"/>
      <c r="G18" s="312"/>
      <c r="H18" s="312"/>
      <c r="I18" s="312"/>
      <c r="J18" s="312"/>
      <c r="K18" s="312"/>
      <c r="L18" s="311"/>
      <c r="M18" s="312"/>
      <c r="N18" s="312"/>
      <c r="O18" s="312"/>
      <c r="P18" s="312"/>
      <c r="Q18" s="312"/>
      <c r="R18" s="312"/>
      <c r="S18" s="312"/>
      <c r="T18" s="312"/>
      <c r="U18" s="312"/>
      <c r="V18" s="214"/>
      <c r="W18" s="215"/>
      <c r="X18" s="215"/>
      <c r="Y18" s="215"/>
      <c r="Z18" s="215"/>
      <c r="AA18" s="215"/>
      <c r="AB18" s="215"/>
      <c r="AC18" s="215"/>
      <c r="AD18" s="215"/>
      <c r="AE18" s="313"/>
      <c r="AF18" s="214"/>
      <c r="AG18" s="215"/>
      <c r="AH18" s="215"/>
      <c r="AI18" s="215"/>
      <c r="AJ18" s="215"/>
      <c r="AK18" s="215"/>
      <c r="AL18" s="215"/>
      <c r="AM18" s="215"/>
      <c r="AN18" s="215"/>
      <c r="AO18" s="313"/>
      <c r="AP18" s="174"/>
      <c r="AQ18" s="174"/>
      <c r="AR18" s="174"/>
      <c r="AS18" s="174"/>
      <c r="AT18" s="174"/>
      <c r="AU18" s="174"/>
      <c r="AV18" s="174"/>
      <c r="AW18" s="174"/>
      <c r="AX18" s="174"/>
      <c r="AY18" s="174"/>
      <c r="AZ18" s="174"/>
      <c r="BA18" s="174"/>
      <c r="BB18" s="175"/>
      <c r="BC18"/>
      <c r="BD18"/>
      <c r="BF18" s="199" t="s">
        <v>574</v>
      </c>
      <c r="BG18" s="199"/>
      <c r="BH18" s="199"/>
      <c r="BI18" s="197"/>
      <c r="BJ18" s="198"/>
    </row>
    <row r="19" spans="1:73" s="75" customFormat="1" ht="13.5" customHeight="1">
      <c r="A19" s="81">
        <v>5</v>
      </c>
      <c r="B19" s="311"/>
      <c r="C19" s="312"/>
      <c r="D19" s="312"/>
      <c r="E19" s="312"/>
      <c r="F19" s="312"/>
      <c r="G19" s="312"/>
      <c r="H19" s="312"/>
      <c r="I19" s="312"/>
      <c r="J19" s="312"/>
      <c r="K19" s="312"/>
      <c r="L19" s="311"/>
      <c r="M19" s="312"/>
      <c r="N19" s="312"/>
      <c r="O19" s="312"/>
      <c r="P19" s="312"/>
      <c r="Q19" s="312"/>
      <c r="R19" s="312"/>
      <c r="S19" s="312"/>
      <c r="T19" s="312"/>
      <c r="U19" s="312"/>
      <c r="V19" s="214"/>
      <c r="W19" s="215"/>
      <c r="X19" s="215"/>
      <c r="Y19" s="215"/>
      <c r="Z19" s="215"/>
      <c r="AA19" s="215"/>
      <c r="AB19" s="215"/>
      <c r="AC19" s="215"/>
      <c r="AD19" s="215"/>
      <c r="AE19" s="313"/>
      <c r="AF19" s="214"/>
      <c r="AG19" s="215"/>
      <c r="AH19" s="215"/>
      <c r="AI19" s="215"/>
      <c r="AJ19" s="215"/>
      <c r="AK19" s="215"/>
      <c r="AL19" s="215"/>
      <c r="AM19" s="215"/>
      <c r="AN19" s="215"/>
      <c r="AO19" s="313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74"/>
      <c r="BA19" s="174"/>
      <c r="BB19" s="175"/>
      <c r="BC19"/>
      <c r="BD19"/>
      <c r="BF19" s="199" t="s">
        <v>574</v>
      </c>
      <c r="BG19" s="199"/>
      <c r="BH19" s="199"/>
      <c r="BI19" s="197"/>
      <c r="BJ19" s="198"/>
    </row>
    <row r="20" spans="1:73" s="75" customFormat="1" ht="13.5" customHeight="1">
      <c r="A20" s="81">
        <v>6</v>
      </c>
      <c r="B20" s="311"/>
      <c r="C20" s="312"/>
      <c r="D20" s="312"/>
      <c r="E20" s="312"/>
      <c r="F20" s="312"/>
      <c r="G20" s="312"/>
      <c r="H20" s="312"/>
      <c r="I20" s="312"/>
      <c r="J20" s="312"/>
      <c r="K20" s="312"/>
      <c r="L20" s="311"/>
      <c r="M20" s="312"/>
      <c r="N20" s="312"/>
      <c r="O20" s="312"/>
      <c r="P20" s="312"/>
      <c r="Q20" s="312"/>
      <c r="R20" s="312"/>
      <c r="S20" s="312"/>
      <c r="T20" s="312"/>
      <c r="U20" s="312"/>
      <c r="V20" s="214"/>
      <c r="W20" s="215"/>
      <c r="X20" s="215"/>
      <c r="Y20" s="215"/>
      <c r="Z20" s="215"/>
      <c r="AA20" s="215"/>
      <c r="AB20" s="215"/>
      <c r="AC20" s="215"/>
      <c r="AD20" s="215"/>
      <c r="AE20" s="313"/>
      <c r="AF20" s="214"/>
      <c r="AG20" s="215"/>
      <c r="AH20" s="215"/>
      <c r="AI20" s="215"/>
      <c r="AJ20" s="215"/>
      <c r="AK20" s="215"/>
      <c r="AL20" s="215"/>
      <c r="AM20" s="215"/>
      <c r="AN20" s="215"/>
      <c r="AO20" s="313"/>
      <c r="AP20" s="174"/>
      <c r="AQ20" s="174"/>
      <c r="AR20" s="174"/>
      <c r="AS20" s="174"/>
      <c r="AT20" s="174"/>
      <c r="AU20" s="174"/>
      <c r="AV20" s="174"/>
      <c r="AW20" s="174"/>
      <c r="AX20" s="174"/>
      <c r="AY20" s="174"/>
      <c r="AZ20" s="174"/>
      <c r="BA20" s="174"/>
      <c r="BB20" s="175"/>
      <c r="BC20"/>
      <c r="BD20"/>
      <c r="BF20" s="199" t="s">
        <v>574</v>
      </c>
      <c r="BG20" s="199"/>
      <c r="BH20" s="199"/>
      <c r="BI20" s="197"/>
      <c r="BJ20" s="198"/>
    </row>
    <row r="21" spans="1:73" s="75" customFormat="1" ht="13.5" customHeight="1">
      <c r="A21" s="81">
        <v>7</v>
      </c>
      <c r="B21" s="311"/>
      <c r="C21" s="312"/>
      <c r="D21" s="312"/>
      <c r="E21" s="312"/>
      <c r="F21" s="312"/>
      <c r="G21" s="312"/>
      <c r="H21" s="312"/>
      <c r="I21" s="312"/>
      <c r="J21" s="312"/>
      <c r="K21" s="312"/>
      <c r="L21" s="311"/>
      <c r="M21" s="312"/>
      <c r="N21" s="312"/>
      <c r="O21" s="312"/>
      <c r="P21" s="312"/>
      <c r="Q21" s="312"/>
      <c r="R21" s="312"/>
      <c r="S21" s="312"/>
      <c r="T21" s="312"/>
      <c r="U21" s="312"/>
      <c r="V21" s="214"/>
      <c r="W21" s="215"/>
      <c r="X21" s="215"/>
      <c r="Y21" s="215"/>
      <c r="Z21" s="215"/>
      <c r="AA21" s="215"/>
      <c r="AB21" s="215"/>
      <c r="AC21" s="215"/>
      <c r="AD21" s="215"/>
      <c r="AE21" s="313"/>
      <c r="AF21" s="214"/>
      <c r="AG21" s="215"/>
      <c r="AH21" s="215"/>
      <c r="AI21" s="215"/>
      <c r="AJ21" s="215"/>
      <c r="AK21" s="215"/>
      <c r="AL21" s="215"/>
      <c r="AM21" s="215"/>
      <c r="AN21" s="215"/>
      <c r="AO21" s="313"/>
      <c r="AP21" s="174"/>
      <c r="AQ21" s="174"/>
      <c r="AR21" s="174"/>
      <c r="AS21" s="174"/>
      <c r="AT21" s="174"/>
      <c r="AU21" s="174"/>
      <c r="AV21" s="174"/>
      <c r="AW21" s="174"/>
      <c r="AX21" s="174"/>
      <c r="AY21" s="174"/>
      <c r="AZ21" s="174"/>
      <c r="BA21" s="174"/>
      <c r="BB21" s="175"/>
      <c r="BC21"/>
      <c r="BD21"/>
      <c r="BF21" s="199" t="s">
        <v>574</v>
      </c>
      <c r="BG21" s="199"/>
      <c r="BH21" s="199"/>
      <c r="BI21" s="197"/>
      <c r="BJ21" s="198"/>
    </row>
    <row r="22" spans="1:73" s="75" customFormat="1" ht="13.5" customHeight="1">
      <c r="A22" s="81">
        <v>8</v>
      </c>
      <c r="B22" s="311"/>
      <c r="C22" s="312"/>
      <c r="D22" s="312"/>
      <c r="E22" s="312"/>
      <c r="F22" s="312"/>
      <c r="G22" s="312"/>
      <c r="H22" s="312"/>
      <c r="I22" s="312"/>
      <c r="J22" s="312"/>
      <c r="K22" s="312"/>
      <c r="L22" s="311"/>
      <c r="M22" s="312"/>
      <c r="N22" s="312"/>
      <c r="O22" s="312"/>
      <c r="P22" s="312"/>
      <c r="Q22" s="312"/>
      <c r="R22" s="312"/>
      <c r="S22" s="312"/>
      <c r="T22" s="312"/>
      <c r="U22" s="312"/>
      <c r="V22" s="214"/>
      <c r="W22" s="215"/>
      <c r="X22" s="215"/>
      <c r="Y22" s="215"/>
      <c r="Z22" s="215"/>
      <c r="AA22" s="215"/>
      <c r="AB22" s="215"/>
      <c r="AC22" s="215"/>
      <c r="AD22" s="215"/>
      <c r="AE22" s="313"/>
      <c r="AF22" s="214"/>
      <c r="AG22" s="215"/>
      <c r="AH22" s="215"/>
      <c r="AI22" s="215"/>
      <c r="AJ22" s="215"/>
      <c r="AK22" s="215"/>
      <c r="AL22" s="215"/>
      <c r="AM22" s="215"/>
      <c r="AN22" s="215"/>
      <c r="AO22" s="313"/>
      <c r="AP22" s="174"/>
      <c r="AQ22" s="174"/>
      <c r="AR22" s="174"/>
      <c r="AS22" s="174"/>
      <c r="AT22" s="174"/>
      <c r="AU22" s="174"/>
      <c r="AV22" s="174"/>
      <c r="AW22" s="174"/>
      <c r="AX22" s="174"/>
      <c r="AY22" s="174"/>
      <c r="AZ22" s="174"/>
      <c r="BA22" s="174"/>
      <c r="BB22" s="175"/>
      <c r="BC22"/>
      <c r="BD22"/>
      <c r="BF22" s="199" t="s">
        <v>574</v>
      </c>
      <c r="BG22" s="199"/>
      <c r="BH22" s="199"/>
      <c r="BI22" s="197"/>
      <c r="BJ22" s="198"/>
    </row>
    <row r="23" spans="1:73" s="75" customFormat="1" ht="13.5" customHeight="1">
      <c r="A23" s="81">
        <v>9</v>
      </c>
      <c r="B23" s="311"/>
      <c r="C23" s="312"/>
      <c r="D23" s="312"/>
      <c r="E23" s="312"/>
      <c r="F23" s="312"/>
      <c r="G23" s="312"/>
      <c r="H23" s="312"/>
      <c r="I23" s="312"/>
      <c r="J23" s="312"/>
      <c r="K23" s="312"/>
      <c r="L23" s="311"/>
      <c r="M23" s="312"/>
      <c r="N23" s="312"/>
      <c r="O23" s="312"/>
      <c r="P23" s="312"/>
      <c r="Q23" s="312"/>
      <c r="R23" s="312"/>
      <c r="S23" s="312"/>
      <c r="T23" s="312"/>
      <c r="U23" s="312"/>
      <c r="V23" s="214"/>
      <c r="W23" s="215"/>
      <c r="X23" s="215"/>
      <c r="Y23" s="215"/>
      <c r="Z23" s="215"/>
      <c r="AA23" s="215"/>
      <c r="AB23" s="215"/>
      <c r="AC23" s="215"/>
      <c r="AD23" s="215"/>
      <c r="AE23" s="313"/>
      <c r="AF23" s="214"/>
      <c r="AG23" s="215"/>
      <c r="AH23" s="215"/>
      <c r="AI23" s="215"/>
      <c r="AJ23" s="215"/>
      <c r="AK23" s="215"/>
      <c r="AL23" s="215"/>
      <c r="AM23" s="215"/>
      <c r="AN23" s="215"/>
      <c r="AO23" s="313"/>
      <c r="AP23" s="174"/>
      <c r="AQ23" s="174"/>
      <c r="AR23" s="174"/>
      <c r="AS23" s="174"/>
      <c r="AT23" s="174"/>
      <c r="AU23" s="174"/>
      <c r="AV23" s="174"/>
      <c r="AW23" s="174"/>
      <c r="AX23" s="174"/>
      <c r="AY23" s="174"/>
      <c r="AZ23" s="174"/>
      <c r="BA23" s="174"/>
      <c r="BB23" s="175"/>
      <c r="BC23"/>
      <c r="BD23"/>
      <c r="BF23" s="199" t="s">
        <v>574</v>
      </c>
      <c r="BG23" s="199"/>
      <c r="BH23" s="199"/>
      <c r="BI23" s="197"/>
      <c r="BJ23" s="198"/>
    </row>
    <row r="24" spans="1:73" s="75" customFormat="1" ht="13.5" customHeight="1">
      <c r="A24" s="81">
        <v>10</v>
      </c>
      <c r="B24" s="311"/>
      <c r="C24" s="312"/>
      <c r="D24" s="312"/>
      <c r="E24" s="312"/>
      <c r="F24" s="312"/>
      <c r="G24" s="312"/>
      <c r="H24" s="312"/>
      <c r="I24" s="312"/>
      <c r="J24" s="312"/>
      <c r="K24" s="312"/>
      <c r="L24" s="311"/>
      <c r="M24" s="312"/>
      <c r="N24" s="312"/>
      <c r="O24" s="312"/>
      <c r="P24" s="312"/>
      <c r="Q24" s="312"/>
      <c r="R24" s="312"/>
      <c r="S24" s="312"/>
      <c r="T24" s="312"/>
      <c r="U24" s="312"/>
      <c r="V24" s="214"/>
      <c r="W24" s="215"/>
      <c r="X24" s="215"/>
      <c r="Y24" s="215"/>
      <c r="Z24" s="215"/>
      <c r="AA24" s="215"/>
      <c r="AB24" s="215"/>
      <c r="AC24" s="215"/>
      <c r="AD24" s="215"/>
      <c r="AE24" s="313"/>
      <c r="AF24" s="214"/>
      <c r="AG24" s="215"/>
      <c r="AH24" s="215"/>
      <c r="AI24" s="215"/>
      <c r="AJ24" s="215"/>
      <c r="AK24" s="215"/>
      <c r="AL24" s="215"/>
      <c r="AM24" s="215"/>
      <c r="AN24" s="215"/>
      <c r="AO24" s="313"/>
      <c r="AP24" s="174"/>
      <c r="AQ24" s="174"/>
      <c r="AR24" s="174"/>
      <c r="AS24" s="174"/>
      <c r="AT24" s="174"/>
      <c r="AU24" s="174"/>
      <c r="AV24" s="174"/>
      <c r="AW24" s="174"/>
      <c r="AX24" s="174"/>
      <c r="AY24" s="174"/>
      <c r="AZ24" s="174"/>
      <c r="BA24" s="174"/>
      <c r="BB24" s="175"/>
      <c r="BC24"/>
      <c r="BD24"/>
      <c r="BF24" s="199" t="s">
        <v>574</v>
      </c>
      <c r="BG24" s="199"/>
      <c r="BH24" s="199"/>
      <c r="BI24" s="197"/>
      <c r="BJ24" s="198"/>
    </row>
    <row r="25" spans="1:73" s="75" customFormat="1" ht="13.5" customHeight="1">
      <c r="A25" s="81">
        <v>11</v>
      </c>
      <c r="B25" s="311"/>
      <c r="C25" s="312"/>
      <c r="D25" s="312"/>
      <c r="E25" s="312"/>
      <c r="F25" s="312"/>
      <c r="G25" s="312"/>
      <c r="H25" s="312"/>
      <c r="I25" s="312"/>
      <c r="J25" s="312"/>
      <c r="K25" s="312"/>
      <c r="L25" s="311"/>
      <c r="M25" s="312"/>
      <c r="N25" s="312"/>
      <c r="O25" s="312"/>
      <c r="P25" s="312"/>
      <c r="Q25" s="312"/>
      <c r="R25" s="312"/>
      <c r="S25" s="312"/>
      <c r="T25" s="312"/>
      <c r="U25" s="312"/>
      <c r="V25" s="214"/>
      <c r="W25" s="215"/>
      <c r="X25" s="215"/>
      <c r="Y25" s="215"/>
      <c r="Z25" s="215"/>
      <c r="AA25" s="215"/>
      <c r="AB25" s="215"/>
      <c r="AC25" s="215"/>
      <c r="AD25" s="215"/>
      <c r="AE25" s="313"/>
      <c r="AF25" s="214"/>
      <c r="AG25" s="215"/>
      <c r="AH25" s="215"/>
      <c r="AI25" s="215"/>
      <c r="AJ25" s="215"/>
      <c r="AK25" s="215"/>
      <c r="AL25" s="215"/>
      <c r="AM25" s="215"/>
      <c r="AN25" s="215"/>
      <c r="AO25" s="313"/>
      <c r="AP25" s="174"/>
      <c r="AQ25" s="174"/>
      <c r="AR25" s="174"/>
      <c r="AS25" s="174"/>
      <c r="AT25" s="174"/>
      <c r="AU25" s="174"/>
      <c r="AV25" s="174"/>
      <c r="AW25" s="174"/>
      <c r="AX25" s="174"/>
      <c r="AY25" s="174"/>
      <c r="AZ25" s="174"/>
      <c r="BA25" s="174"/>
      <c r="BB25" s="175"/>
      <c r="BC25"/>
      <c r="BD25"/>
      <c r="BF25" s="199" t="s">
        <v>574</v>
      </c>
      <c r="BG25" s="199"/>
      <c r="BH25" s="199"/>
      <c r="BI25" s="197"/>
      <c r="BJ25" s="198"/>
    </row>
    <row r="26" spans="1:73" s="75" customFormat="1" ht="13.5" customHeight="1" thickBot="1">
      <c r="A26" s="83">
        <v>12</v>
      </c>
      <c r="B26" s="314"/>
      <c r="C26" s="315"/>
      <c r="D26" s="315"/>
      <c r="E26" s="315"/>
      <c r="F26" s="315"/>
      <c r="G26" s="315"/>
      <c r="H26" s="315"/>
      <c r="I26" s="315"/>
      <c r="J26" s="315"/>
      <c r="K26" s="315"/>
      <c r="L26" s="314"/>
      <c r="M26" s="315"/>
      <c r="N26" s="315"/>
      <c r="O26" s="315"/>
      <c r="P26" s="315"/>
      <c r="Q26" s="315"/>
      <c r="R26" s="315"/>
      <c r="S26" s="315"/>
      <c r="T26" s="315"/>
      <c r="U26" s="315"/>
      <c r="V26" s="217"/>
      <c r="W26" s="218"/>
      <c r="X26" s="218"/>
      <c r="Y26" s="218"/>
      <c r="Z26" s="218"/>
      <c r="AA26" s="218"/>
      <c r="AB26" s="218"/>
      <c r="AC26" s="218"/>
      <c r="AD26" s="218"/>
      <c r="AE26" s="316"/>
      <c r="AF26" s="217"/>
      <c r="AG26" s="218"/>
      <c r="AH26" s="218"/>
      <c r="AI26" s="218"/>
      <c r="AJ26" s="218"/>
      <c r="AK26" s="218"/>
      <c r="AL26" s="218"/>
      <c r="AM26" s="218"/>
      <c r="AN26" s="218"/>
      <c r="AO26" s="316"/>
      <c r="AP26" s="176"/>
      <c r="AQ26" s="176"/>
      <c r="AR26" s="176"/>
      <c r="AS26" s="176"/>
      <c r="AT26" s="176"/>
      <c r="AU26" s="176"/>
      <c r="AV26" s="176"/>
      <c r="AW26" s="176"/>
      <c r="AX26" s="176"/>
      <c r="AY26" s="176"/>
      <c r="AZ26" s="176"/>
      <c r="BA26" s="176"/>
      <c r="BB26" s="177"/>
      <c r="BC26"/>
      <c r="BD26"/>
      <c r="BF26" s="199" t="s">
        <v>575</v>
      </c>
      <c r="BG26" s="199"/>
      <c r="BH26" s="199"/>
      <c r="BI26" s="197"/>
      <c r="BJ26" s="198"/>
    </row>
    <row r="27" spans="1:73" ht="13.5" customHeight="1">
      <c r="BE27" s="75"/>
      <c r="BF27" s="195"/>
      <c r="BG27" s="195"/>
      <c r="BH27" s="195"/>
      <c r="BI27" s="195"/>
      <c r="BJ27" s="195"/>
      <c r="BK27" s="75"/>
      <c r="BL27" s="75"/>
      <c r="BM27" s="75"/>
      <c r="BN27" s="75"/>
      <c r="BO27" s="75"/>
      <c r="BP27" s="75"/>
      <c r="BQ27" s="75"/>
      <c r="BR27" s="75"/>
      <c r="BS27" s="75"/>
      <c r="BT27" s="75"/>
      <c r="BU27" s="75"/>
    </row>
    <row r="28" spans="1:73" ht="13.5" customHeight="1">
      <c r="BE28" s="75"/>
      <c r="BF28" s="3"/>
      <c r="BG28" s="3"/>
      <c r="BH28" s="3"/>
      <c r="BI28" s="3"/>
      <c r="BK28" s="75"/>
      <c r="BL28" s="75"/>
      <c r="BM28" s="75"/>
      <c r="BN28" s="75"/>
      <c r="BO28" s="75"/>
      <c r="BP28" s="75"/>
      <c r="BQ28" s="75"/>
      <c r="BR28" s="75"/>
      <c r="BS28" s="75"/>
      <c r="BT28" s="75"/>
      <c r="BU28" s="75"/>
    </row>
    <row r="29" spans="1:73" ht="13.5" customHeight="1">
      <c r="BE29" s="75"/>
      <c r="BF29" s="3"/>
      <c r="BG29" s="3"/>
      <c r="BH29" s="3"/>
      <c r="BI29" s="3"/>
      <c r="BK29" s="75"/>
      <c r="BL29" s="75"/>
      <c r="BM29" s="75"/>
      <c r="BN29" s="75"/>
      <c r="BO29" s="75"/>
      <c r="BP29" s="75"/>
      <c r="BQ29" s="75"/>
      <c r="BR29" s="75"/>
      <c r="BS29" s="75"/>
      <c r="BT29" s="75"/>
      <c r="BU29" s="75"/>
    </row>
    <row r="30" spans="1:73" ht="13.5" customHeight="1">
      <c r="BF30" s="3"/>
      <c r="BG30" s="3"/>
      <c r="BH30" s="3"/>
      <c r="BI30" s="3"/>
    </row>
    <row r="31" spans="1:73" ht="13.5" customHeight="1">
      <c r="BF31" s="3"/>
      <c r="BG31" s="3"/>
      <c r="BH31" s="3"/>
      <c r="BI31" s="3"/>
    </row>
    <row r="32" spans="1:73" ht="13.5" customHeight="1">
      <c r="BF32" s="3"/>
      <c r="BG32" s="3"/>
      <c r="BH32" s="3"/>
      <c r="BI32" s="3"/>
    </row>
    <row r="33" spans="58:61" ht="13.5" customHeight="1">
      <c r="BF33" s="3"/>
      <c r="BG33" s="3"/>
      <c r="BH33" s="3"/>
      <c r="BI33" s="3"/>
    </row>
    <row r="34" spans="58:61" ht="13.5" customHeight="1">
      <c r="BF34" s="3"/>
      <c r="BG34" s="3"/>
      <c r="BH34" s="3"/>
      <c r="BI34" s="3"/>
    </row>
    <row r="35" spans="58:61" ht="13.5" customHeight="1">
      <c r="BF35" s="3"/>
      <c r="BG35" s="3"/>
      <c r="BH35" s="3"/>
      <c r="BI35" s="3"/>
    </row>
    <row r="36" spans="58:61" ht="13.5" customHeight="1">
      <c r="BF36" s="3"/>
      <c r="BG36" s="3"/>
      <c r="BH36" s="3"/>
      <c r="BI36" s="3"/>
    </row>
  </sheetData>
  <mergeCells count="83">
    <mergeCell ref="B26:K26"/>
    <mergeCell ref="L26:U26"/>
    <mergeCell ref="V26:AE26"/>
    <mergeCell ref="AF26:AO26"/>
    <mergeCell ref="B24:K24"/>
    <mergeCell ref="L24:U24"/>
    <mergeCell ref="V24:AE24"/>
    <mergeCell ref="AF24:AO24"/>
    <mergeCell ref="B25:K25"/>
    <mergeCell ref="L25:U25"/>
    <mergeCell ref="V25:AE25"/>
    <mergeCell ref="AF25:AO25"/>
    <mergeCell ref="B22:K22"/>
    <mergeCell ref="L22:U22"/>
    <mergeCell ref="V22:AE22"/>
    <mergeCell ref="AF22:AO22"/>
    <mergeCell ref="B23:K23"/>
    <mergeCell ref="L23:U23"/>
    <mergeCell ref="V23:AE23"/>
    <mergeCell ref="AF23:AO23"/>
    <mergeCell ref="B20:K20"/>
    <mergeCell ref="L20:U20"/>
    <mergeCell ref="V20:AE20"/>
    <mergeCell ref="AF20:AO20"/>
    <mergeCell ref="B21:K21"/>
    <mergeCell ref="L21:U21"/>
    <mergeCell ref="V21:AE21"/>
    <mergeCell ref="AF21:AO21"/>
    <mergeCell ref="B18:K18"/>
    <mergeCell ref="L18:U18"/>
    <mergeCell ref="V18:AE18"/>
    <mergeCell ref="AF18:AO18"/>
    <mergeCell ref="B19:K19"/>
    <mergeCell ref="L19:U19"/>
    <mergeCell ref="V19:AE19"/>
    <mergeCell ref="AF19:AO19"/>
    <mergeCell ref="B16:K16"/>
    <mergeCell ref="L16:U16"/>
    <mergeCell ref="V16:AE16"/>
    <mergeCell ref="AF16:AO16"/>
    <mergeCell ref="B17:K17"/>
    <mergeCell ref="L17:U17"/>
    <mergeCell ref="V17:AE17"/>
    <mergeCell ref="AF17:AO17"/>
    <mergeCell ref="F10:BB10"/>
    <mergeCell ref="F11:BB11"/>
    <mergeCell ref="A7:E7"/>
    <mergeCell ref="B15:K15"/>
    <mergeCell ref="L15:U15"/>
    <mergeCell ref="V15:AE15"/>
    <mergeCell ref="AF15:AO15"/>
    <mergeCell ref="A1:G1"/>
    <mergeCell ref="H1:V1"/>
    <mergeCell ref="W1:AA1"/>
    <mergeCell ref="AB1:AJ1"/>
    <mergeCell ref="B14:K14"/>
    <mergeCell ref="L14:U14"/>
    <mergeCell ref="V14:AE14"/>
    <mergeCell ref="AF14:AO14"/>
    <mergeCell ref="A5:BB6"/>
    <mergeCell ref="A8:E8"/>
    <mergeCell ref="A9:E9"/>
    <mergeCell ref="A10:E11"/>
    <mergeCell ref="A12:BB13"/>
    <mergeCell ref="F7:BB7"/>
    <mergeCell ref="F8:BB8"/>
    <mergeCell ref="F9:BB9"/>
    <mergeCell ref="AK1:AN1"/>
    <mergeCell ref="A3:G3"/>
    <mergeCell ref="H3:AJ3"/>
    <mergeCell ref="AK3:AN3"/>
    <mergeCell ref="AO3:BB3"/>
    <mergeCell ref="AO1:AS1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</mergeCells>
  <phoneticPr fontId="8"/>
  <printOptions horizontalCentered="1"/>
  <pageMargins left="0.39370078740157483" right="0.39370078740157483" top="0.39370078740157483" bottom="0.47244094488188981" header="0.31496062992125984" footer="0.19685039370078741"/>
  <pageSetup paperSize="9" scale="77" fitToHeight="0" orientation="landscape" r:id="rId1"/>
  <headerFooter alignWithMargins="0">
    <oddFooter>&amp;L&amp;"ＭＳ ゴシック,太字"&amp;F　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6"/>
  <dimension ref="A1:M24"/>
  <sheetViews>
    <sheetView zoomScaleNormal="100" workbookViewId="0"/>
  </sheetViews>
  <sheetFormatPr defaultColWidth="12.7109375" defaultRowHeight="15"/>
  <cols>
    <col min="6" max="6" width="12.7109375" customWidth="1"/>
  </cols>
  <sheetData>
    <row r="1" spans="1:13" s="179" customFormat="1">
      <c r="A1" s="178" t="s">
        <v>553</v>
      </c>
      <c r="B1" s="178" t="s">
        <v>554</v>
      </c>
      <c r="C1" s="178" t="s">
        <v>554</v>
      </c>
      <c r="D1" s="178" t="s">
        <v>557</v>
      </c>
      <c r="E1" s="178" t="s">
        <v>556</v>
      </c>
      <c r="F1" s="200" t="s">
        <v>564</v>
      </c>
      <c r="G1" s="178" t="s">
        <v>563</v>
      </c>
      <c r="H1" s="178" t="s">
        <v>558</v>
      </c>
      <c r="J1" s="178" t="s">
        <v>562</v>
      </c>
      <c r="K1" s="179" t="s">
        <v>471</v>
      </c>
      <c r="L1" s="179" t="s">
        <v>202</v>
      </c>
      <c r="M1" s="179" t="s">
        <v>472</v>
      </c>
    </row>
    <row r="2" spans="1:13">
      <c r="A2" t="s">
        <v>803</v>
      </c>
      <c r="B2" t="s">
        <v>802</v>
      </c>
      <c r="D2" t="s">
        <v>798</v>
      </c>
      <c r="E2">
        <v>1</v>
      </c>
      <c r="H2">
        <v>1</v>
      </c>
      <c r="J2" t="s">
        <v>586</v>
      </c>
      <c r="K2" t="s">
        <v>588</v>
      </c>
      <c r="M2" t="s">
        <v>589</v>
      </c>
    </row>
    <row r="3" spans="1:13">
      <c r="B3" t="s">
        <v>803</v>
      </c>
      <c r="D3" t="s">
        <v>799</v>
      </c>
      <c r="H3">
        <v>1</v>
      </c>
      <c r="J3" t="s">
        <v>603</v>
      </c>
      <c r="K3" t="s">
        <v>588</v>
      </c>
      <c r="M3" t="s">
        <v>604</v>
      </c>
    </row>
    <row r="4" spans="1:13">
      <c r="A4" t="s">
        <v>797</v>
      </c>
      <c r="B4" t="s">
        <v>800</v>
      </c>
      <c r="D4" t="s">
        <v>801</v>
      </c>
      <c r="H4">
        <v>1</v>
      </c>
      <c r="J4" t="s">
        <v>608</v>
      </c>
      <c r="K4" t="s">
        <v>588</v>
      </c>
      <c r="M4" t="s">
        <v>609</v>
      </c>
    </row>
    <row r="5" spans="1:13">
      <c r="J5" t="s">
        <v>626</v>
      </c>
      <c r="K5" t="s">
        <v>588</v>
      </c>
      <c r="M5" t="s">
        <v>627</v>
      </c>
    </row>
    <row r="6" spans="1:13">
      <c r="J6" t="s">
        <v>580</v>
      </c>
      <c r="K6" t="s">
        <v>588</v>
      </c>
      <c r="M6" t="s">
        <v>581</v>
      </c>
    </row>
    <row r="7" spans="1:13">
      <c r="J7" t="s">
        <v>582</v>
      </c>
      <c r="K7" t="s">
        <v>588</v>
      </c>
      <c r="M7" t="s">
        <v>583</v>
      </c>
    </row>
    <row r="8" spans="1:13">
      <c r="J8" t="s">
        <v>636</v>
      </c>
      <c r="K8" t="s">
        <v>588</v>
      </c>
      <c r="M8" t="s">
        <v>637</v>
      </c>
    </row>
    <row r="9" spans="1:13">
      <c r="J9" t="s">
        <v>652</v>
      </c>
      <c r="K9" t="s">
        <v>588</v>
      </c>
      <c r="M9" t="s">
        <v>653</v>
      </c>
    </row>
    <row r="10" spans="1:13">
      <c r="J10" t="s">
        <v>661</v>
      </c>
      <c r="K10" t="s">
        <v>588</v>
      </c>
      <c r="M10" t="s">
        <v>662</v>
      </c>
    </row>
    <row r="11" spans="1:13">
      <c r="J11" t="s">
        <v>691</v>
      </c>
      <c r="K11" t="s">
        <v>588</v>
      </c>
      <c r="M11" t="s">
        <v>692</v>
      </c>
    </row>
    <row r="12" spans="1:13">
      <c r="J12" t="s">
        <v>701</v>
      </c>
      <c r="K12" t="s">
        <v>588</v>
      </c>
      <c r="M12" t="s">
        <v>702</v>
      </c>
    </row>
    <row r="13" spans="1:13">
      <c r="J13" t="s">
        <v>707</v>
      </c>
      <c r="K13" t="s">
        <v>588</v>
      </c>
      <c r="M13" t="s">
        <v>708</v>
      </c>
    </row>
    <row r="14" spans="1:13">
      <c r="J14" t="s">
        <v>712</v>
      </c>
      <c r="K14" t="s">
        <v>588</v>
      </c>
      <c r="M14" t="s">
        <v>713</v>
      </c>
    </row>
    <row r="15" spans="1:13">
      <c r="J15" t="s">
        <v>719</v>
      </c>
      <c r="K15" t="s">
        <v>588</v>
      </c>
      <c r="M15" t="s">
        <v>720</v>
      </c>
    </row>
    <row r="16" spans="1:13">
      <c r="J16" t="s">
        <v>727</v>
      </c>
      <c r="K16" t="s">
        <v>588</v>
      </c>
      <c r="M16" t="s">
        <v>728</v>
      </c>
    </row>
    <row r="17" spans="10:13">
      <c r="J17" t="s">
        <v>730</v>
      </c>
      <c r="K17" t="s">
        <v>588</v>
      </c>
      <c r="M17" t="s">
        <v>731</v>
      </c>
    </row>
    <row r="18" spans="10:13">
      <c r="J18" t="s">
        <v>732</v>
      </c>
      <c r="K18" t="s">
        <v>588</v>
      </c>
      <c r="M18" t="s">
        <v>733</v>
      </c>
    </row>
    <row r="19" spans="10:13">
      <c r="J19" t="s">
        <v>747</v>
      </c>
      <c r="K19" t="s">
        <v>588</v>
      </c>
      <c r="M19" t="s">
        <v>748</v>
      </c>
    </row>
    <row r="20" spans="10:13">
      <c r="J20" t="s">
        <v>758</v>
      </c>
      <c r="K20" t="s">
        <v>588</v>
      </c>
      <c r="M20" t="s">
        <v>759</v>
      </c>
    </row>
    <row r="21" spans="10:13">
      <c r="J21" t="s">
        <v>762</v>
      </c>
      <c r="K21" t="s">
        <v>588</v>
      </c>
      <c r="M21" t="s">
        <v>763</v>
      </c>
    </row>
    <row r="22" spans="10:13">
      <c r="J22" t="s">
        <v>767</v>
      </c>
      <c r="K22" t="s">
        <v>588</v>
      </c>
      <c r="M22" t="s">
        <v>768</v>
      </c>
    </row>
    <row r="23" spans="10:13">
      <c r="J23" t="s">
        <v>777</v>
      </c>
      <c r="K23" t="s">
        <v>588</v>
      </c>
      <c r="M23" t="s">
        <v>778</v>
      </c>
    </row>
    <row r="24" spans="10:13">
      <c r="J24" t="s">
        <v>779</v>
      </c>
      <c r="K24" t="s">
        <v>588</v>
      </c>
      <c r="M24" t="s">
        <v>764</v>
      </c>
    </row>
  </sheetData>
  <phoneticPr fontId="8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H58"/>
  <sheetViews>
    <sheetView showGridLines="0" zoomScaleNormal="100" zoomScaleSheetLayoutView="85" workbookViewId="0"/>
  </sheetViews>
  <sheetFormatPr defaultColWidth="2.85546875" defaultRowHeight="13.5" customHeight="1"/>
  <cols>
    <col min="1" max="20" width="3" style="76" customWidth="1"/>
    <col min="21" max="21" width="4" style="76" customWidth="1"/>
    <col min="22" max="54" width="3" style="76" customWidth="1"/>
    <col min="55" max="16384" width="2.85546875" style="76"/>
  </cols>
  <sheetData>
    <row r="1" spans="1:57" ht="13.5" customHeight="1">
      <c r="A1" s="87"/>
      <c r="B1" s="88"/>
      <c r="C1" s="88"/>
      <c r="D1" s="88"/>
      <c r="E1" s="88"/>
      <c r="F1" s="88"/>
      <c r="G1" s="88"/>
      <c r="H1" s="88"/>
      <c r="I1" s="89"/>
      <c r="J1" s="89"/>
      <c r="K1" s="89"/>
      <c r="L1" s="90"/>
      <c r="M1" s="90"/>
      <c r="N1" s="90"/>
      <c r="O1" s="90"/>
      <c r="P1" s="90"/>
      <c r="Q1" s="90"/>
      <c r="R1" s="91"/>
      <c r="S1" s="89"/>
      <c r="T1" s="89"/>
      <c r="U1" s="89"/>
      <c r="V1" s="89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89"/>
      <c r="AI1" s="89"/>
      <c r="AJ1" s="89"/>
      <c r="AK1" s="89"/>
      <c r="AL1" s="89"/>
      <c r="AM1" s="89"/>
      <c r="AN1" s="91"/>
      <c r="AO1" s="91"/>
      <c r="AP1" s="91"/>
      <c r="AQ1" s="91"/>
      <c r="AR1" s="92"/>
      <c r="AS1" s="92"/>
      <c r="AT1" s="92"/>
      <c r="AU1" s="92"/>
      <c r="AV1" s="92"/>
      <c r="AW1" s="89"/>
      <c r="AX1" s="89"/>
      <c r="AY1" s="89"/>
      <c r="AZ1" s="92"/>
      <c r="BA1" s="92"/>
      <c r="BB1" s="93"/>
    </row>
    <row r="2" spans="1:57" ht="13.5" customHeight="1">
      <c r="A2" s="94"/>
      <c r="B2" s="95"/>
      <c r="C2" s="95"/>
      <c r="D2" s="95"/>
      <c r="E2" s="95"/>
      <c r="F2" s="95"/>
      <c r="G2" s="95"/>
      <c r="H2" s="95"/>
      <c r="I2" s="96"/>
      <c r="J2" s="96"/>
      <c r="K2" s="96"/>
      <c r="L2" s="97"/>
      <c r="M2" s="97"/>
      <c r="N2" s="97"/>
      <c r="O2" s="97"/>
      <c r="P2" s="97"/>
      <c r="Q2" s="97"/>
      <c r="R2" s="98"/>
      <c r="S2" s="96"/>
      <c r="T2" s="96"/>
      <c r="U2" s="96"/>
      <c r="V2" s="96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96"/>
      <c r="AI2" s="96"/>
      <c r="AJ2" s="96"/>
      <c r="AK2" s="96"/>
      <c r="AL2" s="96"/>
      <c r="AM2" s="96"/>
      <c r="AN2" s="98"/>
      <c r="AO2" s="98"/>
      <c r="AP2" s="98"/>
      <c r="AQ2" s="98"/>
      <c r="AR2" s="77"/>
      <c r="AS2" s="77"/>
      <c r="AT2" s="77"/>
      <c r="AU2" s="77"/>
      <c r="AV2" s="77"/>
      <c r="AW2" s="96"/>
      <c r="AX2" s="96"/>
      <c r="AY2" s="96"/>
      <c r="AZ2" s="77"/>
      <c r="BA2" s="77"/>
      <c r="BB2" s="99"/>
    </row>
    <row r="3" spans="1:57" ht="13.5" customHeight="1">
      <c r="A3" s="94"/>
      <c r="B3" s="95"/>
      <c r="C3" s="95"/>
      <c r="D3" s="95"/>
      <c r="E3" s="95"/>
      <c r="F3" s="95"/>
      <c r="G3" s="95"/>
      <c r="H3" s="95"/>
      <c r="I3" s="96"/>
      <c r="J3" s="96"/>
      <c r="K3" s="96"/>
      <c r="L3" s="97"/>
      <c r="M3" s="97"/>
      <c r="N3" s="97"/>
      <c r="O3" s="97"/>
      <c r="AN3" s="98"/>
      <c r="AO3" s="98"/>
      <c r="AP3" s="98"/>
      <c r="AQ3" s="98"/>
      <c r="AR3" s="77"/>
      <c r="AS3" s="77"/>
      <c r="AT3" s="77"/>
      <c r="AU3" s="77"/>
      <c r="AV3" s="77"/>
      <c r="AW3" s="96"/>
      <c r="AX3" s="96"/>
      <c r="AY3" s="96"/>
      <c r="AZ3" s="77"/>
      <c r="BA3" s="77"/>
      <c r="BB3" s="99"/>
    </row>
    <row r="4" spans="1:57" ht="13.5" customHeight="1">
      <c r="A4" s="94"/>
      <c r="B4" s="95"/>
      <c r="C4" s="95"/>
      <c r="D4" s="95"/>
      <c r="E4" s="95"/>
      <c r="F4" s="95"/>
      <c r="G4" s="95"/>
      <c r="H4" s="95"/>
      <c r="I4" s="96"/>
      <c r="J4" s="96"/>
      <c r="K4" s="96"/>
      <c r="L4" s="97"/>
      <c r="M4" s="97"/>
      <c r="N4" s="97"/>
      <c r="O4" s="97"/>
      <c r="AN4" s="98"/>
      <c r="AO4" s="98"/>
      <c r="AP4" s="98"/>
      <c r="AQ4" s="98"/>
      <c r="AR4" s="77"/>
      <c r="AS4" s="77"/>
      <c r="AT4" s="77"/>
      <c r="AU4" s="77"/>
      <c r="AV4" s="77"/>
      <c r="AW4" s="96"/>
      <c r="AX4" s="96"/>
      <c r="AY4" s="96"/>
      <c r="AZ4" s="77"/>
      <c r="BA4" s="77"/>
      <c r="BB4" s="99"/>
    </row>
    <row r="5" spans="1:57" ht="13.5" customHeight="1">
      <c r="A5" s="94"/>
      <c r="B5" s="95"/>
      <c r="C5" s="95"/>
      <c r="D5" s="95"/>
      <c r="E5" s="95"/>
      <c r="F5" s="95"/>
      <c r="G5" s="95"/>
      <c r="H5" s="95"/>
      <c r="I5" s="96"/>
      <c r="J5" s="96"/>
      <c r="K5" s="96"/>
      <c r="L5" s="97"/>
      <c r="M5" s="97"/>
      <c r="N5" s="97"/>
      <c r="O5" s="97"/>
      <c r="AN5" s="98"/>
      <c r="AO5" s="98"/>
      <c r="AP5" s="98"/>
      <c r="AQ5" s="98"/>
      <c r="AR5" s="77"/>
      <c r="AS5" s="77"/>
      <c r="AT5" s="77"/>
      <c r="AU5" s="77"/>
      <c r="AV5" s="77"/>
      <c r="AW5" s="96"/>
      <c r="AX5" s="96"/>
      <c r="AY5" s="96"/>
      <c r="AZ5" s="77"/>
      <c r="BA5" s="77"/>
      <c r="BB5" s="99"/>
    </row>
    <row r="6" spans="1:57" ht="13.5" customHeight="1">
      <c r="A6" s="94"/>
      <c r="B6" s="95"/>
      <c r="C6" s="95"/>
      <c r="D6" s="95"/>
      <c r="E6" s="95"/>
      <c r="F6" s="95"/>
      <c r="G6" s="95"/>
      <c r="H6" s="95"/>
      <c r="I6" s="96"/>
      <c r="J6" s="96"/>
      <c r="K6" s="96"/>
      <c r="L6" s="97"/>
      <c r="M6" s="97"/>
      <c r="N6" s="97"/>
      <c r="O6" s="97"/>
      <c r="AN6" s="98"/>
      <c r="AO6" s="98"/>
      <c r="AP6" s="98"/>
      <c r="AQ6" s="98"/>
      <c r="AR6" s="77"/>
      <c r="AS6" s="77"/>
      <c r="AT6" s="77"/>
      <c r="AU6" s="77"/>
      <c r="AV6" s="77"/>
      <c r="AW6" s="96"/>
      <c r="AX6" s="96"/>
      <c r="AY6" s="96"/>
      <c r="AZ6" s="77"/>
      <c r="BA6" s="77"/>
      <c r="BB6" s="99"/>
    </row>
    <row r="7" spans="1:57" ht="13.5" customHeight="1">
      <c r="A7" s="94"/>
      <c r="B7" s="95"/>
      <c r="C7" s="95"/>
      <c r="D7" s="95"/>
      <c r="E7" s="95"/>
      <c r="F7" s="95"/>
      <c r="G7" s="95"/>
      <c r="H7" s="95"/>
      <c r="I7" s="96"/>
      <c r="J7" s="96"/>
      <c r="K7" s="96"/>
      <c r="L7" s="97"/>
      <c r="M7" s="97"/>
      <c r="N7" s="97"/>
      <c r="O7" s="97"/>
      <c r="AN7" s="98"/>
      <c r="AO7" s="98"/>
      <c r="AP7" s="98"/>
      <c r="AQ7" s="98"/>
      <c r="AR7" s="77"/>
      <c r="AS7" s="77"/>
      <c r="AT7" s="77"/>
      <c r="AU7" s="77"/>
      <c r="AV7" s="77"/>
      <c r="AW7" s="96"/>
      <c r="AX7" s="96"/>
      <c r="AY7" s="96"/>
      <c r="AZ7" s="77"/>
      <c r="BA7" s="77"/>
      <c r="BB7" s="99"/>
    </row>
    <row r="8" spans="1:57" ht="13.5" customHeight="1">
      <c r="A8" s="94"/>
      <c r="B8" s="95"/>
      <c r="C8" s="95"/>
      <c r="D8" s="95"/>
      <c r="E8" s="95"/>
      <c r="F8" s="95"/>
      <c r="G8" s="95"/>
      <c r="H8" s="95"/>
      <c r="I8" s="96"/>
      <c r="J8" s="96"/>
      <c r="K8" s="96"/>
      <c r="L8" s="97"/>
      <c r="M8" s="97"/>
      <c r="N8" s="97"/>
      <c r="O8" s="97"/>
      <c r="P8" s="320" t="s">
        <v>491</v>
      </c>
      <c r="Q8" s="321"/>
      <c r="R8" s="321"/>
      <c r="S8" s="321"/>
      <c r="T8" s="321"/>
      <c r="U8" s="321"/>
      <c r="V8" s="321"/>
      <c r="W8" s="321"/>
      <c r="X8" s="321"/>
      <c r="Y8" s="321"/>
      <c r="Z8" s="321"/>
      <c r="AA8" s="321"/>
      <c r="AB8" s="321"/>
      <c r="AC8" s="321"/>
      <c r="AD8" s="321"/>
      <c r="AE8" s="321"/>
      <c r="AF8" s="321"/>
      <c r="AG8" s="321"/>
      <c r="AH8" s="321"/>
      <c r="AI8" s="321"/>
      <c r="AJ8" s="321"/>
      <c r="AK8" s="321"/>
      <c r="AL8" s="321"/>
      <c r="AM8" s="321"/>
      <c r="AP8" s="98"/>
      <c r="AQ8" s="98"/>
      <c r="AR8" s="77"/>
      <c r="AS8" s="77"/>
      <c r="AT8" s="77"/>
      <c r="AU8" s="77"/>
      <c r="AV8" s="77"/>
      <c r="AW8" s="96"/>
      <c r="AX8" s="96"/>
      <c r="AY8" s="96"/>
      <c r="AZ8" s="77"/>
      <c r="BA8" s="77"/>
      <c r="BB8" s="99"/>
    </row>
    <row r="9" spans="1:57" ht="13.5" customHeight="1">
      <c r="A9" s="94"/>
      <c r="B9" s="95"/>
      <c r="C9" s="95"/>
      <c r="D9" s="95"/>
      <c r="E9" s="95"/>
      <c r="F9" s="95"/>
      <c r="G9" s="95"/>
      <c r="H9" s="95"/>
      <c r="I9" s="96"/>
      <c r="J9" s="96"/>
      <c r="K9" s="96"/>
      <c r="L9" s="97"/>
      <c r="M9" s="97"/>
      <c r="N9" s="97"/>
      <c r="O9" s="97"/>
      <c r="P9" s="321"/>
      <c r="Q9" s="321"/>
      <c r="R9" s="321"/>
      <c r="S9" s="321"/>
      <c r="T9" s="321"/>
      <c r="U9" s="321"/>
      <c r="V9" s="321"/>
      <c r="W9" s="321"/>
      <c r="X9" s="321"/>
      <c r="Y9" s="321"/>
      <c r="Z9" s="321"/>
      <c r="AA9" s="321"/>
      <c r="AB9" s="321"/>
      <c r="AC9" s="321"/>
      <c r="AD9" s="321"/>
      <c r="AE9" s="321"/>
      <c r="AF9" s="321"/>
      <c r="AG9" s="321"/>
      <c r="AH9" s="321"/>
      <c r="AI9" s="321"/>
      <c r="AJ9" s="321"/>
      <c r="AK9" s="321"/>
      <c r="AL9" s="321"/>
      <c r="AM9" s="321"/>
      <c r="AP9" s="98"/>
      <c r="AQ9" s="98"/>
      <c r="AR9" s="77"/>
      <c r="AS9" s="77"/>
      <c r="AT9" s="77"/>
      <c r="AU9" s="77"/>
      <c r="AV9" s="77"/>
      <c r="AW9" s="96"/>
      <c r="AX9" s="96"/>
      <c r="AY9" s="96"/>
      <c r="AZ9" s="77"/>
      <c r="BA9" s="77"/>
      <c r="BB9" s="99"/>
    </row>
    <row r="10" spans="1:57" ht="13.5" customHeight="1" thickBot="1">
      <c r="A10" s="100"/>
      <c r="B10" s="77"/>
      <c r="C10" s="77"/>
      <c r="D10" s="77"/>
      <c r="E10" s="77"/>
      <c r="F10" s="77"/>
      <c r="G10" s="77"/>
      <c r="H10" s="98"/>
      <c r="I10" s="98"/>
      <c r="J10" s="98"/>
      <c r="K10" s="98"/>
      <c r="L10" s="98"/>
      <c r="M10" s="77"/>
      <c r="N10" s="77"/>
      <c r="O10" s="77"/>
      <c r="P10" s="322"/>
      <c r="Q10" s="322"/>
      <c r="R10" s="322"/>
      <c r="S10" s="322"/>
      <c r="T10" s="322"/>
      <c r="U10" s="322"/>
      <c r="V10" s="322"/>
      <c r="W10" s="322"/>
      <c r="X10" s="322"/>
      <c r="Y10" s="322"/>
      <c r="Z10" s="322"/>
      <c r="AA10" s="322"/>
      <c r="AB10" s="322"/>
      <c r="AC10" s="322"/>
      <c r="AD10" s="322"/>
      <c r="AE10" s="322"/>
      <c r="AF10" s="322"/>
      <c r="AG10" s="322"/>
      <c r="AH10" s="322"/>
      <c r="AI10" s="322"/>
      <c r="AJ10" s="322"/>
      <c r="AK10" s="322"/>
      <c r="AL10" s="322"/>
      <c r="AM10" s="322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99"/>
    </row>
    <row r="11" spans="1:57" ht="13.5" customHeight="1" thickTop="1">
      <c r="A11" s="100"/>
      <c r="B11" s="77"/>
      <c r="C11" s="77"/>
      <c r="D11" s="77"/>
      <c r="E11" s="77"/>
      <c r="F11" s="77"/>
      <c r="G11" s="77"/>
      <c r="H11" s="98"/>
      <c r="I11" s="98"/>
      <c r="J11" s="98"/>
      <c r="K11" s="98"/>
      <c r="L11" s="98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99"/>
    </row>
    <row r="12" spans="1:57" ht="13.5" customHeight="1">
      <c r="A12" s="100"/>
      <c r="B12" s="77"/>
      <c r="C12" s="77"/>
      <c r="D12" s="77"/>
      <c r="E12" s="77"/>
      <c r="F12" s="77"/>
      <c r="G12" s="77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77"/>
      <c r="AE12" s="77"/>
      <c r="AF12" s="77"/>
      <c r="AG12" s="101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77"/>
      <c r="AV12" s="77"/>
      <c r="AW12" s="77"/>
      <c r="AX12" s="77"/>
      <c r="AY12" s="77"/>
      <c r="AZ12" s="77"/>
      <c r="BA12" s="77"/>
      <c r="BB12" s="99"/>
    </row>
    <row r="13" spans="1:57" ht="13.5" customHeight="1">
      <c r="A13" s="102"/>
      <c r="B13" s="103"/>
      <c r="C13" s="103"/>
      <c r="D13" s="103"/>
      <c r="E13" s="103"/>
      <c r="F13" s="323" t="s">
        <v>492</v>
      </c>
      <c r="G13" s="324"/>
      <c r="H13" s="324"/>
      <c r="I13" s="324"/>
      <c r="J13" s="324"/>
      <c r="K13" s="324"/>
      <c r="L13" s="324"/>
      <c r="M13" s="324"/>
      <c r="N13" s="324"/>
      <c r="O13" s="324"/>
      <c r="P13" s="324"/>
      <c r="Q13" s="324"/>
      <c r="R13" s="324"/>
      <c r="S13" s="324"/>
      <c r="T13" s="324"/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324"/>
      <c r="AF13" s="324"/>
      <c r="AG13" s="324"/>
      <c r="AH13" s="324"/>
      <c r="AI13" s="324"/>
      <c r="AJ13" s="324"/>
      <c r="AK13" s="324"/>
      <c r="AL13" s="324"/>
      <c r="AM13" s="324"/>
      <c r="AN13" s="324"/>
      <c r="AO13" s="324"/>
      <c r="AP13" s="324"/>
      <c r="AQ13" s="324"/>
      <c r="AR13" s="324"/>
      <c r="AS13" s="324"/>
      <c r="AT13" s="324"/>
      <c r="AU13" s="324"/>
      <c r="AV13" s="324"/>
      <c r="AW13" s="324"/>
      <c r="AX13" s="96"/>
      <c r="AY13" s="98"/>
      <c r="AZ13" s="77"/>
      <c r="BA13" s="77"/>
      <c r="BB13" s="99"/>
    </row>
    <row r="14" spans="1:57" s="75" customFormat="1" ht="13.5" customHeight="1">
      <c r="A14" s="104"/>
      <c r="B14" s="105"/>
      <c r="C14" s="105"/>
      <c r="D14" s="105"/>
      <c r="E14" s="105"/>
      <c r="F14" s="324"/>
      <c r="G14" s="324"/>
      <c r="H14" s="324"/>
      <c r="I14" s="324"/>
      <c r="J14" s="324"/>
      <c r="K14" s="324"/>
      <c r="L14" s="324"/>
      <c r="M14" s="324"/>
      <c r="N14" s="324"/>
      <c r="O14" s="324"/>
      <c r="P14" s="324"/>
      <c r="Q14" s="324"/>
      <c r="R14" s="324"/>
      <c r="S14" s="324"/>
      <c r="T14" s="324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4"/>
      <c r="AF14" s="324"/>
      <c r="AG14" s="324"/>
      <c r="AH14" s="324"/>
      <c r="AI14" s="324"/>
      <c r="AJ14" s="324"/>
      <c r="AK14" s="324"/>
      <c r="AL14" s="324"/>
      <c r="AM14" s="324"/>
      <c r="AN14" s="324"/>
      <c r="AO14" s="324"/>
      <c r="AP14" s="324"/>
      <c r="AQ14" s="324"/>
      <c r="AR14" s="324"/>
      <c r="AS14" s="324"/>
      <c r="AT14" s="324"/>
      <c r="AU14" s="324"/>
      <c r="AV14" s="324"/>
      <c r="AW14" s="324"/>
      <c r="AX14" s="105"/>
      <c r="AY14" s="105"/>
      <c r="AZ14" s="105"/>
      <c r="BA14" s="105"/>
      <c r="BB14" s="106"/>
      <c r="BE14" s="78"/>
    </row>
    <row r="15" spans="1:57" ht="13.5" customHeight="1" thickBot="1">
      <c r="A15" s="100"/>
      <c r="B15" s="77"/>
      <c r="C15" s="77"/>
      <c r="D15" s="77"/>
      <c r="E15" s="77"/>
      <c r="F15" s="325"/>
      <c r="G15" s="325"/>
      <c r="H15" s="325"/>
      <c r="I15" s="325"/>
      <c r="J15" s="325"/>
      <c r="K15" s="325"/>
      <c r="L15" s="325"/>
      <c r="M15" s="325"/>
      <c r="N15" s="325"/>
      <c r="O15" s="325"/>
      <c r="P15" s="325"/>
      <c r="Q15" s="325"/>
      <c r="R15" s="325"/>
      <c r="S15" s="325"/>
      <c r="T15" s="325"/>
      <c r="U15" s="325"/>
      <c r="V15" s="325"/>
      <c r="W15" s="325"/>
      <c r="X15" s="325"/>
      <c r="Y15" s="325"/>
      <c r="Z15" s="325"/>
      <c r="AA15" s="325"/>
      <c r="AB15" s="325"/>
      <c r="AC15" s="325"/>
      <c r="AD15" s="325"/>
      <c r="AE15" s="325"/>
      <c r="AF15" s="325"/>
      <c r="AG15" s="325"/>
      <c r="AH15" s="325"/>
      <c r="AI15" s="325"/>
      <c r="AJ15" s="325"/>
      <c r="AK15" s="325"/>
      <c r="AL15" s="325"/>
      <c r="AM15" s="325"/>
      <c r="AN15" s="325"/>
      <c r="AO15" s="325"/>
      <c r="AP15" s="325"/>
      <c r="AQ15" s="325"/>
      <c r="AR15" s="325"/>
      <c r="AS15" s="325"/>
      <c r="AT15" s="325"/>
      <c r="AU15" s="325"/>
      <c r="AV15" s="325"/>
      <c r="AW15" s="325"/>
      <c r="AX15" s="77"/>
      <c r="AY15" s="77"/>
      <c r="AZ15" s="77"/>
      <c r="BA15" s="77"/>
      <c r="BB15" s="99"/>
    </row>
    <row r="16" spans="1:57" ht="13.5" customHeight="1" thickTop="1">
      <c r="A16" s="100"/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  <c r="AK16" s="98"/>
      <c r="AL16" s="98"/>
      <c r="AM16" s="98"/>
      <c r="AN16" s="77"/>
      <c r="AO16" s="77"/>
      <c r="AP16" s="77"/>
      <c r="AQ16" s="77"/>
      <c r="AR16" s="77"/>
      <c r="AS16" s="77"/>
      <c r="AT16" s="77"/>
      <c r="AU16" s="77"/>
      <c r="AV16" s="77"/>
      <c r="AW16" s="77"/>
      <c r="AX16" s="77"/>
      <c r="AY16" s="77"/>
      <c r="AZ16" s="77"/>
      <c r="BA16" s="77"/>
      <c r="BB16" s="99"/>
    </row>
    <row r="17" spans="1:60" ht="13.5" customHeight="1">
      <c r="A17" s="100"/>
      <c r="B17" s="77"/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  <c r="AK17" s="98"/>
      <c r="AL17" s="98"/>
      <c r="AM17" s="98"/>
      <c r="AN17" s="77"/>
      <c r="AO17" s="77"/>
      <c r="AP17" s="77"/>
      <c r="AQ17" s="77"/>
      <c r="AR17" s="77"/>
      <c r="AS17" s="77"/>
      <c r="AT17" s="77"/>
      <c r="AU17" s="77"/>
      <c r="AV17" s="77"/>
      <c r="AW17" s="77"/>
      <c r="AX17" s="77"/>
      <c r="AY17" s="77"/>
      <c r="AZ17" s="77"/>
      <c r="BA17" s="77"/>
      <c r="BB17" s="99"/>
    </row>
    <row r="18" spans="1:60" ht="13.5" customHeight="1">
      <c r="A18" s="100"/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  <c r="AK18" s="98"/>
      <c r="AL18" s="98"/>
      <c r="AM18" s="98"/>
      <c r="AN18" s="77"/>
      <c r="AO18" s="77"/>
      <c r="AP18" s="77"/>
      <c r="AQ18" s="77"/>
      <c r="AR18" s="77"/>
      <c r="AS18" s="77"/>
      <c r="AT18" s="77"/>
      <c r="AU18" s="77"/>
      <c r="AV18" s="77"/>
      <c r="AW18" s="77"/>
      <c r="AX18" s="77"/>
      <c r="AY18" s="77"/>
      <c r="AZ18" s="77"/>
      <c r="BA18" s="77"/>
      <c r="BB18" s="99"/>
    </row>
    <row r="19" spans="1:60" ht="13.5" customHeight="1">
      <c r="A19" s="100"/>
      <c r="B19" s="77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98"/>
      <c r="T19" s="98"/>
      <c r="U19" s="98"/>
      <c r="V19" s="98"/>
      <c r="W19" s="98"/>
      <c r="X19" s="98"/>
      <c r="Y19" s="98"/>
      <c r="Z19" s="98"/>
      <c r="AA19" s="98"/>
      <c r="AB19" s="98"/>
      <c r="AC19" s="98"/>
      <c r="AD19" s="98"/>
      <c r="AE19" s="98"/>
      <c r="AF19" s="98"/>
      <c r="AG19" s="98"/>
      <c r="AH19" s="98"/>
      <c r="AI19" s="98"/>
      <c r="AJ19" s="98"/>
      <c r="AK19" s="98"/>
      <c r="AL19" s="98"/>
      <c r="AM19" s="98"/>
      <c r="AN19" s="77"/>
      <c r="AO19" s="77"/>
      <c r="AP19" s="77"/>
      <c r="AQ19" s="77"/>
      <c r="AR19" s="77"/>
      <c r="AS19" s="77"/>
      <c r="AT19" s="77"/>
      <c r="AU19" s="77"/>
      <c r="AV19" s="77"/>
      <c r="AW19" s="77"/>
      <c r="AX19" s="77"/>
      <c r="AY19" s="77"/>
      <c r="AZ19" s="77"/>
      <c r="BA19" s="77"/>
      <c r="BB19" s="99"/>
    </row>
    <row r="20" spans="1:60" ht="13.5" customHeight="1">
      <c r="A20" s="100"/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98"/>
      <c r="T20" s="98"/>
      <c r="U20" s="98"/>
      <c r="V20" s="98"/>
      <c r="W20" s="98"/>
      <c r="X20" s="326">
        <f>MAX(変更履歴!$A$6:$C$49)</f>
        <v>0.01</v>
      </c>
      <c r="Y20" s="327"/>
      <c r="Z20" s="327"/>
      <c r="AA20" s="327"/>
      <c r="AB20" s="327"/>
      <c r="AC20" s="327"/>
      <c r="AD20" s="327"/>
      <c r="AE20" s="327"/>
      <c r="AF20" s="98"/>
      <c r="AG20" s="98"/>
      <c r="AH20" s="98"/>
      <c r="AI20" s="98"/>
      <c r="AJ20" s="98"/>
      <c r="AK20" s="98"/>
      <c r="AL20" s="98"/>
      <c r="AM20" s="98"/>
      <c r="AN20" s="77"/>
      <c r="AO20" s="77"/>
      <c r="AP20" s="77"/>
      <c r="AQ20" s="77"/>
      <c r="AR20" s="77"/>
      <c r="AS20" s="77"/>
      <c r="AT20" s="77"/>
      <c r="AU20" s="77"/>
      <c r="AV20" s="77"/>
      <c r="AW20" s="77"/>
      <c r="AX20" s="77"/>
      <c r="AY20" s="77"/>
      <c r="AZ20" s="77"/>
      <c r="BA20" s="77"/>
      <c r="BB20" s="99"/>
    </row>
    <row r="21" spans="1:60" ht="13.5" customHeight="1">
      <c r="A21" s="100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107"/>
      <c r="O21" s="77"/>
      <c r="P21" s="77"/>
      <c r="Q21" s="77"/>
      <c r="R21" s="77"/>
      <c r="S21" s="77"/>
      <c r="T21" s="77"/>
      <c r="U21" s="77"/>
      <c r="V21" s="77"/>
      <c r="W21" s="77"/>
      <c r="X21" s="327"/>
      <c r="Y21" s="327"/>
      <c r="Z21" s="327"/>
      <c r="AA21" s="327"/>
      <c r="AB21" s="327"/>
      <c r="AC21" s="327"/>
      <c r="AD21" s="327"/>
      <c r="AE21" s="327"/>
      <c r="AF21" s="77"/>
      <c r="AG21" s="77"/>
      <c r="AH21" s="77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  <c r="AW21" s="77"/>
      <c r="AX21" s="77"/>
      <c r="AY21" s="77"/>
      <c r="AZ21" s="77"/>
      <c r="BA21" s="77"/>
      <c r="BB21" s="99"/>
    </row>
    <row r="22" spans="1:60" ht="13.5" customHeight="1">
      <c r="A22" s="100"/>
      <c r="B22" s="77"/>
      <c r="C22" s="77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107"/>
      <c r="O22" s="77"/>
      <c r="P22" s="77"/>
      <c r="Q22" s="77"/>
      <c r="R22" s="77"/>
      <c r="S22" s="77"/>
      <c r="T22" s="77"/>
      <c r="U22" s="77"/>
      <c r="V22" s="77"/>
      <c r="W22" s="77"/>
      <c r="X22" s="108"/>
      <c r="Y22" s="108"/>
      <c r="Z22" s="108"/>
      <c r="AA22" s="108"/>
      <c r="AB22" s="108"/>
      <c r="AC22" s="108"/>
      <c r="AD22" s="108"/>
      <c r="AE22" s="108"/>
      <c r="AF22" s="77"/>
      <c r="AG22" s="77"/>
      <c r="AH22" s="77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  <c r="AW22" s="77"/>
      <c r="AX22" s="77"/>
      <c r="AY22" s="77"/>
      <c r="AZ22" s="77"/>
      <c r="BA22" s="77"/>
      <c r="BB22" s="99"/>
    </row>
    <row r="23" spans="1:60" ht="13.5" customHeight="1">
      <c r="A23" s="100"/>
      <c r="B23" s="77"/>
      <c r="C23" s="77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107"/>
      <c r="O23" s="77"/>
      <c r="P23" s="77"/>
      <c r="Q23" s="77"/>
      <c r="R23" s="77"/>
      <c r="S23" s="77"/>
      <c r="T23" s="77"/>
      <c r="U23" s="77"/>
      <c r="V23" s="77"/>
      <c r="W23" s="77"/>
      <c r="X23" s="108"/>
      <c r="Y23" s="108"/>
      <c r="Z23" s="108"/>
      <c r="AA23" s="108"/>
      <c r="AB23" s="108"/>
      <c r="AC23" s="108"/>
      <c r="AD23" s="108"/>
      <c r="AE23" s="108"/>
      <c r="AF23" s="77"/>
      <c r="AG23" s="77"/>
      <c r="AH23" s="77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  <c r="AW23" s="77"/>
      <c r="AX23" s="77"/>
      <c r="AY23" s="77"/>
      <c r="AZ23" s="77"/>
      <c r="BA23" s="77"/>
      <c r="BB23" s="99"/>
    </row>
    <row r="24" spans="1:60" ht="13.5" customHeight="1">
      <c r="A24" s="100"/>
      <c r="B24" s="77"/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109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77"/>
      <c r="AS24" s="77"/>
      <c r="AT24" s="77"/>
      <c r="AU24" s="77"/>
      <c r="AV24" s="77"/>
      <c r="AW24" s="77"/>
      <c r="AX24" s="77"/>
      <c r="AY24" s="77"/>
      <c r="AZ24" s="77"/>
      <c r="BA24" s="77"/>
      <c r="BB24" s="99"/>
    </row>
    <row r="25" spans="1:60" ht="13.5" customHeight="1">
      <c r="A25" s="100"/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328" t="s">
        <v>493</v>
      </c>
      <c r="O25" s="319"/>
      <c r="P25" s="319"/>
      <c r="Q25" s="319"/>
      <c r="R25" s="319"/>
      <c r="S25" s="319"/>
      <c r="T25" s="319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  <c r="AW25" s="77"/>
      <c r="AX25" s="77"/>
      <c r="AY25" s="77"/>
      <c r="AZ25" s="77"/>
      <c r="BA25" s="77"/>
      <c r="BB25" s="99"/>
    </row>
    <row r="26" spans="1:60" ht="13.5" customHeight="1">
      <c r="A26" s="100"/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319"/>
      <c r="O26" s="319"/>
      <c r="P26" s="319"/>
      <c r="Q26" s="319"/>
      <c r="R26" s="319"/>
      <c r="S26" s="319"/>
      <c r="T26" s="319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  <c r="AW26" s="77"/>
      <c r="AX26" s="77"/>
      <c r="AY26" s="77"/>
      <c r="AZ26" s="77"/>
      <c r="BA26" s="77"/>
      <c r="BB26" s="99"/>
    </row>
    <row r="27" spans="1:60" ht="13.5" customHeight="1">
      <c r="A27" s="100"/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329" t="str">
        <f>ProjectName</f>
        <v>○✕サイト構築プロジェクト</v>
      </c>
      <c r="O27" s="330"/>
      <c r="P27" s="330"/>
      <c r="Q27" s="330"/>
      <c r="R27" s="330"/>
      <c r="S27" s="330"/>
      <c r="T27" s="330"/>
      <c r="U27" s="330"/>
      <c r="V27" s="330"/>
      <c r="W27" s="330"/>
      <c r="X27" s="330"/>
      <c r="Y27" s="330"/>
      <c r="Z27" s="330"/>
      <c r="AA27" s="330"/>
      <c r="AB27" s="330"/>
      <c r="AC27" s="330"/>
      <c r="AD27" s="330"/>
      <c r="AE27" s="330"/>
      <c r="AF27" s="330"/>
      <c r="AG27" s="330"/>
      <c r="AH27" s="330"/>
      <c r="AI27" s="330"/>
      <c r="AJ27" s="330"/>
      <c r="AK27" s="330"/>
      <c r="AL27" s="330"/>
      <c r="AM27" s="330"/>
      <c r="AN27" s="330"/>
      <c r="AO27" s="330"/>
      <c r="AP27" s="330"/>
      <c r="AQ27" s="330"/>
      <c r="AR27" s="77"/>
      <c r="AS27" s="77"/>
      <c r="AT27" s="77"/>
      <c r="AU27" s="77"/>
      <c r="AV27" s="77"/>
      <c r="AW27" s="77"/>
      <c r="AX27" s="77"/>
      <c r="AY27" s="77"/>
      <c r="AZ27" s="77"/>
      <c r="BA27" s="77"/>
      <c r="BB27" s="99"/>
    </row>
    <row r="28" spans="1:60" ht="13.5" customHeight="1">
      <c r="A28" s="100"/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331"/>
      <c r="O28" s="331"/>
      <c r="P28" s="331"/>
      <c r="Q28" s="331"/>
      <c r="R28" s="331"/>
      <c r="S28" s="331"/>
      <c r="T28" s="331"/>
      <c r="U28" s="331"/>
      <c r="V28" s="331"/>
      <c r="W28" s="331"/>
      <c r="X28" s="331"/>
      <c r="Y28" s="331"/>
      <c r="Z28" s="331"/>
      <c r="AA28" s="331"/>
      <c r="AB28" s="331"/>
      <c r="AC28" s="331"/>
      <c r="AD28" s="331"/>
      <c r="AE28" s="331"/>
      <c r="AF28" s="331"/>
      <c r="AG28" s="331"/>
      <c r="AH28" s="331"/>
      <c r="AI28" s="331"/>
      <c r="AJ28" s="331"/>
      <c r="AK28" s="331"/>
      <c r="AL28" s="331"/>
      <c r="AM28" s="331"/>
      <c r="AN28" s="331"/>
      <c r="AO28" s="331"/>
      <c r="AP28" s="331"/>
      <c r="AQ28" s="331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99"/>
    </row>
    <row r="29" spans="1:60" ht="13.5" customHeight="1">
      <c r="A29" s="100"/>
      <c r="B29" s="77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317" t="s">
        <v>494</v>
      </c>
      <c r="O29" s="318"/>
      <c r="P29" s="318"/>
      <c r="Q29" s="318"/>
      <c r="R29" s="318"/>
      <c r="S29" s="318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  <c r="AW29" s="77"/>
      <c r="AX29" s="77"/>
      <c r="AY29" s="77"/>
      <c r="AZ29" s="77"/>
      <c r="BA29" s="77"/>
      <c r="BB29" s="99"/>
      <c r="BH29" s="78"/>
    </row>
    <row r="30" spans="1:60" ht="13.5" customHeight="1">
      <c r="A30" s="100"/>
      <c r="B30" s="77"/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319"/>
      <c r="O30" s="319"/>
      <c r="P30" s="319"/>
      <c r="Q30" s="319"/>
      <c r="R30" s="319"/>
      <c r="S30" s="319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  <c r="AW30" s="77"/>
      <c r="AX30" s="77"/>
      <c r="AY30" s="77"/>
      <c r="AZ30" s="77"/>
      <c r="BA30" s="77"/>
      <c r="BB30" s="99"/>
    </row>
    <row r="31" spans="1:60" ht="13.5" customHeight="1">
      <c r="A31" s="100"/>
      <c r="B31" s="77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329" t="str">
        <f>systemName</f>
        <v>○✕システム</v>
      </c>
      <c r="O31" s="330"/>
      <c r="P31" s="330"/>
      <c r="Q31" s="330"/>
      <c r="R31" s="330"/>
      <c r="S31" s="330"/>
      <c r="T31" s="330"/>
      <c r="U31" s="330"/>
      <c r="V31" s="330"/>
      <c r="W31" s="330"/>
      <c r="X31" s="330"/>
      <c r="Y31" s="330"/>
      <c r="Z31" s="330"/>
      <c r="AA31" s="330"/>
      <c r="AB31" s="330"/>
      <c r="AC31" s="330"/>
      <c r="AD31" s="330"/>
      <c r="AE31" s="330"/>
      <c r="AF31" s="330"/>
      <c r="AG31" s="330"/>
      <c r="AH31" s="330"/>
      <c r="AI31" s="330"/>
      <c r="AJ31" s="330"/>
      <c r="AK31" s="330"/>
      <c r="AL31" s="330"/>
      <c r="AM31" s="330"/>
      <c r="AN31" s="330"/>
      <c r="AO31" s="330"/>
      <c r="AP31" s="330"/>
      <c r="AQ31" s="330"/>
      <c r="AR31" s="77"/>
      <c r="AS31" s="77"/>
      <c r="AT31" s="77"/>
      <c r="AU31" s="77"/>
      <c r="BA31" s="77"/>
      <c r="BB31" s="99"/>
    </row>
    <row r="32" spans="1:60" ht="13.5" customHeight="1">
      <c r="A32" s="100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331"/>
      <c r="O32" s="331"/>
      <c r="P32" s="331"/>
      <c r="Q32" s="331"/>
      <c r="R32" s="331"/>
      <c r="S32" s="331"/>
      <c r="T32" s="331"/>
      <c r="U32" s="331"/>
      <c r="V32" s="331"/>
      <c r="W32" s="331"/>
      <c r="X32" s="331"/>
      <c r="Y32" s="331"/>
      <c r="Z32" s="331"/>
      <c r="AA32" s="331"/>
      <c r="AB32" s="331"/>
      <c r="AC32" s="331"/>
      <c r="AD32" s="331"/>
      <c r="AE32" s="331"/>
      <c r="AF32" s="331"/>
      <c r="AG32" s="331"/>
      <c r="AH32" s="331"/>
      <c r="AI32" s="331"/>
      <c r="AJ32" s="331"/>
      <c r="AK32" s="331"/>
      <c r="AL32" s="331"/>
      <c r="AM32" s="331"/>
      <c r="AN32" s="331"/>
      <c r="AO32" s="331"/>
      <c r="AP32" s="331"/>
      <c r="AQ32" s="331"/>
      <c r="AR32" s="77"/>
      <c r="AS32" s="77"/>
      <c r="AT32" s="77"/>
      <c r="AU32" s="77"/>
      <c r="BA32" s="77"/>
      <c r="BB32" s="99"/>
    </row>
    <row r="33" spans="1:54" ht="13.5" customHeight="1">
      <c r="A33" s="100"/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317" t="s">
        <v>495</v>
      </c>
      <c r="O33" s="318"/>
      <c r="P33" s="318"/>
      <c r="Q33" s="318"/>
      <c r="R33" s="318"/>
      <c r="S33" s="318"/>
      <c r="T33" s="318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BA33" s="77"/>
      <c r="BB33" s="99"/>
    </row>
    <row r="34" spans="1:54" ht="13.5" customHeight="1">
      <c r="A34" s="100"/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319"/>
      <c r="O34" s="319"/>
      <c r="P34" s="319"/>
      <c r="Q34" s="319"/>
      <c r="R34" s="319"/>
      <c r="S34" s="319"/>
      <c r="T34" s="319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BA34" s="77"/>
      <c r="BB34" s="99"/>
    </row>
    <row r="35" spans="1:54" ht="13.5" customHeight="1">
      <c r="A35" s="100"/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329" t="str">
        <f>subSystemName</f>
        <v>○△□サブシステム</v>
      </c>
      <c r="O35" s="330"/>
      <c r="P35" s="330"/>
      <c r="Q35" s="330"/>
      <c r="R35" s="330"/>
      <c r="S35" s="330"/>
      <c r="T35" s="330"/>
      <c r="U35" s="330"/>
      <c r="V35" s="330"/>
      <c r="W35" s="330"/>
      <c r="X35" s="330"/>
      <c r="Y35" s="330"/>
      <c r="Z35" s="330"/>
      <c r="AA35" s="330"/>
      <c r="AB35" s="330"/>
      <c r="AC35" s="330"/>
      <c r="AD35" s="330"/>
      <c r="AE35" s="330"/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77"/>
      <c r="AS35" s="77"/>
      <c r="AT35" s="77"/>
      <c r="AU35" s="77"/>
      <c r="BA35" s="77"/>
      <c r="BB35" s="99"/>
    </row>
    <row r="36" spans="1:54" ht="13.5" customHeight="1">
      <c r="A36" s="100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331"/>
      <c r="O36" s="331"/>
      <c r="P36" s="331"/>
      <c r="Q36" s="331"/>
      <c r="R36" s="331"/>
      <c r="S36" s="331"/>
      <c r="T36" s="331"/>
      <c r="U36" s="331"/>
      <c r="V36" s="331"/>
      <c r="W36" s="331"/>
      <c r="X36" s="331"/>
      <c r="Y36" s="331"/>
      <c r="Z36" s="331"/>
      <c r="AA36" s="331"/>
      <c r="AB36" s="331"/>
      <c r="AC36" s="331"/>
      <c r="AD36" s="331"/>
      <c r="AE36" s="331"/>
      <c r="AF36" s="331"/>
      <c r="AG36" s="331"/>
      <c r="AH36" s="331"/>
      <c r="AI36" s="331"/>
      <c r="AJ36" s="331"/>
      <c r="AK36" s="331"/>
      <c r="AL36" s="331"/>
      <c r="AM36" s="331"/>
      <c r="AN36" s="331"/>
      <c r="AO36" s="331"/>
      <c r="AP36" s="331"/>
      <c r="AQ36" s="331"/>
      <c r="AR36" s="77"/>
      <c r="AS36" s="77"/>
      <c r="AT36" s="77"/>
      <c r="AU36" s="77"/>
      <c r="BA36" s="77"/>
      <c r="BB36" s="99"/>
    </row>
    <row r="37" spans="1:54" ht="13.5" customHeight="1">
      <c r="A37" s="100"/>
      <c r="B37" s="77"/>
      <c r="C37" s="77"/>
      <c r="D37" s="77"/>
      <c r="E37" s="77"/>
      <c r="F37" s="77"/>
      <c r="G37" s="77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77"/>
      <c r="AE37" s="77"/>
      <c r="AF37" s="77"/>
      <c r="AG37" s="111"/>
      <c r="AH37" s="111"/>
      <c r="AI37" s="111"/>
      <c r="AJ37" s="111"/>
      <c r="AK37" s="111"/>
      <c r="AL37" s="111"/>
      <c r="AM37" s="111"/>
      <c r="AN37" s="111"/>
      <c r="AO37" s="112"/>
      <c r="AP37" s="112"/>
      <c r="AQ37" s="112"/>
      <c r="AR37" s="112"/>
      <c r="AS37" s="112"/>
      <c r="AT37" s="112"/>
      <c r="AU37" s="77"/>
      <c r="AV37" s="77"/>
      <c r="AW37" s="77"/>
      <c r="AX37" s="77"/>
      <c r="AY37" s="77"/>
      <c r="AZ37" s="77"/>
      <c r="BA37" s="77"/>
      <c r="BB37" s="99"/>
    </row>
    <row r="38" spans="1:54" ht="13.5" customHeight="1">
      <c r="A38" s="100"/>
      <c r="B38" s="77"/>
      <c r="C38" s="77"/>
      <c r="D38" s="77"/>
      <c r="E38" s="77"/>
      <c r="F38" s="77"/>
      <c r="G38" s="77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77"/>
      <c r="AE38" s="77"/>
      <c r="AF38" s="77"/>
      <c r="AG38" s="111"/>
      <c r="AH38" s="111"/>
      <c r="AI38" s="111"/>
      <c r="AJ38" s="111"/>
      <c r="AK38" s="111"/>
      <c r="AL38" s="111"/>
      <c r="AM38" s="111"/>
      <c r="AN38" s="111"/>
      <c r="AO38" s="112"/>
      <c r="AP38" s="112"/>
      <c r="AQ38" s="112"/>
      <c r="AR38" s="112"/>
      <c r="AS38" s="112"/>
      <c r="AT38" s="112"/>
      <c r="AU38" s="77"/>
      <c r="AV38" s="77"/>
      <c r="AW38" s="77"/>
      <c r="AX38" s="77"/>
      <c r="AY38" s="77"/>
      <c r="AZ38" s="77"/>
      <c r="BA38" s="77"/>
      <c r="BB38" s="99"/>
    </row>
    <row r="39" spans="1:54" ht="13.5" customHeight="1">
      <c r="A39" s="100"/>
      <c r="B39" s="77"/>
      <c r="C39" s="77"/>
      <c r="D39" s="77"/>
      <c r="E39" s="77"/>
      <c r="F39" s="77"/>
      <c r="G39" s="77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77"/>
      <c r="AE39" s="77"/>
      <c r="AF39" s="77"/>
      <c r="AG39" s="111"/>
      <c r="AH39" s="111"/>
      <c r="AI39" s="111"/>
      <c r="AJ39" s="111"/>
      <c r="AK39" s="111"/>
      <c r="AL39" s="111"/>
      <c r="AM39" s="111"/>
      <c r="AN39" s="111"/>
      <c r="AO39" s="112"/>
      <c r="AP39" s="112"/>
      <c r="AQ39" s="112"/>
      <c r="AR39" s="112"/>
      <c r="AS39" s="112"/>
      <c r="AT39" s="112"/>
      <c r="AU39" s="77"/>
      <c r="AV39" s="77"/>
      <c r="AW39" s="77"/>
      <c r="AX39" s="77"/>
      <c r="AY39" s="77"/>
      <c r="AZ39" s="77"/>
      <c r="BA39" s="77"/>
      <c r="BB39" s="99"/>
    </row>
    <row r="40" spans="1:54" ht="13.5" customHeight="1">
      <c r="A40" s="100"/>
      <c r="B40" s="77"/>
      <c r="C40" s="77"/>
      <c r="D40" s="77"/>
      <c r="E40" s="77"/>
      <c r="F40" s="77"/>
      <c r="G40" s="77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77"/>
      <c r="AE40" s="77"/>
      <c r="AF40" s="77"/>
      <c r="AG40" s="111"/>
      <c r="AH40" s="111"/>
      <c r="AI40" s="111"/>
      <c r="AJ40" s="111"/>
      <c r="AK40" s="111"/>
      <c r="AL40" s="111"/>
      <c r="AM40" s="111"/>
      <c r="AN40" s="111"/>
      <c r="AO40" s="112"/>
      <c r="AP40" s="112"/>
      <c r="AQ40" s="112"/>
      <c r="AR40" s="112"/>
      <c r="AS40" s="112"/>
      <c r="AT40" s="112"/>
      <c r="AU40" s="77"/>
      <c r="AV40" s="77"/>
      <c r="AW40" s="77"/>
      <c r="AX40" s="77"/>
      <c r="AY40" s="77"/>
      <c r="AZ40" s="77"/>
      <c r="BA40" s="77"/>
      <c r="BB40" s="99"/>
    </row>
    <row r="41" spans="1:54" ht="13.5" customHeight="1">
      <c r="A41" s="100"/>
      <c r="B41" s="77"/>
      <c r="C41" s="77"/>
      <c r="D41" s="77"/>
      <c r="E41" s="77"/>
      <c r="F41" s="77"/>
      <c r="G41" s="77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336" t="str">
        <f>CustomerName</f>
        <v>○○株式会社</v>
      </c>
      <c r="AH41" s="337"/>
      <c r="AI41" s="337"/>
      <c r="AJ41" s="337"/>
      <c r="AK41" s="338"/>
      <c r="AL41" s="336" t="s">
        <v>496</v>
      </c>
      <c r="AM41" s="337"/>
      <c r="AN41" s="337"/>
      <c r="AO41" s="337"/>
      <c r="AP41" s="337"/>
      <c r="AQ41" s="337"/>
      <c r="AR41" s="337"/>
      <c r="AS41" s="337"/>
      <c r="AT41" s="337"/>
      <c r="AU41" s="337"/>
      <c r="AV41" s="337"/>
      <c r="AW41" s="337"/>
      <c r="AX41" s="337"/>
      <c r="AY41" s="337"/>
      <c r="AZ41" s="338"/>
      <c r="BA41" s="77"/>
      <c r="BB41" s="99"/>
    </row>
    <row r="42" spans="1:54" ht="13.5" customHeight="1">
      <c r="A42" s="100"/>
      <c r="B42" s="77"/>
      <c r="C42" s="77"/>
      <c r="D42" s="77"/>
      <c r="E42" s="77"/>
      <c r="F42" s="77"/>
      <c r="G42" s="77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2"/>
      <c r="S42" s="112"/>
      <c r="T42" s="112"/>
      <c r="U42" s="112"/>
      <c r="V42" s="112"/>
      <c r="AB42" s="332"/>
      <c r="AC42" s="333"/>
      <c r="AD42" s="333"/>
      <c r="AE42" s="333"/>
      <c r="AF42" s="333"/>
      <c r="AG42" s="334" t="s">
        <v>497</v>
      </c>
      <c r="AH42" s="335"/>
      <c r="AI42" s="335"/>
      <c r="AJ42" s="335"/>
      <c r="AK42" s="335"/>
      <c r="AL42" s="334" t="s">
        <v>498</v>
      </c>
      <c r="AM42" s="335"/>
      <c r="AN42" s="335"/>
      <c r="AO42" s="335"/>
      <c r="AP42" s="335"/>
      <c r="AQ42" s="334" t="s">
        <v>499</v>
      </c>
      <c r="AR42" s="335"/>
      <c r="AS42" s="335"/>
      <c r="AT42" s="335"/>
      <c r="AU42" s="335"/>
      <c r="AV42" s="334" t="s">
        <v>2</v>
      </c>
      <c r="AW42" s="335"/>
      <c r="AX42" s="335"/>
      <c r="AY42" s="335"/>
      <c r="AZ42" s="335"/>
      <c r="BA42" s="77"/>
      <c r="BB42" s="99"/>
    </row>
    <row r="43" spans="1:54" ht="13.5" customHeight="1">
      <c r="A43" s="100"/>
      <c r="B43" s="77"/>
      <c r="C43" s="77"/>
      <c r="D43" s="77"/>
      <c r="E43" s="77"/>
      <c r="F43" s="77"/>
      <c r="G43" s="77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2"/>
      <c r="AB43" s="113"/>
      <c r="AC43" s="113"/>
      <c r="AD43" s="113"/>
      <c r="AE43" s="113"/>
      <c r="AF43" s="114"/>
      <c r="AG43" s="334"/>
      <c r="AH43" s="335"/>
      <c r="AI43" s="335"/>
      <c r="AJ43" s="335"/>
      <c r="AK43" s="335"/>
      <c r="AL43" s="334"/>
      <c r="AM43" s="335"/>
      <c r="AN43" s="335"/>
      <c r="AO43" s="335"/>
      <c r="AP43" s="335"/>
      <c r="AQ43" s="334"/>
      <c r="AR43" s="335"/>
      <c r="AS43" s="335"/>
      <c r="AT43" s="335"/>
      <c r="AU43" s="335"/>
      <c r="AV43" s="334"/>
      <c r="AW43" s="335"/>
      <c r="AX43" s="335"/>
      <c r="AY43" s="335"/>
      <c r="AZ43" s="335"/>
      <c r="BA43" s="77"/>
      <c r="BB43" s="99"/>
    </row>
    <row r="44" spans="1:54" ht="13.5" customHeight="1">
      <c r="A44" s="100"/>
      <c r="B44" s="77"/>
      <c r="C44" s="77"/>
      <c r="D44" s="77"/>
      <c r="E44" s="77"/>
      <c r="F44" s="77"/>
      <c r="G44" s="77"/>
      <c r="H44" s="111"/>
      <c r="I44" s="111"/>
      <c r="J44" s="111"/>
      <c r="K44" s="111"/>
      <c r="L44" s="111"/>
      <c r="M44" s="111"/>
      <c r="N44" s="111"/>
      <c r="O44" s="111"/>
      <c r="P44" s="111"/>
      <c r="Q44" s="111"/>
      <c r="R44" s="112"/>
      <c r="AB44" s="113"/>
      <c r="AC44" s="113"/>
      <c r="AD44" s="113"/>
      <c r="AE44" s="113"/>
      <c r="AF44" s="114"/>
      <c r="AG44" s="335"/>
      <c r="AH44" s="335"/>
      <c r="AI44" s="335"/>
      <c r="AJ44" s="335"/>
      <c r="AK44" s="335"/>
      <c r="AL44" s="335"/>
      <c r="AM44" s="335"/>
      <c r="AN44" s="335"/>
      <c r="AO44" s="335"/>
      <c r="AP44" s="335"/>
      <c r="AQ44" s="335"/>
      <c r="AR44" s="335"/>
      <c r="AS44" s="335"/>
      <c r="AT44" s="335"/>
      <c r="AU44" s="335"/>
      <c r="AV44" s="335"/>
      <c r="AW44" s="335"/>
      <c r="AX44" s="335"/>
      <c r="AY44" s="335"/>
      <c r="AZ44" s="335"/>
      <c r="BA44" s="77"/>
      <c r="BB44" s="99"/>
    </row>
    <row r="45" spans="1:54" ht="13.5" customHeight="1">
      <c r="A45" s="100"/>
      <c r="B45" s="77"/>
      <c r="C45" s="77"/>
      <c r="D45" s="77"/>
      <c r="E45" s="77"/>
      <c r="F45" s="77"/>
      <c r="G45" s="77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2"/>
      <c r="AB45" s="113"/>
      <c r="AC45" s="113"/>
      <c r="AD45" s="113"/>
      <c r="AE45" s="113"/>
      <c r="AF45" s="114"/>
      <c r="AG45" s="335"/>
      <c r="AH45" s="335"/>
      <c r="AI45" s="335"/>
      <c r="AJ45" s="335"/>
      <c r="AK45" s="335"/>
      <c r="AL45" s="335"/>
      <c r="AM45" s="335"/>
      <c r="AN45" s="335"/>
      <c r="AO45" s="335"/>
      <c r="AP45" s="335"/>
      <c r="AQ45" s="335"/>
      <c r="AR45" s="335"/>
      <c r="AS45" s="335"/>
      <c r="AT45" s="335"/>
      <c r="AU45" s="335"/>
      <c r="AV45" s="335"/>
      <c r="AW45" s="335"/>
      <c r="AX45" s="335"/>
      <c r="AY45" s="335"/>
      <c r="AZ45" s="335"/>
      <c r="BA45" s="77"/>
      <c r="BB45" s="99"/>
    </row>
    <row r="46" spans="1:54" ht="13.5" customHeight="1">
      <c r="A46" s="100"/>
      <c r="B46" s="77"/>
      <c r="C46" s="77"/>
      <c r="D46" s="77"/>
      <c r="E46" s="77"/>
      <c r="F46" s="77"/>
      <c r="G46" s="77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2"/>
      <c r="AB46" s="113"/>
      <c r="AC46" s="113"/>
      <c r="AD46" s="113"/>
      <c r="AE46" s="113"/>
      <c r="AF46" s="114"/>
      <c r="AG46" s="339"/>
      <c r="AH46" s="339"/>
      <c r="AI46" s="339"/>
      <c r="AJ46" s="339"/>
      <c r="AK46" s="339"/>
      <c r="AL46" s="339"/>
      <c r="AM46" s="339"/>
      <c r="AN46" s="339"/>
      <c r="AO46" s="339"/>
      <c r="AP46" s="339"/>
      <c r="AQ46" s="339"/>
      <c r="AR46" s="339"/>
      <c r="AS46" s="339"/>
      <c r="AT46" s="339"/>
      <c r="AU46" s="339"/>
      <c r="AV46" s="339"/>
      <c r="AW46" s="339"/>
      <c r="AX46" s="339"/>
      <c r="AY46" s="339"/>
      <c r="AZ46" s="339"/>
      <c r="BA46" s="77"/>
      <c r="BB46" s="99"/>
    </row>
    <row r="47" spans="1:54" ht="13.5" customHeight="1">
      <c r="A47" s="100"/>
      <c r="B47" s="77"/>
      <c r="C47" s="77"/>
      <c r="D47" s="77"/>
      <c r="E47" s="77"/>
      <c r="F47" s="77"/>
      <c r="G47" s="77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2"/>
      <c r="AB47" s="115"/>
      <c r="AC47" s="115"/>
      <c r="AD47" s="115"/>
      <c r="AE47" s="115"/>
      <c r="AF47" s="116"/>
      <c r="AG47" s="340"/>
      <c r="AH47" s="341"/>
      <c r="AI47" s="341"/>
      <c r="AJ47" s="341"/>
      <c r="AK47" s="342"/>
      <c r="AL47" s="340"/>
      <c r="AM47" s="341"/>
      <c r="AN47" s="341"/>
      <c r="AO47" s="341"/>
      <c r="AP47" s="342"/>
      <c r="AQ47" s="340"/>
      <c r="AR47" s="341"/>
      <c r="AS47" s="341"/>
      <c r="AT47" s="341"/>
      <c r="AU47" s="342"/>
      <c r="AV47" s="340"/>
      <c r="AW47" s="341"/>
      <c r="AX47" s="341"/>
      <c r="AY47" s="341"/>
      <c r="AZ47" s="342"/>
      <c r="BA47" s="77"/>
      <c r="BB47" s="99"/>
    </row>
    <row r="48" spans="1:54" ht="13.5" customHeight="1">
      <c r="A48" s="100"/>
      <c r="B48" s="77"/>
      <c r="C48" s="77"/>
      <c r="D48" s="77"/>
      <c r="E48" s="77"/>
      <c r="F48" s="77"/>
      <c r="G48" s="77"/>
      <c r="H48" s="78"/>
      <c r="I48" s="78"/>
      <c r="J48" s="78"/>
      <c r="K48" s="78"/>
      <c r="L48" s="77"/>
      <c r="M48" s="117"/>
      <c r="N48" s="97"/>
      <c r="O48" s="97"/>
      <c r="P48" s="97"/>
      <c r="Q48" s="117"/>
      <c r="R48" s="97"/>
      <c r="S48" s="97"/>
      <c r="T48" s="97"/>
      <c r="U48" s="98"/>
      <c r="V48" s="98"/>
      <c r="W48" s="98"/>
      <c r="X48" s="117"/>
      <c r="Y48" s="97"/>
      <c r="Z48" s="97"/>
      <c r="AA48" s="97"/>
      <c r="BA48" s="77"/>
      <c r="BB48" s="99"/>
    </row>
    <row r="49" spans="1:54" ht="13.5" customHeight="1">
      <c r="A49" s="100"/>
      <c r="B49" s="77"/>
      <c r="C49" s="77"/>
      <c r="D49" s="77"/>
      <c r="E49" s="77"/>
      <c r="F49" s="77"/>
      <c r="G49" s="77"/>
      <c r="H49" s="78"/>
      <c r="I49" s="78"/>
      <c r="J49" s="78"/>
      <c r="K49" s="78"/>
      <c r="L49" s="77"/>
      <c r="M49" s="117"/>
      <c r="N49" s="97"/>
      <c r="O49" s="97"/>
      <c r="P49" s="97"/>
      <c r="Q49" s="117"/>
      <c r="R49" s="97"/>
      <c r="S49" s="97"/>
      <c r="T49" s="97"/>
      <c r="U49" s="98"/>
      <c r="V49" s="98"/>
      <c r="W49" s="98"/>
      <c r="X49" s="117"/>
      <c r="Y49" s="97"/>
      <c r="Z49" s="97"/>
      <c r="AA49" s="97"/>
      <c r="BA49" s="77"/>
      <c r="BB49" s="99"/>
    </row>
    <row r="50" spans="1:54" ht="13.5" customHeight="1" thickBot="1">
      <c r="A50" s="118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  <c r="AA50" s="119"/>
      <c r="AB50" s="119"/>
      <c r="AC50" s="119"/>
      <c r="AD50" s="119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19"/>
      <c r="AQ50" s="119"/>
      <c r="AR50" s="119"/>
      <c r="AS50" s="119"/>
      <c r="AT50" s="119"/>
      <c r="AU50" s="119"/>
      <c r="AV50" s="119"/>
      <c r="AW50" s="119"/>
      <c r="AX50" s="119"/>
      <c r="AY50" s="119"/>
      <c r="AZ50" s="119"/>
      <c r="BA50" s="119"/>
      <c r="BB50" s="120"/>
    </row>
    <row r="52" spans="1:54" ht="13.5" customHeight="1"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F52" s="78"/>
      <c r="AG52" s="78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  <c r="AW52" s="78"/>
    </row>
    <row r="53" spans="1:54" ht="13.5" customHeight="1"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</row>
    <row r="54" spans="1:54" ht="13.5" customHeight="1"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  <c r="AD54" s="78"/>
      <c r="AE54" s="78"/>
      <c r="AF54" s="78"/>
      <c r="AG54" s="78"/>
      <c r="AH54" s="78"/>
      <c r="AI54" s="78"/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  <c r="AW54" s="78"/>
    </row>
    <row r="55" spans="1:54" ht="13.5" customHeight="1"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  <c r="AW55" s="78"/>
    </row>
    <row r="56" spans="1:54" ht="13.5" customHeight="1"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  <c r="AW56" s="78"/>
    </row>
    <row r="57" spans="1:54" ht="13.5" customHeight="1"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</row>
    <row r="58" spans="1:54" ht="13.5" customHeight="1"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  <c r="AF58" s="78"/>
      <c r="AG58" s="78"/>
      <c r="AH58" s="78"/>
      <c r="AI58" s="78"/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  <c r="AW58" s="78"/>
    </row>
  </sheetData>
  <mergeCells count="24">
    <mergeCell ref="AG43:AK46"/>
    <mergeCell ref="AL43:AP46"/>
    <mergeCell ref="AQ43:AU46"/>
    <mergeCell ref="AV43:AZ46"/>
    <mergeCell ref="AG47:AK47"/>
    <mergeCell ref="AL47:AP47"/>
    <mergeCell ref="AQ47:AU47"/>
    <mergeCell ref="AV47:AZ47"/>
    <mergeCell ref="N31:AQ32"/>
    <mergeCell ref="N33:T34"/>
    <mergeCell ref="N35:AQ36"/>
    <mergeCell ref="AG41:AK41"/>
    <mergeCell ref="AL41:AZ41"/>
    <mergeCell ref="AB42:AF42"/>
    <mergeCell ref="AG42:AK42"/>
    <mergeCell ref="AL42:AP42"/>
    <mergeCell ref="AQ42:AU42"/>
    <mergeCell ref="AV42:AZ42"/>
    <mergeCell ref="N29:S30"/>
    <mergeCell ref="P8:AM10"/>
    <mergeCell ref="F13:AW15"/>
    <mergeCell ref="X20:AE21"/>
    <mergeCell ref="N25:T26"/>
    <mergeCell ref="N27:AQ28"/>
  </mergeCells>
  <phoneticPr fontId="8"/>
  <printOptions horizontalCentered="1" verticalCentered="1"/>
  <pageMargins left="0.39370078740157499" right="0.39370078740157499" top="0.39370078740157499" bottom="0.47244094488189003" header="0.31496062992126" footer="0.196850393700787"/>
  <pageSetup paperSize="9" scale="78" orientation="landscape" r:id="rId1"/>
  <headerFooter alignWithMargins="0"/>
  <colBreaks count="1" manualBreakCount="1">
    <brk id="55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B49"/>
  <sheetViews>
    <sheetView showGridLines="0" zoomScaleNormal="100" zoomScaleSheetLayoutView="85" workbookViewId="0">
      <pane ySplit="5" topLeftCell="A6" activePane="bottomLeft" state="frozen"/>
      <selection pane="bottomLeft" activeCell="A6" sqref="A6:C6"/>
    </sheetView>
  </sheetViews>
  <sheetFormatPr defaultColWidth="3.5703125" defaultRowHeight="13.5" customHeight="1"/>
  <cols>
    <col min="1" max="12" width="3.5703125" style="75"/>
    <col min="13" max="13" width="3.5703125" style="75" customWidth="1"/>
    <col min="14" max="16384" width="3.5703125" style="75"/>
  </cols>
  <sheetData>
    <row r="1" spans="1:54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表紙!N27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tr">
        <f>CreateBy</f>
        <v>○○　✕✕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f>CreateAt</f>
        <v>44287</v>
      </c>
      <c r="AY1" s="263"/>
      <c r="AZ1" s="263"/>
      <c r="BA1" s="263"/>
      <c r="BB1" s="264"/>
    </row>
    <row r="2" spans="1:54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表紙!N31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表紙!N35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</row>
    <row r="3" spans="1:54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tr">
        <f>表紙!F13</f>
        <v>データベース設計書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tr">
        <f ca="1">RIGHT(CELL("filename",A2),LEN(CELL("filename",A2))-FIND("]",CELL("filename",A2)))</f>
        <v>変更履歴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</row>
    <row r="4" spans="1:54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54" ht="13.5" customHeight="1">
      <c r="A5" s="161" t="s">
        <v>500</v>
      </c>
      <c r="B5" s="162"/>
      <c r="C5" s="163"/>
      <c r="D5" s="164" t="s">
        <v>501</v>
      </c>
      <c r="E5" s="164"/>
      <c r="F5" s="165"/>
      <c r="G5" s="166" t="s">
        <v>502</v>
      </c>
      <c r="H5" s="162"/>
      <c r="I5" s="163"/>
      <c r="J5" s="166" t="s">
        <v>503</v>
      </c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3"/>
      <c r="AD5" s="166" t="s">
        <v>504</v>
      </c>
      <c r="AE5" s="167"/>
      <c r="AF5" s="167"/>
      <c r="AG5" s="167"/>
      <c r="AH5" s="167"/>
      <c r="AI5" s="167"/>
      <c r="AJ5" s="167"/>
      <c r="AK5" s="167"/>
      <c r="AL5" s="167"/>
      <c r="AM5" s="167"/>
      <c r="AN5" s="167"/>
      <c r="AO5" s="167"/>
      <c r="AP5" s="168"/>
      <c r="AQ5" s="166" t="s">
        <v>505</v>
      </c>
      <c r="AR5" s="167"/>
      <c r="AS5" s="167"/>
      <c r="AT5" s="167"/>
      <c r="AU5" s="167"/>
      <c r="AV5" s="167"/>
      <c r="AW5" s="167"/>
      <c r="AX5" s="167"/>
      <c r="AY5" s="167"/>
      <c r="AZ5" s="167"/>
      <c r="BA5" s="167"/>
      <c r="BB5" s="169"/>
    </row>
    <row r="6" spans="1:54" ht="15" customHeight="1">
      <c r="A6" s="346">
        <v>0.01</v>
      </c>
      <c r="B6" s="347"/>
      <c r="C6" s="348"/>
      <c r="D6" s="352">
        <f>CreateAt</f>
        <v>44287</v>
      </c>
      <c r="E6" s="353"/>
      <c r="F6" s="354"/>
      <c r="G6" s="358" t="str">
        <f>CreateBy</f>
        <v>○○　✕✕</v>
      </c>
      <c r="H6" s="359"/>
      <c r="I6" s="360"/>
      <c r="J6" s="372"/>
      <c r="K6" s="373"/>
      <c r="L6" s="373"/>
      <c r="M6" s="373"/>
      <c r="N6" s="373"/>
      <c r="O6" s="373"/>
      <c r="P6" s="373"/>
      <c r="Q6" s="373"/>
      <c r="R6" s="373"/>
      <c r="S6" s="373"/>
      <c r="T6" s="373"/>
      <c r="U6" s="373"/>
      <c r="V6" s="373"/>
      <c r="W6" s="373"/>
      <c r="X6" s="373"/>
      <c r="Y6" s="373"/>
      <c r="Z6" s="373"/>
      <c r="AA6" s="373"/>
      <c r="AB6" s="373"/>
      <c r="AC6" s="374"/>
      <c r="AD6" s="372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4"/>
      <c r="AQ6" s="372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81"/>
    </row>
    <row r="7" spans="1:54" ht="15" customHeight="1">
      <c r="A7" s="349"/>
      <c r="B7" s="350"/>
      <c r="C7" s="351"/>
      <c r="D7" s="355"/>
      <c r="E7" s="356"/>
      <c r="F7" s="357"/>
      <c r="G7" s="361"/>
      <c r="H7" s="350"/>
      <c r="I7" s="351"/>
      <c r="J7" s="375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7"/>
      <c r="AD7" s="368"/>
      <c r="AE7" s="369"/>
      <c r="AF7" s="369"/>
      <c r="AG7" s="369"/>
      <c r="AH7" s="369"/>
      <c r="AI7" s="369"/>
      <c r="AJ7" s="369"/>
      <c r="AK7" s="369"/>
      <c r="AL7" s="369"/>
      <c r="AM7" s="369"/>
      <c r="AN7" s="369"/>
      <c r="AO7" s="369"/>
      <c r="AP7" s="370"/>
      <c r="AQ7" s="368"/>
      <c r="AR7" s="369"/>
      <c r="AS7" s="369"/>
      <c r="AT7" s="369"/>
      <c r="AU7" s="369"/>
      <c r="AV7" s="369"/>
      <c r="AW7" s="369"/>
      <c r="AX7" s="369"/>
      <c r="AY7" s="369"/>
      <c r="AZ7" s="369"/>
      <c r="BA7" s="369"/>
      <c r="BB7" s="382"/>
    </row>
    <row r="8" spans="1:54" ht="13.5" customHeight="1">
      <c r="A8" s="349"/>
      <c r="B8" s="350"/>
      <c r="C8" s="351"/>
      <c r="D8" s="355"/>
      <c r="E8" s="356"/>
      <c r="F8" s="357"/>
      <c r="G8" s="361"/>
      <c r="H8" s="350"/>
      <c r="I8" s="351"/>
      <c r="J8" s="375"/>
      <c r="K8" s="376"/>
      <c r="L8" s="376"/>
      <c r="M8" s="376"/>
      <c r="N8" s="376"/>
      <c r="O8" s="376"/>
      <c r="P8" s="376"/>
      <c r="Q8" s="376"/>
      <c r="R8" s="376"/>
      <c r="S8" s="376"/>
      <c r="T8" s="376"/>
      <c r="U8" s="376"/>
      <c r="V8" s="376"/>
      <c r="W8" s="376"/>
      <c r="X8" s="376"/>
      <c r="Y8" s="376"/>
      <c r="Z8" s="376"/>
      <c r="AA8" s="376"/>
      <c r="AB8" s="376"/>
      <c r="AC8" s="377"/>
      <c r="AD8" s="368"/>
      <c r="AE8" s="369"/>
      <c r="AF8" s="369"/>
      <c r="AG8" s="369"/>
      <c r="AH8" s="369"/>
      <c r="AI8" s="369"/>
      <c r="AJ8" s="369"/>
      <c r="AK8" s="369"/>
      <c r="AL8" s="369"/>
      <c r="AM8" s="369"/>
      <c r="AN8" s="369"/>
      <c r="AO8" s="369"/>
      <c r="AP8" s="370"/>
      <c r="AQ8" s="368"/>
      <c r="AR8" s="369"/>
      <c r="AS8" s="369"/>
      <c r="AT8" s="369"/>
      <c r="AU8" s="369"/>
      <c r="AV8" s="369"/>
      <c r="AW8" s="369"/>
      <c r="AX8" s="369"/>
      <c r="AY8" s="369"/>
      <c r="AZ8" s="369"/>
      <c r="BA8" s="369"/>
      <c r="BB8" s="382"/>
    </row>
    <row r="9" spans="1:54" ht="13.5" customHeight="1">
      <c r="A9" s="349"/>
      <c r="B9" s="350"/>
      <c r="C9" s="351"/>
      <c r="D9" s="355"/>
      <c r="E9" s="356"/>
      <c r="F9" s="357"/>
      <c r="G9" s="361"/>
      <c r="H9" s="350"/>
      <c r="I9" s="351"/>
      <c r="J9" s="343"/>
      <c r="K9" s="344"/>
      <c r="L9" s="344"/>
      <c r="M9" s="344"/>
      <c r="N9" s="344"/>
      <c r="O9" s="344"/>
      <c r="P9" s="344"/>
      <c r="Q9" s="344"/>
      <c r="R9" s="344"/>
      <c r="S9" s="344"/>
      <c r="T9" s="344"/>
      <c r="U9" s="344"/>
      <c r="V9" s="344"/>
      <c r="W9" s="344"/>
      <c r="X9" s="344"/>
      <c r="Y9" s="344"/>
      <c r="Z9" s="344"/>
      <c r="AA9" s="344"/>
      <c r="AB9" s="344"/>
      <c r="AC9" s="345"/>
      <c r="AD9" s="368"/>
      <c r="AE9" s="369"/>
      <c r="AF9" s="369"/>
      <c r="AG9" s="369"/>
      <c r="AH9" s="369"/>
      <c r="AI9" s="369"/>
      <c r="AJ9" s="369"/>
      <c r="AK9" s="369"/>
      <c r="AL9" s="369"/>
      <c r="AM9" s="369"/>
      <c r="AN9" s="369"/>
      <c r="AO9" s="369"/>
      <c r="AP9" s="370"/>
      <c r="AQ9" s="368"/>
      <c r="AR9" s="369"/>
      <c r="AS9" s="369"/>
      <c r="AT9" s="369"/>
      <c r="AU9" s="369"/>
      <c r="AV9" s="369"/>
      <c r="AW9" s="369"/>
      <c r="AX9" s="369"/>
      <c r="AY9" s="369"/>
      <c r="AZ9" s="369"/>
      <c r="BA9" s="369"/>
      <c r="BB9" s="382"/>
    </row>
    <row r="10" spans="1:54" ht="13.5" customHeight="1">
      <c r="A10" s="349"/>
      <c r="B10" s="350"/>
      <c r="C10" s="351"/>
      <c r="D10" s="355"/>
      <c r="E10" s="356"/>
      <c r="F10" s="357"/>
      <c r="G10" s="361"/>
      <c r="H10" s="350"/>
      <c r="I10" s="351"/>
      <c r="J10" s="343"/>
      <c r="K10" s="344"/>
      <c r="L10" s="344"/>
      <c r="M10" s="344"/>
      <c r="N10" s="344"/>
      <c r="O10" s="344"/>
      <c r="P10" s="344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345"/>
      <c r="AD10" s="368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70"/>
      <c r="AQ10" s="368"/>
      <c r="AR10" s="369"/>
      <c r="AS10" s="369"/>
      <c r="AT10" s="369"/>
      <c r="AU10" s="369"/>
      <c r="AV10" s="369"/>
      <c r="AW10" s="369"/>
      <c r="AX10" s="369"/>
      <c r="AY10" s="369"/>
      <c r="AZ10" s="369"/>
      <c r="BA10" s="369"/>
      <c r="BB10" s="382"/>
    </row>
    <row r="11" spans="1:54" ht="13.5" customHeight="1">
      <c r="A11" s="349"/>
      <c r="B11" s="350"/>
      <c r="C11" s="351"/>
      <c r="D11" s="355"/>
      <c r="E11" s="356"/>
      <c r="F11" s="357"/>
      <c r="G11" s="361"/>
      <c r="H11" s="350"/>
      <c r="I11" s="351"/>
      <c r="J11" s="343"/>
      <c r="K11" s="344"/>
      <c r="L11" s="344"/>
      <c r="M11" s="344"/>
      <c r="N11" s="344"/>
      <c r="O11" s="344"/>
      <c r="P11" s="344"/>
      <c r="Q11" s="344"/>
      <c r="R11" s="344"/>
      <c r="S11" s="344"/>
      <c r="T11" s="344"/>
      <c r="U11" s="344"/>
      <c r="V11" s="344"/>
      <c r="W11" s="344"/>
      <c r="X11" s="344"/>
      <c r="Y11" s="344"/>
      <c r="Z11" s="344"/>
      <c r="AA11" s="344"/>
      <c r="AB11" s="344"/>
      <c r="AC11" s="345"/>
      <c r="AD11" s="368"/>
      <c r="AE11" s="369"/>
      <c r="AF11" s="369"/>
      <c r="AG11" s="369"/>
      <c r="AH11" s="369"/>
      <c r="AI11" s="369"/>
      <c r="AJ11" s="369"/>
      <c r="AK11" s="369"/>
      <c r="AL11" s="369"/>
      <c r="AM11" s="369"/>
      <c r="AN11" s="369"/>
      <c r="AO11" s="369"/>
      <c r="AP11" s="370"/>
      <c r="AQ11" s="368"/>
      <c r="AR11" s="369"/>
      <c r="AS11" s="369"/>
      <c r="AT11" s="369"/>
      <c r="AU11" s="369"/>
      <c r="AV11" s="369"/>
      <c r="AW11" s="369"/>
      <c r="AX11" s="369"/>
      <c r="AY11" s="369"/>
      <c r="AZ11" s="369"/>
      <c r="BA11" s="369"/>
      <c r="BB11" s="382"/>
    </row>
    <row r="12" spans="1:54" ht="13.5" customHeight="1">
      <c r="A12" s="349"/>
      <c r="B12" s="350"/>
      <c r="C12" s="351"/>
      <c r="D12" s="355"/>
      <c r="E12" s="356"/>
      <c r="F12" s="357"/>
      <c r="G12" s="361"/>
      <c r="H12" s="350"/>
      <c r="I12" s="351"/>
      <c r="J12" s="343"/>
      <c r="K12" s="344"/>
      <c r="L12" s="344"/>
      <c r="M12" s="344"/>
      <c r="N12" s="344"/>
      <c r="O12" s="344"/>
      <c r="P12" s="344"/>
      <c r="Q12" s="344"/>
      <c r="R12" s="344"/>
      <c r="S12" s="344"/>
      <c r="T12" s="344"/>
      <c r="U12" s="344"/>
      <c r="V12" s="344"/>
      <c r="W12" s="344"/>
      <c r="X12" s="344"/>
      <c r="Y12" s="344"/>
      <c r="Z12" s="344"/>
      <c r="AA12" s="344"/>
      <c r="AB12" s="344"/>
      <c r="AC12" s="345"/>
      <c r="AD12" s="368"/>
      <c r="AE12" s="369"/>
      <c r="AF12" s="369"/>
      <c r="AG12" s="369"/>
      <c r="AH12" s="369"/>
      <c r="AI12" s="369"/>
      <c r="AJ12" s="369"/>
      <c r="AK12" s="369"/>
      <c r="AL12" s="369"/>
      <c r="AM12" s="369"/>
      <c r="AN12" s="369"/>
      <c r="AO12" s="369"/>
      <c r="AP12" s="370"/>
      <c r="AQ12" s="368"/>
      <c r="AR12" s="369"/>
      <c r="AS12" s="369"/>
      <c r="AT12" s="369"/>
      <c r="AU12" s="369"/>
      <c r="AV12" s="369"/>
      <c r="AW12" s="369"/>
      <c r="AX12" s="369"/>
      <c r="AY12" s="369"/>
      <c r="AZ12" s="369"/>
      <c r="BA12" s="369"/>
      <c r="BB12" s="382"/>
    </row>
    <row r="13" spans="1:54" ht="13.5" customHeight="1">
      <c r="A13" s="349"/>
      <c r="B13" s="350"/>
      <c r="C13" s="351"/>
      <c r="D13" s="355"/>
      <c r="E13" s="356"/>
      <c r="F13" s="357"/>
      <c r="G13" s="361"/>
      <c r="H13" s="350"/>
      <c r="I13" s="351"/>
      <c r="J13" s="343"/>
      <c r="K13" s="344"/>
      <c r="L13" s="344"/>
      <c r="M13" s="344"/>
      <c r="N13" s="344"/>
      <c r="O13" s="344"/>
      <c r="P13" s="344"/>
      <c r="Q13" s="344"/>
      <c r="R13" s="344"/>
      <c r="S13" s="344"/>
      <c r="T13" s="344"/>
      <c r="U13" s="344"/>
      <c r="V13" s="344"/>
      <c r="W13" s="344"/>
      <c r="X13" s="344"/>
      <c r="Y13" s="344"/>
      <c r="Z13" s="344"/>
      <c r="AA13" s="344"/>
      <c r="AB13" s="344"/>
      <c r="AC13" s="345"/>
      <c r="AD13" s="368"/>
      <c r="AE13" s="369"/>
      <c r="AF13" s="369"/>
      <c r="AG13" s="369"/>
      <c r="AH13" s="369"/>
      <c r="AI13" s="369"/>
      <c r="AJ13" s="369"/>
      <c r="AK13" s="369"/>
      <c r="AL13" s="369"/>
      <c r="AM13" s="369"/>
      <c r="AN13" s="369"/>
      <c r="AO13" s="369"/>
      <c r="AP13" s="370"/>
      <c r="AQ13" s="368"/>
      <c r="AR13" s="369"/>
      <c r="AS13" s="369"/>
      <c r="AT13" s="369"/>
      <c r="AU13" s="369"/>
      <c r="AV13" s="369"/>
      <c r="AW13" s="369"/>
      <c r="AX13" s="369"/>
      <c r="AY13" s="369"/>
      <c r="AZ13" s="369"/>
      <c r="BA13" s="369"/>
      <c r="BB13" s="382"/>
    </row>
    <row r="14" spans="1:54" ht="13.5" customHeight="1">
      <c r="A14" s="349"/>
      <c r="B14" s="350"/>
      <c r="C14" s="351"/>
      <c r="D14" s="355"/>
      <c r="E14" s="356"/>
      <c r="F14" s="357"/>
      <c r="G14" s="361"/>
      <c r="H14" s="350"/>
      <c r="I14" s="351"/>
      <c r="J14" s="343"/>
      <c r="K14" s="344"/>
      <c r="L14" s="344"/>
      <c r="M14" s="344"/>
      <c r="N14" s="344"/>
      <c r="O14" s="344"/>
      <c r="P14" s="344"/>
      <c r="Q14" s="344"/>
      <c r="R14" s="344"/>
      <c r="S14" s="344"/>
      <c r="T14" s="344"/>
      <c r="U14" s="344"/>
      <c r="V14" s="344"/>
      <c r="W14" s="344"/>
      <c r="X14" s="344"/>
      <c r="Y14" s="344"/>
      <c r="Z14" s="344"/>
      <c r="AA14" s="344"/>
      <c r="AB14" s="344"/>
      <c r="AC14" s="345"/>
      <c r="AD14" s="368"/>
      <c r="AE14" s="369"/>
      <c r="AF14" s="369"/>
      <c r="AG14" s="369"/>
      <c r="AH14" s="369"/>
      <c r="AI14" s="369"/>
      <c r="AJ14" s="369"/>
      <c r="AK14" s="369"/>
      <c r="AL14" s="369"/>
      <c r="AM14" s="369"/>
      <c r="AN14" s="369"/>
      <c r="AO14" s="369"/>
      <c r="AP14" s="370"/>
      <c r="AQ14" s="368"/>
      <c r="AR14" s="369"/>
      <c r="AS14" s="369"/>
      <c r="AT14" s="369"/>
      <c r="AU14" s="369"/>
      <c r="AV14" s="369"/>
      <c r="AW14" s="369"/>
      <c r="AX14" s="369"/>
      <c r="AY14" s="369"/>
      <c r="AZ14" s="369"/>
      <c r="BA14" s="369"/>
      <c r="BB14" s="382"/>
    </row>
    <row r="15" spans="1:54" ht="13.5" customHeight="1">
      <c r="A15" s="349"/>
      <c r="B15" s="350"/>
      <c r="C15" s="351"/>
      <c r="D15" s="355"/>
      <c r="E15" s="356"/>
      <c r="F15" s="357"/>
      <c r="G15" s="361"/>
      <c r="H15" s="350"/>
      <c r="I15" s="351"/>
      <c r="J15" s="368"/>
      <c r="K15" s="369"/>
      <c r="L15" s="369"/>
      <c r="M15" s="369"/>
      <c r="N15" s="369"/>
      <c r="O15" s="369"/>
      <c r="P15" s="369"/>
      <c r="Q15" s="369"/>
      <c r="R15" s="369"/>
      <c r="S15" s="369"/>
      <c r="T15" s="369"/>
      <c r="U15" s="369"/>
      <c r="V15" s="369"/>
      <c r="W15" s="369"/>
      <c r="X15" s="369"/>
      <c r="Y15" s="369"/>
      <c r="Z15" s="369"/>
      <c r="AA15" s="369"/>
      <c r="AB15" s="369"/>
      <c r="AC15" s="370"/>
      <c r="AD15" s="368"/>
      <c r="AE15" s="369"/>
      <c r="AF15" s="369"/>
      <c r="AG15" s="369"/>
      <c r="AH15" s="369"/>
      <c r="AI15" s="369"/>
      <c r="AJ15" s="369"/>
      <c r="AK15" s="369"/>
      <c r="AL15" s="369"/>
      <c r="AM15" s="369"/>
      <c r="AN15" s="369"/>
      <c r="AO15" s="369"/>
      <c r="AP15" s="370"/>
      <c r="AQ15" s="368"/>
      <c r="AR15" s="369"/>
      <c r="AS15" s="369"/>
      <c r="AT15" s="369"/>
      <c r="AU15" s="369"/>
      <c r="AV15" s="369"/>
      <c r="AW15" s="369"/>
      <c r="AX15" s="369"/>
      <c r="AY15" s="369"/>
      <c r="AZ15" s="369"/>
      <c r="BA15" s="369"/>
      <c r="BB15" s="382"/>
    </row>
    <row r="16" spans="1:54" ht="13.5" customHeight="1">
      <c r="A16" s="349"/>
      <c r="B16" s="350"/>
      <c r="C16" s="351"/>
      <c r="D16" s="355"/>
      <c r="E16" s="356"/>
      <c r="F16" s="357"/>
      <c r="G16" s="361"/>
      <c r="H16" s="350"/>
      <c r="I16" s="351"/>
      <c r="J16" s="368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69"/>
      <c r="V16" s="369"/>
      <c r="W16" s="369"/>
      <c r="X16" s="369"/>
      <c r="Y16" s="369"/>
      <c r="Z16" s="369"/>
      <c r="AA16" s="369"/>
      <c r="AB16" s="369"/>
      <c r="AC16" s="370"/>
      <c r="AD16" s="368"/>
      <c r="AE16" s="369"/>
      <c r="AF16" s="369"/>
      <c r="AG16" s="369"/>
      <c r="AH16" s="369"/>
      <c r="AI16" s="369"/>
      <c r="AJ16" s="369"/>
      <c r="AK16" s="369"/>
      <c r="AL16" s="369"/>
      <c r="AM16" s="369"/>
      <c r="AN16" s="369"/>
      <c r="AO16" s="369"/>
      <c r="AP16" s="370"/>
      <c r="AQ16" s="368"/>
      <c r="AR16" s="369"/>
      <c r="AS16" s="369"/>
      <c r="AT16" s="369"/>
      <c r="AU16" s="369"/>
      <c r="AV16" s="369"/>
      <c r="AW16" s="369"/>
      <c r="AX16" s="369"/>
      <c r="AY16" s="369"/>
      <c r="AZ16" s="369"/>
      <c r="BA16" s="369"/>
      <c r="BB16" s="382"/>
    </row>
    <row r="17" spans="1:54" ht="13.5" customHeight="1">
      <c r="A17" s="349"/>
      <c r="B17" s="350"/>
      <c r="C17" s="351"/>
      <c r="D17" s="355"/>
      <c r="E17" s="356"/>
      <c r="F17" s="357"/>
      <c r="G17" s="361"/>
      <c r="H17" s="350"/>
      <c r="I17" s="351"/>
      <c r="J17" s="368"/>
      <c r="K17" s="369"/>
      <c r="L17" s="369"/>
      <c r="M17" s="369"/>
      <c r="N17" s="369"/>
      <c r="O17" s="369"/>
      <c r="P17" s="369"/>
      <c r="Q17" s="369"/>
      <c r="R17" s="369"/>
      <c r="S17" s="369"/>
      <c r="T17" s="369"/>
      <c r="U17" s="369"/>
      <c r="V17" s="369"/>
      <c r="W17" s="369"/>
      <c r="X17" s="369"/>
      <c r="Y17" s="369"/>
      <c r="Z17" s="369"/>
      <c r="AA17" s="369"/>
      <c r="AB17" s="369"/>
      <c r="AC17" s="370"/>
      <c r="AD17" s="368"/>
      <c r="AE17" s="369"/>
      <c r="AF17" s="369"/>
      <c r="AG17" s="369"/>
      <c r="AH17" s="369"/>
      <c r="AI17" s="369"/>
      <c r="AJ17" s="369"/>
      <c r="AK17" s="369"/>
      <c r="AL17" s="369"/>
      <c r="AM17" s="369"/>
      <c r="AN17" s="369"/>
      <c r="AO17" s="369"/>
      <c r="AP17" s="370"/>
      <c r="AQ17" s="368"/>
      <c r="AR17" s="369"/>
      <c r="AS17" s="369"/>
      <c r="AT17" s="369"/>
      <c r="AU17" s="369"/>
      <c r="AV17" s="369"/>
      <c r="AW17" s="369"/>
      <c r="AX17" s="369"/>
      <c r="AY17" s="369"/>
      <c r="AZ17" s="369"/>
      <c r="BA17" s="369"/>
      <c r="BB17" s="382"/>
    </row>
    <row r="18" spans="1:54" ht="13.5" customHeight="1">
      <c r="A18" s="349"/>
      <c r="B18" s="350"/>
      <c r="C18" s="351"/>
      <c r="D18" s="355"/>
      <c r="E18" s="356"/>
      <c r="F18" s="357"/>
      <c r="G18" s="361"/>
      <c r="H18" s="350"/>
      <c r="I18" s="351"/>
      <c r="J18" s="368"/>
      <c r="K18" s="369"/>
      <c r="L18" s="369"/>
      <c r="M18" s="369"/>
      <c r="N18" s="369"/>
      <c r="O18" s="369"/>
      <c r="P18" s="369"/>
      <c r="Q18" s="369"/>
      <c r="R18" s="369"/>
      <c r="S18" s="369"/>
      <c r="T18" s="369"/>
      <c r="U18" s="369"/>
      <c r="V18" s="369"/>
      <c r="W18" s="369"/>
      <c r="X18" s="369"/>
      <c r="Y18" s="369"/>
      <c r="Z18" s="369"/>
      <c r="AA18" s="369"/>
      <c r="AB18" s="369"/>
      <c r="AC18" s="370"/>
      <c r="AD18" s="368"/>
      <c r="AE18" s="369"/>
      <c r="AF18" s="369"/>
      <c r="AG18" s="369"/>
      <c r="AH18" s="369"/>
      <c r="AI18" s="369"/>
      <c r="AJ18" s="369"/>
      <c r="AK18" s="369"/>
      <c r="AL18" s="369"/>
      <c r="AM18" s="369"/>
      <c r="AN18" s="369"/>
      <c r="AO18" s="369"/>
      <c r="AP18" s="370"/>
      <c r="AQ18" s="368"/>
      <c r="AR18" s="369"/>
      <c r="AS18" s="369"/>
      <c r="AT18" s="369"/>
      <c r="AU18" s="369"/>
      <c r="AV18" s="369"/>
      <c r="AW18" s="369"/>
      <c r="AX18" s="369"/>
      <c r="AY18" s="369"/>
      <c r="AZ18" s="369"/>
      <c r="BA18" s="369"/>
      <c r="BB18" s="382"/>
    </row>
    <row r="19" spans="1:54" ht="13.5" customHeight="1">
      <c r="A19" s="349"/>
      <c r="B19" s="350"/>
      <c r="C19" s="351"/>
      <c r="D19" s="355"/>
      <c r="E19" s="356"/>
      <c r="F19" s="357"/>
      <c r="G19" s="361"/>
      <c r="H19" s="350"/>
      <c r="I19" s="351"/>
      <c r="J19" s="368"/>
      <c r="K19" s="369"/>
      <c r="L19" s="369"/>
      <c r="M19" s="369"/>
      <c r="N19" s="369"/>
      <c r="O19" s="369"/>
      <c r="P19" s="369"/>
      <c r="Q19" s="369"/>
      <c r="R19" s="369"/>
      <c r="S19" s="369"/>
      <c r="T19" s="369"/>
      <c r="U19" s="369"/>
      <c r="V19" s="369"/>
      <c r="W19" s="369"/>
      <c r="X19" s="369"/>
      <c r="Y19" s="369"/>
      <c r="Z19" s="369"/>
      <c r="AA19" s="369"/>
      <c r="AB19" s="369"/>
      <c r="AC19" s="370"/>
      <c r="AD19" s="368"/>
      <c r="AE19" s="369"/>
      <c r="AF19" s="369"/>
      <c r="AG19" s="369"/>
      <c r="AH19" s="369"/>
      <c r="AI19" s="369"/>
      <c r="AJ19" s="369"/>
      <c r="AK19" s="369"/>
      <c r="AL19" s="369"/>
      <c r="AM19" s="369"/>
      <c r="AN19" s="369"/>
      <c r="AO19" s="369"/>
      <c r="AP19" s="370"/>
      <c r="AQ19" s="368"/>
      <c r="AR19" s="369"/>
      <c r="AS19" s="369"/>
      <c r="AT19" s="369"/>
      <c r="AU19" s="369"/>
      <c r="AV19" s="369"/>
      <c r="AW19" s="369"/>
      <c r="AX19" s="369"/>
      <c r="AY19" s="369"/>
      <c r="AZ19" s="369"/>
      <c r="BA19" s="369"/>
      <c r="BB19" s="382"/>
    </row>
    <row r="20" spans="1:54" ht="13.5" customHeight="1">
      <c r="A20" s="349"/>
      <c r="B20" s="350"/>
      <c r="C20" s="351"/>
      <c r="D20" s="355"/>
      <c r="E20" s="356"/>
      <c r="F20" s="357"/>
      <c r="G20" s="361"/>
      <c r="H20" s="350"/>
      <c r="I20" s="351"/>
      <c r="J20" s="368"/>
      <c r="K20" s="369"/>
      <c r="L20" s="369"/>
      <c r="M20" s="369"/>
      <c r="N20" s="369"/>
      <c r="O20" s="369"/>
      <c r="P20" s="369"/>
      <c r="Q20" s="369"/>
      <c r="R20" s="369"/>
      <c r="S20" s="369"/>
      <c r="T20" s="369"/>
      <c r="U20" s="369"/>
      <c r="V20" s="369"/>
      <c r="W20" s="369"/>
      <c r="X20" s="369"/>
      <c r="Y20" s="369"/>
      <c r="Z20" s="369"/>
      <c r="AA20" s="369"/>
      <c r="AB20" s="369"/>
      <c r="AC20" s="370"/>
      <c r="AD20" s="368"/>
      <c r="AE20" s="369"/>
      <c r="AF20" s="369"/>
      <c r="AG20" s="369"/>
      <c r="AH20" s="369"/>
      <c r="AI20" s="369"/>
      <c r="AJ20" s="369"/>
      <c r="AK20" s="369"/>
      <c r="AL20" s="369"/>
      <c r="AM20" s="369"/>
      <c r="AN20" s="369"/>
      <c r="AO20" s="369"/>
      <c r="AP20" s="370"/>
      <c r="AQ20" s="368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82"/>
    </row>
    <row r="21" spans="1:54" ht="13.5" customHeight="1">
      <c r="A21" s="349"/>
      <c r="B21" s="350"/>
      <c r="C21" s="351"/>
      <c r="D21" s="355"/>
      <c r="E21" s="356"/>
      <c r="F21" s="357"/>
      <c r="G21" s="361"/>
      <c r="H21" s="350"/>
      <c r="I21" s="351"/>
      <c r="J21" s="368"/>
      <c r="K21" s="369"/>
      <c r="L21" s="369"/>
      <c r="M21" s="369"/>
      <c r="N21" s="369"/>
      <c r="O21" s="369"/>
      <c r="P21" s="369"/>
      <c r="Q21" s="369"/>
      <c r="R21" s="369"/>
      <c r="S21" s="369"/>
      <c r="T21" s="369"/>
      <c r="U21" s="369"/>
      <c r="V21" s="369"/>
      <c r="W21" s="369"/>
      <c r="X21" s="369"/>
      <c r="Y21" s="369"/>
      <c r="Z21" s="369"/>
      <c r="AA21" s="369"/>
      <c r="AB21" s="369"/>
      <c r="AC21" s="370"/>
      <c r="AD21" s="368"/>
      <c r="AE21" s="369"/>
      <c r="AF21" s="369"/>
      <c r="AG21" s="369"/>
      <c r="AH21" s="369"/>
      <c r="AI21" s="369"/>
      <c r="AJ21" s="369"/>
      <c r="AK21" s="369"/>
      <c r="AL21" s="369"/>
      <c r="AM21" s="369"/>
      <c r="AN21" s="369"/>
      <c r="AO21" s="369"/>
      <c r="AP21" s="370"/>
      <c r="AQ21" s="368"/>
      <c r="AR21" s="369"/>
      <c r="AS21" s="369"/>
      <c r="AT21" s="369"/>
      <c r="AU21" s="369"/>
      <c r="AV21" s="369"/>
      <c r="AW21" s="369"/>
      <c r="AX21" s="369"/>
      <c r="AY21" s="369"/>
      <c r="AZ21" s="369"/>
      <c r="BA21" s="369"/>
      <c r="BB21" s="382"/>
    </row>
    <row r="22" spans="1:54" ht="13.5" customHeight="1">
      <c r="A22" s="349"/>
      <c r="B22" s="350"/>
      <c r="C22" s="351"/>
      <c r="D22" s="355"/>
      <c r="E22" s="356"/>
      <c r="F22" s="357"/>
      <c r="G22" s="361"/>
      <c r="H22" s="350"/>
      <c r="I22" s="351"/>
      <c r="J22" s="368"/>
      <c r="K22" s="369"/>
      <c r="L22" s="369"/>
      <c r="M22" s="369"/>
      <c r="N22" s="369"/>
      <c r="O22" s="369"/>
      <c r="P22" s="369"/>
      <c r="Q22" s="369"/>
      <c r="R22" s="369"/>
      <c r="S22" s="369"/>
      <c r="T22" s="369"/>
      <c r="U22" s="369"/>
      <c r="V22" s="369"/>
      <c r="W22" s="369"/>
      <c r="X22" s="369"/>
      <c r="Y22" s="369"/>
      <c r="Z22" s="369"/>
      <c r="AA22" s="369"/>
      <c r="AB22" s="369"/>
      <c r="AC22" s="370"/>
      <c r="AD22" s="368"/>
      <c r="AE22" s="369"/>
      <c r="AF22" s="369"/>
      <c r="AG22" s="369"/>
      <c r="AH22" s="369"/>
      <c r="AI22" s="369"/>
      <c r="AJ22" s="369"/>
      <c r="AK22" s="369"/>
      <c r="AL22" s="369"/>
      <c r="AM22" s="369"/>
      <c r="AN22" s="369"/>
      <c r="AO22" s="369"/>
      <c r="AP22" s="370"/>
      <c r="AQ22" s="368"/>
      <c r="AR22" s="369"/>
      <c r="AS22" s="369"/>
      <c r="AT22" s="369"/>
      <c r="AU22" s="369"/>
      <c r="AV22" s="369"/>
      <c r="AW22" s="369"/>
      <c r="AX22" s="369"/>
      <c r="AY22" s="369"/>
      <c r="AZ22" s="369"/>
      <c r="BA22" s="369"/>
      <c r="BB22" s="382"/>
    </row>
    <row r="23" spans="1:54" ht="13.5" customHeight="1">
      <c r="A23" s="349"/>
      <c r="B23" s="350"/>
      <c r="C23" s="351"/>
      <c r="D23" s="355"/>
      <c r="E23" s="356"/>
      <c r="F23" s="357"/>
      <c r="G23" s="361"/>
      <c r="H23" s="350"/>
      <c r="I23" s="351"/>
      <c r="J23" s="368"/>
      <c r="K23" s="369"/>
      <c r="L23" s="369"/>
      <c r="M23" s="369"/>
      <c r="N23" s="369"/>
      <c r="O23" s="369"/>
      <c r="P23" s="369"/>
      <c r="Q23" s="369"/>
      <c r="R23" s="369"/>
      <c r="S23" s="369"/>
      <c r="T23" s="369"/>
      <c r="U23" s="369"/>
      <c r="V23" s="369"/>
      <c r="W23" s="369"/>
      <c r="X23" s="369"/>
      <c r="Y23" s="369"/>
      <c r="Z23" s="369"/>
      <c r="AA23" s="369"/>
      <c r="AB23" s="369"/>
      <c r="AC23" s="370"/>
      <c r="AD23" s="368"/>
      <c r="AE23" s="369"/>
      <c r="AF23" s="369"/>
      <c r="AG23" s="369"/>
      <c r="AH23" s="369"/>
      <c r="AI23" s="369"/>
      <c r="AJ23" s="369"/>
      <c r="AK23" s="369"/>
      <c r="AL23" s="369"/>
      <c r="AM23" s="369"/>
      <c r="AN23" s="369"/>
      <c r="AO23" s="369"/>
      <c r="AP23" s="370"/>
      <c r="AQ23" s="368"/>
      <c r="AR23" s="369"/>
      <c r="AS23" s="369"/>
      <c r="AT23" s="369"/>
      <c r="AU23" s="369"/>
      <c r="AV23" s="369"/>
      <c r="AW23" s="369"/>
      <c r="AX23" s="369"/>
      <c r="AY23" s="369"/>
      <c r="AZ23" s="369"/>
      <c r="BA23" s="369"/>
      <c r="BB23" s="382"/>
    </row>
    <row r="24" spans="1:54" ht="13.5" customHeight="1">
      <c r="A24" s="349"/>
      <c r="B24" s="350"/>
      <c r="C24" s="351"/>
      <c r="D24" s="355"/>
      <c r="E24" s="356"/>
      <c r="F24" s="357"/>
      <c r="G24" s="361"/>
      <c r="H24" s="350"/>
      <c r="I24" s="351"/>
      <c r="J24" s="368"/>
      <c r="K24" s="369"/>
      <c r="L24" s="369"/>
      <c r="M24" s="369"/>
      <c r="N24" s="369"/>
      <c r="O24" s="369"/>
      <c r="P24" s="369"/>
      <c r="Q24" s="369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70"/>
      <c r="AD24" s="368"/>
      <c r="AE24" s="369"/>
      <c r="AF24" s="369"/>
      <c r="AG24" s="369"/>
      <c r="AH24" s="369"/>
      <c r="AI24" s="369"/>
      <c r="AJ24" s="369"/>
      <c r="AK24" s="369"/>
      <c r="AL24" s="369"/>
      <c r="AM24" s="369"/>
      <c r="AN24" s="369"/>
      <c r="AO24" s="369"/>
      <c r="AP24" s="370"/>
      <c r="AQ24" s="368"/>
      <c r="AR24" s="369"/>
      <c r="AS24" s="369"/>
      <c r="AT24" s="369"/>
      <c r="AU24" s="369"/>
      <c r="AV24" s="369"/>
      <c r="AW24" s="369"/>
      <c r="AX24" s="369"/>
      <c r="AY24" s="369"/>
      <c r="AZ24" s="369"/>
      <c r="BA24" s="369"/>
      <c r="BB24" s="382"/>
    </row>
    <row r="25" spans="1:54" ht="13.5" customHeight="1">
      <c r="A25" s="349"/>
      <c r="B25" s="350"/>
      <c r="C25" s="351"/>
      <c r="D25" s="355"/>
      <c r="E25" s="356"/>
      <c r="F25" s="357"/>
      <c r="G25" s="361"/>
      <c r="H25" s="350"/>
      <c r="I25" s="351"/>
      <c r="J25" s="368"/>
      <c r="K25" s="369"/>
      <c r="L25" s="369"/>
      <c r="M25" s="369"/>
      <c r="N25" s="369"/>
      <c r="O25" s="369"/>
      <c r="P25" s="369"/>
      <c r="Q25" s="369"/>
      <c r="R25" s="369"/>
      <c r="S25" s="369"/>
      <c r="T25" s="369"/>
      <c r="U25" s="369"/>
      <c r="V25" s="369"/>
      <c r="W25" s="369"/>
      <c r="X25" s="369"/>
      <c r="Y25" s="369"/>
      <c r="Z25" s="369"/>
      <c r="AA25" s="369"/>
      <c r="AB25" s="369"/>
      <c r="AC25" s="370"/>
      <c r="AD25" s="368"/>
      <c r="AE25" s="369"/>
      <c r="AF25" s="369"/>
      <c r="AG25" s="369"/>
      <c r="AH25" s="369"/>
      <c r="AI25" s="369"/>
      <c r="AJ25" s="369"/>
      <c r="AK25" s="369"/>
      <c r="AL25" s="369"/>
      <c r="AM25" s="369"/>
      <c r="AN25" s="369"/>
      <c r="AO25" s="369"/>
      <c r="AP25" s="370"/>
      <c r="AQ25" s="368"/>
      <c r="AR25" s="369"/>
      <c r="AS25" s="369"/>
      <c r="AT25" s="369"/>
      <c r="AU25" s="369"/>
      <c r="AV25" s="369"/>
      <c r="AW25" s="369"/>
      <c r="AX25" s="369"/>
      <c r="AY25" s="369"/>
      <c r="AZ25" s="369"/>
      <c r="BA25" s="369"/>
      <c r="BB25" s="382"/>
    </row>
    <row r="26" spans="1:54" ht="13.5" customHeight="1">
      <c r="A26" s="349"/>
      <c r="B26" s="350"/>
      <c r="C26" s="351"/>
      <c r="D26" s="355"/>
      <c r="E26" s="356"/>
      <c r="F26" s="357"/>
      <c r="G26" s="361"/>
      <c r="H26" s="350"/>
      <c r="I26" s="351"/>
      <c r="J26" s="368"/>
      <c r="K26" s="369"/>
      <c r="L26" s="369"/>
      <c r="M26" s="369"/>
      <c r="N26" s="369"/>
      <c r="O26" s="369"/>
      <c r="P26" s="369"/>
      <c r="Q26" s="369"/>
      <c r="R26" s="369"/>
      <c r="S26" s="369"/>
      <c r="T26" s="369"/>
      <c r="U26" s="369"/>
      <c r="V26" s="369"/>
      <c r="W26" s="369"/>
      <c r="X26" s="369"/>
      <c r="Y26" s="369"/>
      <c r="Z26" s="369"/>
      <c r="AA26" s="369"/>
      <c r="AB26" s="369"/>
      <c r="AC26" s="370"/>
      <c r="AD26" s="368"/>
      <c r="AE26" s="369"/>
      <c r="AF26" s="369"/>
      <c r="AG26" s="369"/>
      <c r="AH26" s="369"/>
      <c r="AI26" s="369"/>
      <c r="AJ26" s="369"/>
      <c r="AK26" s="369"/>
      <c r="AL26" s="369"/>
      <c r="AM26" s="369"/>
      <c r="AN26" s="369"/>
      <c r="AO26" s="369"/>
      <c r="AP26" s="370"/>
      <c r="AQ26" s="368"/>
      <c r="AR26" s="369"/>
      <c r="AS26" s="369"/>
      <c r="AT26" s="369"/>
      <c r="AU26" s="369"/>
      <c r="AV26" s="369"/>
      <c r="AW26" s="369"/>
      <c r="AX26" s="369"/>
      <c r="AY26" s="369"/>
      <c r="AZ26" s="369"/>
      <c r="BA26" s="369"/>
      <c r="BB26" s="382"/>
    </row>
    <row r="27" spans="1:54" ht="13.5" customHeight="1">
      <c r="A27" s="349"/>
      <c r="B27" s="350"/>
      <c r="C27" s="351"/>
      <c r="D27" s="355"/>
      <c r="E27" s="356"/>
      <c r="F27" s="357"/>
      <c r="G27" s="361"/>
      <c r="H27" s="350"/>
      <c r="I27" s="351"/>
      <c r="J27" s="368"/>
      <c r="K27" s="369"/>
      <c r="L27" s="369"/>
      <c r="M27" s="369"/>
      <c r="N27" s="369"/>
      <c r="O27" s="369"/>
      <c r="P27" s="369"/>
      <c r="Q27" s="369"/>
      <c r="R27" s="369"/>
      <c r="S27" s="369"/>
      <c r="T27" s="369"/>
      <c r="U27" s="369"/>
      <c r="V27" s="369"/>
      <c r="W27" s="369"/>
      <c r="X27" s="369"/>
      <c r="Y27" s="369"/>
      <c r="Z27" s="369"/>
      <c r="AA27" s="369"/>
      <c r="AB27" s="369"/>
      <c r="AC27" s="370"/>
      <c r="AD27" s="368"/>
      <c r="AE27" s="369"/>
      <c r="AF27" s="369"/>
      <c r="AG27" s="369"/>
      <c r="AH27" s="369"/>
      <c r="AI27" s="369"/>
      <c r="AJ27" s="369"/>
      <c r="AK27" s="369"/>
      <c r="AL27" s="369"/>
      <c r="AM27" s="369"/>
      <c r="AN27" s="369"/>
      <c r="AO27" s="369"/>
      <c r="AP27" s="370"/>
      <c r="AQ27" s="368"/>
      <c r="AR27" s="369"/>
      <c r="AS27" s="369"/>
      <c r="AT27" s="369"/>
      <c r="AU27" s="369"/>
      <c r="AV27" s="369"/>
      <c r="AW27" s="369"/>
      <c r="AX27" s="369"/>
      <c r="AY27" s="369"/>
      <c r="AZ27" s="369"/>
      <c r="BA27" s="369"/>
      <c r="BB27" s="382"/>
    </row>
    <row r="28" spans="1:54" ht="13.5" customHeight="1">
      <c r="A28" s="349"/>
      <c r="B28" s="350"/>
      <c r="C28" s="351"/>
      <c r="D28" s="355"/>
      <c r="E28" s="356"/>
      <c r="F28" s="357"/>
      <c r="G28" s="361"/>
      <c r="H28" s="350"/>
      <c r="I28" s="351"/>
      <c r="J28" s="368"/>
      <c r="K28" s="369"/>
      <c r="L28" s="369"/>
      <c r="M28" s="369"/>
      <c r="N28" s="369"/>
      <c r="O28" s="369"/>
      <c r="P28" s="369"/>
      <c r="Q28" s="369"/>
      <c r="R28" s="369"/>
      <c r="S28" s="369"/>
      <c r="T28" s="369"/>
      <c r="U28" s="369"/>
      <c r="V28" s="369"/>
      <c r="W28" s="369"/>
      <c r="X28" s="369"/>
      <c r="Y28" s="369"/>
      <c r="Z28" s="369"/>
      <c r="AA28" s="369"/>
      <c r="AB28" s="369"/>
      <c r="AC28" s="370"/>
      <c r="AD28" s="368"/>
      <c r="AE28" s="369"/>
      <c r="AF28" s="369"/>
      <c r="AG28" s="369"/>
      <c r="AH28" s="369"/>
      <c r="AI28" s="369"/>
      <c r="AJ28" s="369"/>
      <c r="AK28" s="369"/>
      <c r="AL28" s="369"/>
      <c r="AM28" s="369"/>
      <c r="AN28" s="369"/>
      <c r="AO28" s="369"/>
      <c r="AP28" s="370"/>
      <c r="AQ28" s="368"/>
      <c r="AR28" s="369"/>
      <c r="AS28" s="369"/>
      <c r="AT28" s="369"/>
      <c r="AU28" s="369"/>
      <c r="AV28" s="369"/>
      <c r="AW28" s="369"/>
      <c r="AX28" s="369"/>
      <c r="AY28" s="369"/>
      <c r="AZ28" s="369"/>
      <c r="BA28" s="369"/>
      <c r="BB28" s="382"/>
    </row>
    <row r="29" spans="1:54" ht="13.5" customHeight="1">
      <c r="A29" s="349"/>
      <c r="B29" s="350"/>
      <c r="C29" s="351"/>
      <c r="D29" s="355"/>
      <c r="E29" s="356"/>
      <c r="F29" s="357"/>
      <c r="G29" s="361"/>
      <c r="H29" s="350"/>
      <c r="I29" s="351"/>
      <c r="J29" s="368"/>
      <c r="K29" s="369"/>
      <c r="L29" s="369"/>
      <c r="M29" s="369"/>
      <c r="N29" s="369"/>
      <c r="O29" s="369"/>
      <c r="P29" s="369"/>
      <c r="Q29" s="369"/>
      <c r="R29" s="369"/>
      <c r="S29" s="369"/>
      <c r="T29" s="369"/>
      <c r="U29" s="369"/>
      <c r="V29" s="369"/>
      <c r="W29" s="369"/>
      <c r="X29" s="369"/>
      <c r="Y29" s="369"/>
      <c r="Z29" s="369"/>
      <c r="AA29" s="369"/>
      <c r="AB29" s="369"/>
      <c r="AC29" s="370"/>
      <c r="AD29" s="368"/>
      <c r="AE29" s="369"/>
      <c r="AF29" s="369"/>
      <c r="AG29" s="369"/>
      <c r="AH29" s="369"/>
      <c r="AI29" s="369"/>
      <c r="AJ29" s="369"/>
      <c r="AK29" s="369"/>
      <c r="AL29" s="369"/>
      <c r="AM29" s="369"/>
      <c r="AN29" s="369"/>
      <c r="AO29" s="369"/>
      <c r="AP29" s="370"/>
      <c r="AQ29" s="368"/>
      <c r="AR29" s="369"/>
      <c r="AS29" s="369"/>
      <c r="AT29" s="369"/>
      <c r="AU29" s="369"/>
      <c r="AV29" s="369"/>
      <c r="AW29" s="369"/>
      <c r="AX29" s="369"/>
      <c r="AY29" s="369"/>
      <c r="AZ29" s="369"/>
      <c r="BA29" s="369"/>
      <c r="BB29" s="382"/>
    </row>
    <row r="30" spans="1:54" ht="13.5" customHeight="1">
      <c r="A30" s="349"/>
      <c r="B30" s="350"/>
      <c r="C30" s="351"/>
      <c r="D30" s="355"/>
      <c r="E30" s="356"/>
      <c r="F30" s="357"/>
      <c r="G30" s="361"/>
      <c r="H30" s="350"/>
      <c r="I30" s="351"/>
      <c r="J30" s="368"/>
      <c r="K30" s="369"/>
      <c r="L30" s="369"/>
      <c r="M30" s="369"/>
      <c r="N30" s="369"/>
      <c r="O30" s="369"/>
      <c r="P30" s="369"/>
      <c r="Q30" s="369"/>
      <c r="R30" s="369"/>
      <c r="S30" s="369"/>
      <c r="T30" s="369"/>
      <c r="U30" s="369"/>
      <c r="V30" s="369"/>
      <c r="W30" s="369"/>
      <c r="X30" s="369"/>
      <c r="Y30" s="369"/>
      <c r="Z30" s="369"/>
      <c r="AA30" s="369"/>
      <c r="AB30" s="369"/>
      <c r="AC30" s="370"/>
      <c r="AD30" s="368"/>
      <c r="AE30" s="369"/>
      <c r="AF30" s="369"/>
      <c r="AG30" s="369"/>
      <c r="AH30" s="369"/>
      <c r="AI30" s="369"/>
      <c r="AJ30" s="369"/>
      <c r="AK30" s="369"/>
      <c r="AL30" s="369"/>
      <c r="AM30" s="369"/>
      <c r="AN30" s="369"/>
      <c r="AO30" s="369"/>
      <c r="AP30" s="370"/>
      <c r="AQ30" s="368"/>
      <c r="AR30" s="369"/>
      <c r="AS30" s="369"/>
      <c r="AT30" s="369"/>
      <c r="AU30" s="369"/>
      <c r="AV30" s="369"/>
      <c r="AW30" s="369"/>
      <c r="AX30" s="369"/>
      <c r="AY30" s="369"/>
      <c r="AZ30" s="369"/>
      <c r="BA30" s="369"/>
      <c r="BB30" s="382"/>
    </row>
    <row r="31" spans="1:54" ht="13.5" customHeight="1">
      <c r="A31" s="349"/>
      <c r="B31" s="350"/>
      <c r="C31" s="351"/>
      <c r="D31" s="355"/>
      <c r="E31" s="356"/>
      <c r="F31" s="357"/>
      <c r="G31" s="361"/>
      <c r="H31" s="350"/>
      <c r="I31" s="351"/>
      <c r="J31" s="368"/>
      <c r="K31" s="369"/>
      <c r="L31" s="369"/>
      <c r="M31" s="369"/>
      <c r="N31" s="369"/>
      <c r="O31" s="369"/>
      <c r="P31" s="369"/>
      <c r="Q31" s="369"/>
      <c r="R31" s="369"/>
      <c r="S31" s="369"/>
      <c r="T31" s="369"/>
      <c r="U31" s="369"/>
      <c r="V31" s="369"/>
      <c r="W31" s="369"/>
      <c r="X31" s="369"/>
      <c r="Y31" s="369"/>
      <c r="Z31" s="369"/>
      <c r="AA31" s="369"/>
      <c r="AB31" s="369"/>
      <c r="AC31" s="370"/>
      <c r="AD31" s="368"/>
      <c r="AE31" s="369"/>
      <c r="AF31" s="369"/>
      <c r="AG31" s="369"/>
      <c r="AH31" s="369"/>
      <c r="AI31" s="369"/>
      <c r="AJ31" s="369"/>
      <c r="AK31" s="369"/>
      <c r="AL31" s="369"/>
      <c r="AM31" s="369"/>
      <c r="AN31" s="369"/>
      <c r="AO31" s="369"/>
      <c r="AP31" s="370"/>
      <c r="AQ31" s="368"/>
      <c r="AR31" s="369"/>
      <c r="AS31" s="369"/>
      <c r="AT31" s="369"/>
      <c r="AU31" s="369"/>
      <c r="AV31" s="369"/>
      <c r="AW31" s="369"/>
      <c r="AX31" s="369"/>
      <c r="AY31" s="369"/>
      <c r="AZ31" s="369"/>
      <c r="BA31" s="369"/>
      <c r="BB31" s="382"/>
    </row>
    <row r="32" spans="1:54" ht="13.5" customHeight="1">
      <c r="A32" s="349"/>
      <c r="B32" s="350"/>
      <c r="C32" s="351"/>
      <c r="D32" s="355"/>
      <c r="E32" s="356"/>
      <c r="F32" s="357"/>
      <c r="G32" s="361"/>
      <c r="H32" s="350"/>
      <c r="I32" s="351"/>
      <c r="J32" s="343"/>
      <c r="K32" s="344"/>
      <c r="L32" s="344"/>
      <c r="M32" s="344"/>
      <c r="N32" s="344"/>
      <c r="O32" s="344"/>
      <c r="P32" s="344"/>
      <c r="Q32" s="344"/>
      <c r="R32" s="344"/>
      <c r="S32" s="344"/>
      <c r="T32" s="344"/>
      <c r="U32" s="344"/>
      <c r="V32" s="344"/>
      <c r="W32" s="344"/>
      <c r="X32" s="344"/>
      <c r="Y32" s="344"/>
      <c r="Z32" s="344"/>
      <c r="AA32" s="344"/>
      <c r="AB32" s="344"/>
      <c r="AC32" s="345"/>
      <c r="AD32" s="368"/>
      <c r="AE32" s="369"/>
      <c r="AF32" s="369"/>
      <c r="AG32" s="369"/>
      <c r="AH32" s="369"/>
      <c r="AI32" s="369"/>
      <c r="AJ32" s="369"/>
      <c r="AK32" s="369"/>
      <c r="AL32" s="369"/>
      <c r="AM32" s="369"/>
      <c r="AN32" s="369"/>
      <c r="AO32" s="369"/>
      <c r="AP32" s="370"/>
      <c r="AQ32" s="368"/>
      <c r="AR32" s="369"/>
      <c r="AS32" s="369"/>
      <c r="AT32" s="369"/>
      <c r="AU32" s="369"/>
      <c r="AV32" s="369"/>
      <c r="AW32" s="369"/>
      <c r="AX32" s="369"/>
      <c r="AY32" s="369"/>
      <c r="AZ32" s="369"/>
      <c r="BA32" s="369"/>
      <c r="BB32" s="382"/>
    </row>
    <row r="33" spans="1:54" ht="13.5" customHeight="1">
      <c r="A33" s="349"/>
      <c r="B33" s="350"/>
      <c r="C33" s="351"/>
      <c r="D33" s="355"/>
      <c r="E33" s="356"/>
      <c r="F33" s="357"/>
      <c r="G33" s="361"/>
      <c r="H33" s="350"/>
      <c r="I33" s="351"/>
      <c r="J33" s="368"/>
      <c r="K33" s="369"/>
      <c r="L33" s="369"/>
      <c r="M33" s="369"/>
      <c r="N33" s="369"/>
      <c r="O33" s="369"/>
      <c r="P33" s="369"/>
      <c r="Q33" s="369"/>
      <c r="R33" s="369"/>
      <c r="S33" s="369"/>
      <c r="T33" s="369"/>
      <c r="U33" s="369"/>
      <c r="V33" s="369"/>
      <c r="W33" s="369"/>
      <c r="X33" s="369"/>
      <c r="Y33" s="369"/>
      <c r="Z33" s="369"/>
      <c r="AA33" s="369"/>
      <c r="AB33" s="369"/>
      <c r="AC33" s="370"/>
      <c r="AD33" s="368"/>
      <c r="AE33" s="369"/>
      <c r="AF33" s="369"/>
      <c r="AG33" s="369"/>
      <c r="AH33" s="369"/>
      <c r="AI33" s="369"/>
      <c r="AJ33" s="369"/>
      <c r="AK33" s="369"/>
      <c r="AL33" s="369"/>
      <c r="AM33" s="369"/>
      <c r="AN33" s="369"/>
      <c r="AO33" s="369"/>
      <c r="AP33" s="370"/>
      <c r="AQ33" s="368"/>
      <c r="AR33" s="369"/>
      <c r="AS33" s="369"/>
      <c r="AT33" s="369"/>
      <c r="AU33" s="369"/>
      <c r="AV33" s="369"/>
      <c r="AW33" s="369"/>
      <c r="AX33" s="369"/>
      <c r="AY33" s="369"/>
      <c r="AZ33" s="369"/>
      <c r="BA33" s="369"/>
      <c r="BB33" s="382"/>
    </row>
    <row r="34" spans="1:54" ht="13.5" customHeight="1">
      <c r="A34" s="349"/>
      <c r="B34" s="350"/>
      <c r="C34" s="351"/>
      <c r="D34" s="355"/>
      <c r="E34" s="356"/>
      <c r="F34" s="357"/>
      <c r="G34" s="361"/>
      <c r="H34" s="350"/>
      <c r="I34" s="351"/>
      <c r="J34" s="368"/>
      <c r="K34" s="369"/>
      <c r="L34" s="369"/>
      <c r="M34" s="369"/>
      <c r="N34" s="369"/>
      <c r="O34" s="369"/>
      <c r="P34" s="369"/>
      <c r="Q34" s="369"/>
      <c r="R34" s="369"/>
      <c r="S34" s="369"/>
      <c r="T34" s="369"/>
      <c r="U34" s="369"/>
      <c r="V34" s="369"/>
      <c r="W34" s="369"/>
      <c r="X34" s="369"/>
      <c r="Y34" s="369"/>
      <c r="Z34" s="369"/>
      <c r="AA34" s="369"/>
      <c r="AB34" s="369"/>
      <c r="AC34" s="370"/>
      <c r="AD34" s="368"/>
      <c r="AE34" s="369"/>
      <c r="AF34" s="369"/>
      <c r="AG34" s="369"/>
      <c r="AH34" s="369"/>
      <c r="AI34" s="369"/>
      <c r="AJ34" s="369"/>
      <c r="AK34" s="369"/>
      <c r="AL34" s="369"/>
      <c r="AM34" s="369"/>
      <c r="AN34" s="369"/>
      <c r="AO34" s="369"/>
      <c r="AP34" s="370"/>
      <c r="AQ34" s="368"/>
      <c r="AR34" s="369"/>
      <c r="AS34" s="369"/>
      <c r="AT34" s="369"/>
      <c r="AU34" s="369"/>
      <c r="AV34" s="369"/>
      <c r="AW34" s="369"/>
      <c r="AX34" s="369"/>
      <c r="AY34" s="369"/>
      <c r="AZ34" s="369"/>
      <c r="BA34" s="369"/>
      <c r="BB34" s="382"/>
    </row>
    <row r="35" spans="1:54" ht="13.5" customHeight="1">
      <c r="A35" s="349"/>
      <c r="B35" s="350"/>
      <c r="C35" s="351"/>
      <c r="D35" s="355"/>
      <c r="E35" s="356"/>
      <c r="F35" s="357"/>
      <c r="G35" s="361"/>
      <c r="H35" s="350"/>
      <c r="I35" s="351"/>
      <c r="J35" s="368"/>
      <c r="K35" s="369"/>
      <c r="L35" s="369"/>
      <c r="M35" s="369"/>
      <c r="N35" s="369"/>
      <c r="O35" s="369"/>
      <c r="P35" s="369"/>
      <c r="Q35" s="369"/>
      <c r="R35" s="369"/>
      <c r="S35" s="369"/>
      <c r="T35" s="369"/>
      <c r="U35" s="369"/>
      <c r="V35" s="369"/>
      <c r="W35" s="369"/>
      <c r="X35" s="369"/>
      <c r="Y35" s="369"/>
      <c r="Z35" s="369"/>
      <c r="AA35" s="369"/>
      <c r="AB35" s="369"/>
      <c r="AC35" s="370"/>
      <c r="AD35" s="368"/>
      <c r="AE35" s="369"/>
      <c r="AF35" s="369"/>
      <c r="AG35" s="369"/>
      <c r="AH35" s="369"/>
      <c r="AI35" s="369"/>
      <c r="AJ35" s="369"/>
      <c r="AK35" s="369"/>
      <c r="AL35" s="369"/>
      <c r="AM35" s="369"/>
      <c r="AN35" s="369"/>
      <c r="AO35" s="369"/>
      <c r="AP35" s="370"/>
      <c r="AQ35" s="368"/>
      <c r="AR35" s="369"/>
      <c r="AS35" s="369"/>
      <c r="AT35" s="369"/>
      <c r="AU35" s="369"/>
      <c r="AV35" s="369"/>
      <c r="AW35" s="369"/>
      <c r="AX35" s="369"/>
      <c r="AY35" s="369"/>
      <c r="AZ35" s="369"/>
      <c r="BA35" s="369"/>
      <c r="BB35" s="382"/>
    </row>
    <row r="36" spans="1:54" ht="13.5" customHeight="1">
      <c r="A36" s="349"/>
      <c r="B36" s="350"/>
      <c r="C36" s="351"/>
      <c r="D36" s="355"/>
      <c r="E36" s="356"/>
      <c r="F36" s="357"/>
      <c r="G36" s="361"/>
      <c r="H36" s="350"/>
      <c r="I36" s="351"/>
      <c r="J36" s="368"/>
      <c r="K36" s="369"/>
      <c r="L36" s="369"/>
      <c r="M36" s="369"/>
      <c r="N36" s="369"/>
      <c r="O36" s="369"/>
      <c r="P36" s="369"/>
      <c r="Q36" s="369"/>
      <c r="R36" s="369"/>
      <c r="S36" s="369"/>
      <c r="T36" s="369"/>
      <c r="U36" s="369"/>
      <c r="V36" s="369"/>
      <c r="W36" s="369"/>
      <c r="X36" s="369"/>
      <c r="Y36" s="369"/>
      <c r="Z36" s="369"/>
      <c r="AA36" s="369"/>
      <c r="AB36" s="369"/>
      <c r="AC36" s="370"/>
      <c r="AD36" s="368"/>
      <c r="AE36" s="369"/>
      <c r="AF36" s="369"/>
      <c r="AG36" s="369"/>
      <c r="AH36" s="369"/>
      <c r="AI36" s="369"/>
      <c r="AJ36" s="369"/>
      <c r="AK36" s="369"/>
      <c r="AL36" s="369"/>
      <c r="AM36" s="369"/>
      <c r="AN36" s="369"/>
      <c r="AO36" s="369"/>
      <c r="AP36" s="370"/>
      <c r="AQ36" s="368"/>
      <c r="AR36" s="369"/>
      <c r="AS36" s="369"/>
      <c r="AT36" s="369"/>
      <c r="AU36" s="369"/>
      <c r="AV36" s="369"/>
      <c r="AW36" s="369"/>
      <c r="AX36" s="369"/>
      <c r="AY36" s="369"/>
      <c r="AZ36" s="369"/>
      <c r="BA36" s="369"/>
      <c r="BB36" s="382"/>
    </row>
    <row r="37" spans="1:54" ht="13.5" customHeight="1">
      <c r="A37" s="349"/>
      <c r="B37" s="350"/>
      <c r="C37" s="351"/>
      <c r="D37" s="355"/>
      <c r="E37" s="356"/>
      <c r="F37" s="357"/>
      <c r="G37" s="361"/>
      <c r="H37" s="350"/>
      <c r="I37" s="351"/>
      <c r="J37" s="368"/>
      <c r="K37" s="369"/>
      <c r="L37" s="369"/>
      <c r="M37" s="369"/>
      <c r="N37" s="369"/>
      <c r="O37" s="369"/>
      <c r="P37" s="369"/>
      <c r="Q37" s="369"/>
      <c r="R37" s="369"/>
      <c r="S37" s="369"/>
      <c r="T37" s="369"/>
      <c r="U37" s="369"/>
      <c r="V37" s="369"/>
      <c r="W37" s="369"/>
      <c r="X37" s="369"/>
      <c r="Y37" s="369"/>
      <c r="Z37" s="369"/>
      <c r="AA37" s="369"/>
      <c r="AB37" s="369"/>
      <c r="AC37" s="370"/>
      <c r="AD37" s="368"/>
      <c r="AE37" s="369"/>
      <c r="AF37" s="369"/>
      <c r="AG37" s="369"/>
      <c r="AH37" s="369"/>
      <c r="AI37" s="369"/>
      <c r="AJ37" s="369"/>
      <c r="AK37" s="369"/>
      <c r="AL37" s="369"/>
      <c r="AM37" s="369"/>
      <c r="AN37" s="369"/>
      <c r="AO37" s="369"/>
      <c r="AP37" s="370"/>
      <c r="AQ37" s="368"/>
      <c r="AR37" s="369"/>
      <c r="AS37" s="369"/>
      <c r="AT37" s="369"/>
      <c r="AU37" s="369"/>
      <c r="AV37" s="369"/>
      <c r="AW37" s="369"/>
      <c r="AX37" s="369"/>
      <c r="AY37" s="369"/>
      <c r="AZ37" s="369"/>
      <c r="BA37" s="369"/>
      <c r="BB37" s="382"/>
    </row>
    <row r="38" spans="1:54" ht="13.5" customHeight="1">
      <c r="A38" s="349"/>
      <c r="B38" s="350"/>
      <c r="C38" s="351"/>
      <c r="D38" s="355"/>
      <c r="E38" s="356"/>
      <c r="F38" s="357"/>
      <c r="G38" s="361"/>
      <c r="H38" s="350"/>
      <c r="I38" s="351"/>
      <c r="J38" s="368"/>
      <c r="K38" s="369"/>
      <c r="L38" s="369"/>
      <c r="M38" s="369"/>
      <c r="N38" s="369"/>
      <c r="O38" s="369"/>
      <c r="P38" s="369"/>
      <c r="Q38" s="369"/>
      <c r="R38" s="369"/>
      <c r="S38" s="369"/>
      <c r="T38" s="369"/>
      <c r="U38" s="369"/>
      <c r="V38" s="369"/>
      <c r="W38" s="369"/>
      <c r="X38" s="369"/>
      <c r="Y38" s="369"/>
      <c r="Z38" s="369"/>
      <c r="AA38" s="369"/>
      <c r="AB38" s="369"/>
      <c r="AC38" s="370"/>
      <c r="AD38" s="368"/>
      <c r="AE38" s="369"/>
      <c r="AF38" s="369"/>
      <c r="AG38" s="369"/>
      <c r="AH38" s="369"/>
      <c r="AI38" s="369"/>
      <c r="AJ38" s="369"/>
      <c r="AK38" s="369"/>
      <c r="AL38" s="369"/>
      <c r="AM38" s="369"/>
      <c r="AN38" s="369"/>
      <c r="AO38" s="369"/>
      <c r="AP38" s="370"/>
      <c r="AQ38" s="368"/>
      <c r="AR38" s="369"/>
      <c r="AS38" s="369"/>
      <c r="AT38" s="369"/>
      <c r="AU38" s="369"/>
      <c r="AV38" s="369"/>
      <c r="AW38" s="369"/>
      <c r="AX38" s="369"/>
      <c r="AY38" s="369"/>
      <c r="AZ38" s="369"/>
      <c r="BA38" s="369"/>
      <c r="BB38" s="382"/>
    </row>
    <row r="39" spans="1:54" ht="13.5" customHeight="1">
      <c r="A39" s="349"/>
      <c r="B39" s="350"/>
      <c r="C39" s="351"/>
      <c r="D39" s="355"/>
      <c r="E39" s="356"/>
      <c r="F39" s="357"/>
      <c r="G39" s="361"/>
      <c r="H39" s="350"/>
      <c r="I39" s="351"/>
      <c r="J39" s="368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69"/>
      <c r="V39" s="369"/>
      <c r="W39" s="369"/>
      <c r="X39" s="369"/>
      <c r="Y39" s="369"/>
      <c r="Z39" s="369"/>
      <c r="AA39" s="369"/>
      <c r="AB39" s="369"/>
      <c r="AC39" s="370"/>
      <c r="AD39" s="368"/>
      <c r="AE39" s="369"/>
      <c r="AF39" s="369"/>
      <c r="AG39" s="369"/>
      <c r="AH39" s="369"/>
      <c r="AI39" s="369"/>
      <c r="AJ39" s="369"/>
      <c r="AK39" s="369"/>
      <c r="AL39" s="369"/>
      <c r="AM39" s="369"/>
      <c r="AN39" s="369"/>
      <c r="AO39" s="369"/>
      <c r="AP39" s="370"/>
      <c r="AQ39" s="368"/>
      <c r="AR39" s="369"/>
      <c r="AS39" s="369"/>
      <c r="AT39" s="369"/>
      <c r="AU39" s="369"/>
      <c r="AV39" s="369"/>
      <c r="AW39" s="369"/>
      <c r="AX39" s="369"/>
      <c r="AY39" s="369"/>
      <c r="AZ39" s="369"/>
      <c r="BA39" s="369"/>
      <c r="BB39" s="382"/>
    </row>
    <row r="40" spans="1:54" ht="13.5" customHeight="1">
      <c r="A40" s="349"/>
      <c r="B40" s="350"/>
      <c r="C40" s="351"/>
      <c r="D40" s="355"/>
      <c r="E40" s="356"/>
      <c r="F40" s="357"/>
      <c r="G40" s="361"/>
      <c r="H40" s="350"/>
      <c r="I40" s="351"/>
      <c r="J40" s="368"/>
      <c r="K40" s="369"/>
      <c r="L40" s="369"/>
      <c r="M40" s="369"/>
      <c r="N40" s="369"/>
      <c r="O40" s="369"/>
      <c r="P40" s="369"/>
      <c r="Q40" s="369"/>
      <c r="R40" s="369"/>
      <c r="S40" s="369"/>
      <c r="T40" s="369"/>
      <c r="U40" s="369"/>
      <c r="V40" s="369"/>
      <c r="W40" s="369"/>
      <c r="X40" s="369"/>
      <c r="Y40" s="369"/>
      <c r="Z40" s="369"/>
      <c r="AA40" s="369"/>
      <c r="AB40" s="369"/>
      <c r="AC40" s="370"/>
      <c r="AD40" s="368"/>
      <c r="AE40" s="369"/>
      <c r="AF40" s="369"/>
      <c r="AG40" s="369"/>
      <c r="AH40" s="369"/>
      <c r="AI40" s="369"/>
      <c r="AJ40" s="369"/>
      <c r="AK40" s="369"/>
      <c r="AL40" s="369"/>
      <c r="AM40" s="369"/>
      <c r="AN40" s="369"/>
      <c r="AO40" s="369"/>
      <c r="AP40" s="370"/>
      <c r="AQ40" s="368"/>
      <c r="AR40" s="369"/>
      <c r="AS40" s="369"/>
      <c r="AT40" s="369"/>
      <c r="AU40" s="369"/>
      <c r="AV40" s="369"/>
      <c r="AW40" s="369"/>
      <c r="AX40" s="369"/>
      <c r="AY40" s="369"/>
      <c r="AZ40" s="369"/>
      <c r="BA40" s="369"/>
      <c r="BB40" s="382"/>
    </row>
    <row r="41" spans="1:54" ht="13.5" customHeight="1">
      <c r="A41" s="349"/>
      <c r="B41" s="350"/>
      <c r="C41" s="351"/>
      <c r="D41" s="355"/>
      <c r="E41" s="356"/>
      <c r="F41" s="357"/>
      <c r="G41" s="361"/>
      <c r="H41" s="350"/>
      <c r="I41" s="351"/>
      <c r="J41" s="368"/>
      <c r="K41" s="369"/>
      <c r="L41" s="369"/>
      <c r="M41" s="369"/>
      <c r="N41" s="369"/>
      <c r="O41" s="369"/>
      <c r="P41" s="369"/>
      <c r="Q41" s="369"/>
      <c r="R41" s="369"/>
      <c r="S41" s="369"/>
      <c r="T41" s="369"/>
      <c r="U41" s="369"/>
      <c r="V41" s="369"/>
      <c r="W41" s="369"/>
      <c r="X41" s="369"/>
      <c r="Y41" s="369"/>
      <c r="Z41" s="369"/>
      <c r="AA41" s="369"/>
      <c r="AB41" s="369"/>
      <c r="AC41" s="370"/>
      <c r="AD41" s="368"/>
      <c r="AE41" s="369"/>
      <c r="AF41" s="369"/>
      <c r="AG41" s="369"/>
      <c r="AH41" s="369"/>
      <c r="AI41" s="369"/>
      <c r="AJ41" s="369"/>
      <c r="AK41" s="369"/>
      <c r="AL41" s="369"/>
      <c r="AM41" s="369"/>
      <c r="AN41" s="369"/>
      <c r="AO41" s="369"/>
      <c r="AP41" s="370"/>
      <c r="AQ41" s="368"/>
      <c r="AR41" s="369"/>
      <c r="AS41" s="369"/>
      <c r="AT41" s="369"/>
      <c r="AU41" s="369"/>
      <c r="AV41" s="369"/>
      <c r="AW41" s="369"/>
      <c r="AX41" s="369"/>
      <c r="AY41" s="369"/>
      <c r="AZ41" s="369"/>
      <c r="BA41" s="369"/>
      <c r="BB41" s="382"/>
    </row>
    <row r="42" spans="1:54" ht="13.5" customHeight="1">
      <c r="A42" s="349"/>
      <c r="B42" s="350"/>
      <c r="C42" s="351"/>
      <c r="D42" s="355"/>
      <c r="E42" s="356"/>
      <c r="F42" s="357"/>
      <c r="G42" s="361"/>
      <c r="H42" s="350"/>
      <c r="I42" s="351"/>
      <c r="J42" s="368"/>
      <c r="K42" s="369"/>
      <c r="L42" s="369"/>
      <c r="M42" s="369"/>
      <c r="N42" s="369"/>
      <c r="O42" s="369"/>
      <c r="P42" s="369"/>
      <c r="Q42" s="369"/>
      <c r="R42" s="369"/>
      <c r="S42" s="369"/>
      <c r="T42" s="369"/>
      <c r="U42" s="369"/>
      <c r="V42" s="369"/>
      <c r="W42" s="369"/>
      <c r="X42" s="369"/>
      <c r="Y42" s="369"/>
      <c r="Z42" s="369"/>
      <c r="AA42" s="369"/>
      <c r="AB42" s="369"/>
      <c r="AC42" s="370"/>
      <c r="AD42" s="368"/>
      <c r="AE42" s="369"/>
      <c r="AF42" s="369"/>
      <c r="AG42" s="369"/>
      <c r="AH42" s="369"/>
      <c r="AI42" s="369"/>
      <c r="AJ42" s="369"/>
      <c r="AK42" s="369"/>
      <c r="AL42" s="369"/>
      <c r="AM42" s="369"/>
      <c r="AN42" s="369"/>
      <c r="AO42" s="369"/>
      <c r="AP42" s="370"/>
      <c r="AQ42" s="368"/>
      <c r="AR42" s="369"/>
      <c r="AS42" s="369"/>
      <c r="AT42" s="369"/>
      <c r="AU42" s="369"/>
      <c r="AV42" s="369"/>
      <c r="AW42" s="369"/>
      <c r="AX42" s="369"/>
      <c r="AY42" s="369"/>
      <c r="AZ42" s="369"/>
      <c r="BA42" s="369"/>
      <c r="BB42" s="382"/>
    </row>
    <row r="43" spans="1:54" ht="13.5" customHeight="1">
      <c r="A43" s="349"/>
      <c r="B43" s="350"/>
      <c r="C43" s="351"/>
      <c r="D43" s="355"/>
      <c r="E43" s="356"/>
      <c r="F43" s="357"/>
      <c r="G43" s="361"/>
      <c r="H43" s="350"/>
      <c r="I43" s="351"/>
      <c r="J43" s="368"/>
      <c r="K43" s="369"/>
      <c r="L43" s="369"/>
      <c r="M43" s="369"/>
      <c r="N43" s="369"/>
      <c r="O43" s="369"/>
      <c r="P43" s="369"/>
      <c r="Q43" s="369"/>
      <c r="R43" s="369"/>
      <c r="S43" s="369"/>
      <c r="T43" s="369"/>
      <c r="U43" s="369"/>
      <c r="V43" s="369"/>
      <c r="W43" s="369"/>
      <c r="X43" s="369"/>
      <c r="Y43" s="369"/>
      <c r="Z43" s="369"/>
      <c r="AA43" s="369"/>
      <c r="AB43" s="369"/>
      <c r="AC43" s="370"/>
      <c r="AD43" s="368"/>
      <c r="AE43" s="369"/>
      <c r="AF43" s="369"/>
      <c r="AG43" s="369"/>
      <c r="AH43" s="369"/>
      <c r="AI43" s="369"/>
      <c r="AJ43" s="369"/>
      <c r="AK43" s="369"/>
      <c r="AL43" s="369"/>
      <c r="AM43" s="369"/>
      <c r="AN43" s="369"/>
      <c r="AO43" s="369"/>
      <c r="AP43" s="370"/>
      <c r="AQ43" s="368"/>
      <c r="AR43" s="369"/>
      <c r="AS43" s="369"/>
      <c r="AT43" s="369"/>
      <c r="AU43" s="369"/>
      <c r="AV43" s="369"/>
      <c r="AW43" s="369"/>
      <c r="AX43" s="369"/>
      <c r="AY43" s="369"/>
      <c r="AZ43" s="369"/>
      <c r="BA43" s="369"/>
      <c r="BB43" s="382"/>
    </row>
    <row r="44" spans="1:54" ht="13.5" customHeight="1">
      <c r="A44" s="349"/>
      <c r="B44" s="350"/>
      <c r="C44" s="351"/>
      <c r="D44" s="355"/>
      <c r="E44" s="356"/>
      <c r="F44" s="357"/>
      <c r="G44" s="361"/>
      <c r="H44" s="350"/>
      <c r="I44" s="351"/>
      <c r="J44" s="368"/>
      <c r="K44" s="369"/>
      <c r="L44" s="369"/>
      <c r="M44" s="369"/>
      <c r="N44" s="369"/>
      <c r="O44" s="369"/>
      <c r="P44" s="369"/>
      <c r="Q44" s="369"/>
      <c r="R44" s="369"/>
      <c r="S44" s="369"/>
      <c r="T44" s="369"/>
      <c r="U44" s="369"/>
      <c r="V44" s="369"/>
      <c r="W44" s="369"/>
      <c r="X44" s="369"/>
      <c r="Y44" s="369"/>
      <c r="Z44" s="369"/>
      <c r="AA44" s="369"/>
      <c r="AB44" s="369"/>
      <c r="AC44" s="370"/>
      <c r="AD44" s="368"/>
      <c r="AE44" s="369"/>
      <c r="AF44" s="369"/>
      <c r="AG44" s="369"/>
      <c r="AH44" s="369"/>
      <c r="AI44" s="369"/>
      <c r="AJ44" s="369"/>
      <c r="AK44" s="369"/>
      <c r="AL44" s="369"/>
      <c r="AM44" s="369"/>
      <c r="AN44" s="369"/>
      <c r="AO44" s="369"/>
      <c r="AP44" s="370"/>
      <c r="AQ44" s="368"/>
      <c r="AR44" s="369"/>
      <c r="AS44" s="369"/>
      <c r="AT44" s="369"/>
      <c r="AU44" s="369"/>
      <c r="AV44" s="369"/>
      <c r="AW44" s="369"/>
      <c r="AX44" s="369"/>
      <c r="AY44" s="369"/>
      <c r="AZ44" s="369"/>
      <c r="BA44" s="369"/>
      <c r="BB44" s="382"/>
    </row>
    <row r="45" spans="1:54" ht="13.5" customHeight="1">
      <c r="A45" s="349"/>
      <c r="B45" s="350"/>
      <c r="C45" s="351"/>
      <c r="D45" s="355"/>
      <c r="E45" s="356"/>
      <c r="F45" s="357"/>
      <c r="G45" s="361"/>
      <c r="H45" s="350"/>
      <c r="I45" s="351"/>
      <c r="J45" s="368"/>
      <c r="K45" s="369"/>
      <c r="L45" s="369"/>
      <c r="M45" s="369"/>
      <c r="N45" s="369"/>
      <c r="O45" s="369"/>
      <c r="P45" s="369"/>
      <c r="Q45" s="369"/>
      <c r="R45" s="369"/>
      <c r="S45" s="369"/>
      <c r="T45" s="369"/>
      <c r="U45" s="369"/>
      <c r="V45" s="369"/>
      <c r="W45" s="369"/>
      <c r="X45" s="369"/>
      <c r="Y45" s="369"/>
      <c r="Z45" s="369"/>
      <c r="AA45" s="369"/>
      <c r="AB45" s="369"/>
      <c r="AC45" s="370"/>
      <c r="AD45" s="368"/>
      <c r="AE45" s="369"/>
      <c r="AF45" s="369"/>
      <c r="AG45" s="369"/>
      <c r="AH45" s="369"/>
      <c r="AI45" s="369"/>
      <c r="AJ45" s="369"/>
      <c r="AK45" s="369"/>
      <c r="AL45" s="369"/>
      <c r="AM45" s="369"/>
      <c r="AN45" s="369"/>
      <c r="AO45" s="369"/>
      <c r="AP45" s="370"/>
      <c r="AQ45" s="368"/>
      <c r="AR45" s="369"/>
      <c r="AS45" s="369"/>
      <c r="AT45" s="369"/>
      <c r="AU45" s="369"/>
      <c r="AV45" s="369"/>
      <c r="AW45" s="369"/>
      <c r="AX45" s="369"/>
      <c r="AY45" s="369"/>
      <c r="AZ45" s="369"/>
      <c r="BA45" s="369"/>
      <c r="BB45" s="382"/>
    </row>
    <row r="46" spans="1:54" ht="13.5" customHeight="1">
      <c r="A46" s="349"/>
      <c r="B46" s="350"/>
      <c r="C46" s="351"/>
      <c r="D46" s="355"/>
      <c r="E46" s="356"/>
      <c r="F46" s="357"/>
      <c r="G46" s="361"/>
      <c r="H46" s="350"/>
      <c r="I46" s="351"/>
      <c r="J46" s="368"/>
      <c r="K46" s="369"/>
      <c r="L46" s="369"/>
      <c r="M46" s="369"/>
      <c r="N46" s="369"/>
      <c r="O46" s="369"/>
      <c r="P46" s="369"/>
      <c r="Q46" s="369"/>
      <c r="R46" s="369"/>
      <c r="S46" s="369"/>
      <c r="T46" s="369"/>
      <c r="U46" s="369"/>
      <c r="V46" s="369"/>
      <c r="W46" s="369"/>
      <c r="X46" s="369"/>
      <c r="Y46" s="369"/>
      <c r="Z46" s="369"/>
      <c r="AA46" s="369"/>
      <c r="AB46" s="369"/>
      <c r="AC46" s="370"/>
      <c r="AD46" s="368"/>
      <c r="AE46" s="369"/>
      <c r="AF46" s="369"/>
      <c r="AG46" s="369"/>
      <c r="AH46" s="369"/>
      <c r="AI46" s="369"/>
      <c r="AJ46" s="369"/>
      <c r="AK46" s="369"/>
      <c r="AL46" s="369"/>
      <c r="AM46" s="369"/>
      <c r="AN46" s="369"/>
      <c r="AO46" s="369"/>
      <c r="AP46" s="370"/>
      <c r="AQ46" s="368"/>
      <c r="AR46" s="369"/>
      <c r="AS46" s="369"/>
      <c r="AT46" s="369"/>
      <c r="AU46" s="369"/>
      <c r="AV46" s="369"/>
      <c r="AW46" s="369"/>
      <c r="AX46" s="369"/>
      <c r="AY46" s="369"/>
      <c r="AZ46" s="369"/>
      <c r="BA46" s="369"/>
      <c r="BB46" s="382"/>
    </row>
    <row r="47" spans="1:54" ht="13.5" customHeight="1">
      <c r="A47" s="349"/>
      <c r="B47" s="350"/>
      <c r="C47" s="351"/>
      <c r="D47" s="355"/>
      <c r="E47" s="356"/>
      <c r="F47" s="357"/>
      <c r="G47" s="361"/>
      <c r="H47" s="350"/>
      <c r="I47" s="351"/>
      <c r="J47" s="368"/>
      <c r="K47" s="369"/>
      <c r="L47" s="369"/>
      <c r="M47" s="369"/>
      <c r="N47" s="369"/>
      <c r="O47" s="369"/>
      <c r="P47" s="369"/>
      <c r="Q47" s="369"/>
      <c r="R47" s="369"/>
      <c r="S47" s="369"/>
      <c r="T47" s="369"/>
      <c r="U47" s="369"/>
      <c r="V47" s="369"/>
      <c r="W47" s="369"/>
      <c r="X47" s="369"/>
      <c r="Y47" s="369"/>
      <c r="Z47" s="369"/>
      <c r="AA47" s="369"/>
      <c r="AB47" s="369"/>
      <c r="AC47" s="370"/>
      <c r="AD47" s="368"/>
      <c r="AE47" s="369"/>
      <c r="AF47" s="369"/>
      <c r="AG47" s="369"/>
      <c r="AH47" s="369"/>
      <c r="AI47" s="369"/>
      <c r="AJ47" s="369"/>
      <c r="AK47" s="369"/>
      <c r="AL47" s="369"/>
      <c r="AM47" s="369"/>
      <c r="AN47" s="369"/>
      <c r="AO47" s="369"/>
      <c r="AP47" s="370"/>
      <c r="AQ47" s="368"/>
      <c r="AR47" s="369"/>
      <c r="AS47" s="369"/>
      <c r="AT47" s="369"/>
      <c r="AU47" s="369"/>
      <c r="AV47" s="369"/>
      <c r="AW47" s="369"/>
      <c r="AX47" s="369"/>
      <c r="AY47" s="369"/>
      <c r="AZ47" s="369"/>
      <c r="BA47" s="369"/>
      <c r="BB47" s="382"/>
    </row>
    <row r="48" spans="1:54" ht="13.5" customHeight="1">
      <c r="A48" s="349"/>
      <c r="B48" s="350"/>
      <c r="C48" s="351"/>
      <c r="D48" s="355"/>
      <c r="E48" s="356"/>
      <c r="F48" s="357"/>
      <c r="G48" s="361"/>
      <c r="H48" s="350"/>
      <c r="I48" s="351"/>
      <c r="J48" s="368"/>
      <c r="K48" s="369"/>
      <c r="L48" s="369"/>
      <c r="M48" s="369"/>
      <c r="N48" s="369"/>
      <c r="O48" s="369"/>
      <c r="P48" s="369"/>
      <c r="Q48" s="369"/>
      <c r="R48" s="369"/>
      <c r="S48" s="369"/>
      <c r="T48" s="369"/>
      <c r="U48" s="369"/>
      <c r="V48" s="369"/>
      <c r="W48" s="369"/>
      <c r="X48" s="369"/>
      <c r="Y48" s="369"/>
      <c r="Z48" s="369"/>
      <c r="AA48" s="369"/>
      <c r="AB48" s="369"/>
      <c r="AC48" s="370"/>
      <c r="AD48" s="368"/>
      <c r="AE48" s="369"/>
      <c r="AF48" s="369"/>
      <c r="AG48" s="369"/>
      <c r="AH48" s="369"/>
      <c r="AI48" s="369"/>
      <c r="AJ48" s="369"/>
      <c r="AK48" s="369"/>
      <c r="AL48" s="369"/>
      <c r="AM48" s="369"/>
      <c r="AN48" s="369"/>
      <c r="AO48" s="369"/>
      <c r="AP48" s="370"/>
      <c r="AQ48" s="368"/>
      <c r="AR48" s="369"/>
      <c r="AS48" s="369"/>
      <c r="AT48" s="369"/>
      <c r="AU48" s="369"/>
      <c r="AV48" s="369"/>
      <c r="AW48" s="369"/>
      <c r="AX48" s="369"/>
      <c r="AY48" s="369"/>
      <c r="AZ48" s="369"/>
      <c r="BA48" s="369"/>
      <c r="BB48" s="382"/>
    </row>
    <row r="49" spans="1:54" ht="13.5" customHeight="1" thickBot="1">
      <c r="A49" s="362"/>
      <c r="B49" s="363"/>
      <c r="C49" s="364"/>
      <c r="D49" s="365"/>
      <c r="E49" s="366"/>
      <c r="F49" s="367"/>
      <c r="G49" s="371"/>
      <c r="H49" s="363"/>
      <c r="I49" s="364"/>
      <c r="J49" s="378"/>
      <c r="K49" s="379"/>
      <c r="L49" s="379"/>
      <c r="M49" s="379"/>
      <c r="N49" s="379"/>
      <c r="O49" s="379"/>
      <c r="P49" s="379"/>
      <c r="Q49" s="379"/>
      <c r="R49" s="379"/>
      <c r="S49" s="379"/>
      <c r="T49" s="379"/>
      <c r="U49" s="379"/>
      <c r="V49" s="379"/>
      <c r="W49" s="379"/>
      <c r="X49" s="379"/>
      <c r="Y49" s="379"/>
      <c r="Z49" s="379"/>
      <c r="AA49" s="379"/>
      <c r="AB49" s="379"/>
      <c r="AC49" s="380"/>
      <c r="AD49" s="378"/>
      <c r="AE49" s="379"/>
      <c r="AF49" s="379"/>
      <c r="AG49" s="379"/>
      <c r="AH49" s="379"/>
      <c r="AI49" s="379"/>
      <c r="AJ49" s="379"/>
      <c r="AK49" s="379"/>
      <c r="AL49" s="379"/>
      <c r="AM49" s="379"/>
      <c r="AN49" s="379"/>
      <c r="AO49" s="379"/>
      <c r="AP49" s="380"/>
      <c r="AQ49" s="378"/>
      <c r="AR49" s="379"/>
      <c r="AS49" s="379"/>
      <c r="AT49" s="379"/>
      <c r="AU49" s="379"/>
      <c r="AV49" s="379"/>
      <c r="AW49" s="379"/>
      <c r="AX49" s="379"/>
      <c r="AY49" s="379"/>
      <c r="AZ49" s="379"/>
      <c r="BA49" s="379"/>
      <c r="BB49" s="383"/>
    </row>
  </sheetData>
  <mergeCells count="284">
    <mergeCell ref="AQ46:BB46"/>
    <mergeCell ref="AQ47:BB47"/>
    <mergeCell ref="AQ48:BB48"/>
    <mergeCell ref="AQ49:BB49"/>
    <mergeCell ref="AQ41:BB41"/>
    <mergeCell ref="AQ42:BB42"/>
    <mergeCell ref="AQ43:BB43"/>
    <mergeCell ref="AQ44:BB44"/>
    <mergeCell ref="AQ45:BB45"/>
    <mergeCell ref="AQ36:BB36"/>
    <mergeCell ref="AQ37:BB37"/>
    <mergeCell ref="AQ38:BB38"/>
    <mergeCell ref="AQ39:BB39"/>
    <mergeCell ref="AQ40:BB40"/>
    <mergeCell ref="AQ31:BB31"/>
    <mergeCell ref="AQ32:BB32"/>
    <mergeCell ref="AQ33:BB33"/>
    <mergeCell ref="AQ34:BB34"/>
    <mergeCell ref="AQ35:BB35"/>
    <mergeCell ref="AQ26:BB26"/>
    <mergeCell ref="AQ27:BB27"/>
    <mergeCell ref="AQ28:BB28"/>
    <mergeCell ref="AQ29:BB29"/>
    <mergeCell ref="AQ30:BB30"/>
    <mergeCell ref="AQ21:BB21"/>
    <mergeCell ref="AQ22:BB22"/>
    <mergeCell ref="AQ23:BB23"/>
    <mergeCell ref="AQ24:BB24"/>
    <mergeCell ref="AQ25:BB25"/>
    <mergeCell ref="AD49:AP49"/>
    <mergeCell ref="AQ6:BB6"/>
    <mergeCell ref="AQ7:BB7"/>
    <mergeCell ref="AQ8:BB8"/>
    <mergeCell ref="AQ9:BB9"/>
    <mergeCell ref="AQ10:BB10"/>
    <mergeCell ref="AQ11:BB11"/>
    <mergeCell ref="AQ12:BB12"/>
    <mergeCell ref="AQ13:BB13"/>
    <mergeCell ref="AQ14:BB14"/>
    <mergeCell ref="AQ15:BB15"/>
    <mergeCell ref="AQ16:BB16"/>
    <mergeCell ref="AQ17:BB17"/>
    <mergeCell ref="AQ18:BB18"/>
    <mergeCell ref="AQ19:BB19"/>
    <mergeCell ref="AQ20:BB20"/>
    <mergeCell ref="AD44:AP44"/>
    <mergeCell ref="AD45:AP45"/>
    <mergeCell ref="AD46:AP46"/>
    <mergeCell ref="AD47:AP47"/>
    <mergeCell ref="AD48:AP48"/>
    <mergeCell ref="AD39:AP39"/>
    <mergeCell ref="AD40:AP40"/>
    <mergeCell ref="AD41:AP41"/>
    <mergeCell ref="AD42:AP42"/>
    <mergeCell ref="AD43:AP43"/>
    <mergeCell ref="AD34:AP34"/>
    <mergeCell ref="AD35:AP35"/>
    <mergeCell ref="AD36:AP36"/>
    <mergeCell ref="AD37:AP37"/>
    <mergeCell ref="AD38:AP38"/>
    <mergeCell ref="AD29:AP29"/>
    <mergeCell ref="AD30:AP30"/>
    <mergeCell ref="AD31:AP31"/>
    <mergeCell ref="AD32:AP32"/>
    <mergeCell ref="AD33:AP33"/>
    <mergeCell ref="AD24:AP24"/>
    <mergeCell ref="AD25:AP25"/>
    <mergeCell ref="AD26:AP26"/>
    <mergeCell ref="AD27:AP27"/>
    <mergeCell ref="AD28:AP28"/>
    <mergeCell ref="AD19:AP19"/>
    <mergeCell ref="AD20:AP20"/>
    <mergeCell ref="AD21:AP21"/>
    <mergeCell ref="AD22:AP22"/>
    <mergeCell ref="AD23:AP23"/>
    <mergeCell ref="J47:AC47"/>
    <mergeCell ref="J48:AC48"/>
    <mergeCell ref="J49:AC49"/>
    <mergeCell ref="AD6:AP6"/>
    <mergeCell ref="AD7:AP7"/>
    <mergeCell ref="AD8:AP8"/>
    <mergeCell ref="AD9:AP9"/>
    <mergeCell ref="AD10:AP10"/>
    <mergeCell ref="AD11:AP11"/>
    <mergeCell ref="AD12:AP12"/>
    <mergeCell ref="AD13:AP13"/>
    <mergeCell ref="AD14:AP14"/>
    <mergeCell ref="AD15:AP15"/>
    <mergeCell ref="AD16:AP16"/>
    <mergeCell ref="AD17:AP17"/>
    <mergeCell ref="AD18:AP18"/>
    <mergeCell ref="J42:AC42"/>
    <mergeCell ref="J43:AC43"/>
    <mergeCell ref="J44:AC44"/>
    <mergeCell ref="J45:AC45"/>
    <mergeCell ref="J46:AC46"/>
    <mergeCell ref="J37:AC37"/>
    <mergeCell ref="J38:AC38"/>
    <mergeCell ref="J39:AC39"/>
    <mergeCell ref="J40:AC40"/>
    <mergeCell ref="J41:AC41"/>
    <mergeCell ref="J32:AC32"/>
    <mergeCell ref="J33:AC33"/>
    <mergeCell ref="J34:AC34"/>
    <mergeCell ref="J35:AC35"/>
    <mergeCell ref="J36:AC36"/>
    <mergeCell ref="J27:AC27"/>
    <mergeCell ref="J28:AC28"/>
    <mergeCell ref="J29:AC29"/>
    <mergeCell ref="J30:AC30"/>
    <mergeCell ref="J31:AC31"/>
    <mergeCell ref="J22:AC22"/>
    <mergeCell ref="J23:AC23"/>
    <mergeCell ref="J24:AC24"/>
    <mergeCell ref="J25:AC25"/>
    <mergeCell ref="J26:AC26"/>
    <mergeCell ref="G49:I49"/>
    <mergeCell ref="J6:AC6"/>
    <mergeCell ref="J7:AC7"/>
    <mergeCell ref="J8:AC8"/>
    <mergeCell ref="J10:AC10"/>
    <mergeCell ref="J11:AC11"/>
    <mergeCell ref="J12:AC12"/>
    <mergeCell ref="J13:AC13"/>
    <mergeCell ref="J14:AC14"/>
    <mergeCell ref="J15:AC15"/>
    <mergeCell ref="J16:AC16"/>
    <mergeCell ref="J17:AC17"/>
    <mergeCell ref="J18:AC18"/>
    <mergeCell ref="J19:AC19"/>
    <mergeCell ref="J20:AC20"/>
    <mergeCell ref="J21:AC21"/>
    <mergeCell ref="G44:I44"/>
    <mergeCell ref="G45:I45"/>
    <mergeCell ref="G46:I46"/>
    <mergeCell ref="G47:I47"/>
    <mergeCell ref="G48:I48"/>
    <mergeCell ref="G39:I39"/>
    <mergeCell ref="G40:I40"/>
    <mergeCell ref="G41:I41"/>
    <mergeCell ref="G42:I42"/>
    <mergeCell ref="G43:I43"/>
    <mergeCell ref="G34:I34"/>
    <mergeCell ref="G35:I35"/>
    <mergeCell ref="G36:I36"/>
    <mergeCell ref="G37:I37"/>
    <mergeCell ref="G38:I38"/>
    <mergeCell ref="G29:I29"/>
    <mergeCell ref="G30:I30"/>
    <mergeCell ref="G31:I31"/>
    <mergeCell ref="G32:I32"/>
    <mergeCell ref="G33:I33"/>
    <mergeCell ref="G24:I24"/>
    <mergeCell ref="G25:I25"/>
    <mergeCell ref="G26:I26"/>
    <mergeCell ref="G27:I27"/>
    <mergeCell ref="G28:I28"/>
    <mergeCell ref="G20:I20"/>
    <mergeCell ref="G21:I21"/>
    <mergeCell ref="G22:I22"/>
    <mergeCell ref="G23:I23"/>
    <mergeCell ref="G14:I14"/>
    <mergeCell ref="G15:I15"/>
    <mergeCell ref="G16:I16"/>
    <mergeCell ref="G17:I17"/>
    <mergeCell ref="G18:I18"/>
    <mergeCell ref="G10:I10"/>
    <mergeCell ref="G11:I11"/>
    <mergeCell ref="G12:I12"/>
    <mergeCell ref="G13:I13"/>
    <mergeCell ref="D45:F45"/>
    <mergeCell ref="D46:F46"/>
    <mergeCell ref="D47:F47"/>
    <mergeCell ref="D48:F48"/>
    <mergeCell ref="D30:F30"/>
    <mergeCell ref="D31:F31"/>
    <mergeCell ref="D32:F32"/>
    <mergeCell ref="D33:F33"/>
    <mergeCell ref="D34:F34"/>
    <mergeCell ref="D25:F25"/>
    <mergeCell ref="D26:F26"/>
    <mergeCell ref="D27:F27"/>
    <mergeCell ref="D28:F28"/>
    <mergeCell ref="D29:F29"/>
    <mergeCell ref="D20:F20"/>
    <mergeCell ref="D21:F21"/>
    <mergeCell ref="D22:F22"/>
    <mergeCell ref="D23:F23"/>
    <mergeCell ref="D24:F24"/>
    <mergeCell ref="G19:I19"/>
    <mergeCell ref="D49:F49"/>
    <mergeCell ref="D40:F40"/>
    <mergeCell ref="D41:F41"/>
    <mergeCell ref="D42:F42"/>
    <mergeCell ref="D43:F43"/>
    <mergeCell ref="D44:F44"/>
    <mergeCell ref="D35:F35"/>
    <mergeCell ref="D36:F36"/>
    <mergeCell ref="D37:F37"/>
    <mergeCell ref="D38:F38"/>
    <mergeCell ref="D39:F39"/>
    <mergeCell ref="D15:F15"/>
    <mergeCell ref="D16:F16"/>
    <mergeCell ref="D17:F17"/>
    <mergeCell ref="D18:F18"/>
    <mergeCell ref="D19:F19"/>
    <mergeCell ref="D10:F10"/>
    <mergeCell ref="D11:F11"/>
    <mergeCell ref="D12:F12"/>
    <mergeCell ref="D13:F13"/>
    <mergeCell ref="D14:F14"/>
    <mergeCell ref="A45:C45"/>
    <mergeCell ref="A46:C46"/>
    <mergeCell ref="A47:C47"/>
    <mergeCell ref="A48:C48"/>
    <mergeCell ref="A49:C49"/>
    <mergeCell ref="A40:C40"/>
    <mergeCell ref="A41:C41"/>
    <mergeCell ref="A42:C42"/>
    <mergeCell ref="A43:C43"/>
    <mergeCell ref="A44:C44"/>
    <mergeCell ref="A35:C35"/>
    <mergeCell ref="A36:C36"/>
    <mergeCell ref="A37:C37"/>
    <mergeCell ref="A38:C38"/>
    <mergeCell ref="A39:C39"/>
    <mergeCell ref="A30:C30"/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20:C20"/>
    <mergeCell ref="A21:C21"/>
    <mergeCell ref="A22:C22"/>
    <mergeCell ref="A23:C23"/>
    <mergeCell ref="A24:C24"/>
    <mergeCell ref="A15:C15"/>
    <mergeCell ref="A16:C16"/>
    <mergeCell ref="A17:C17"/>
    <mergeCell ref="A18:C18"/>
    <mergeCell ref="A19:C19"/>
    <mergeCell ref="A10:C10"/>
    <mergeCell ref="A11:C11"/>
    <mergeCell ref="A12:C12"/>
    <mergeCell ref="A13:C13"/>
    <mergeCell ref="A14:C14"/>
    <mergeCell ref="A3:G3"/>
    <mergeCell ref="H3:AJ3"/>
    <mergeCell ref="AK3:AN3"/>
    <mergeCell ref="AO3:BB3"/>
    <mergeCell ref="J9:AC9"/>
    <mergeCell ref="A6:C6"/>
    <mergeCell ref="A7:C7"/>
    <mergeCell ref="A8:C8"/>
    <mergeCell ref="A9:C9"/>
    <mergeCell ref="D6:F6"/>
    <mergeCell ref="D7:F7"/>
    <mergeCell ref="D8:F8"/>
    <mergeCell ref="D9:F9"/>
    <mergeCell ref="G6:I6"/>
    <mergeCell ref="G7:I7"/>
    <mergeCell ref="G8:I8"/>
    <mergeCell ref="G9:I9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printOptions horizontalCentered="1" verticalCentered="1"/>
  <pageMargins left="0.39370078740157499" right="0.39370078740157499" top="0.39370078740157499" bottom="0.47244094488189003" header="0.31496062992126" footer="0.196850393700787"/>
  <pageSetup paperSize="9" scale="82" fitToHeight="0" orientation="landscape" r:id="rId1"/>
  <headerFooter alignWithMargins="0">
    <oddFooter>&amp;L&amp;"ＭＳ ゴシック,太字"&amp;F　&amp;A&amp;R&amp;P / &amp;N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B21"/>
  <sheetViews>
    <sheetView showGridLines="0" zoomScaleNormal="100" zoomScaleSheetLayoutView="85" workbookViewId="0">
      <selection activeCell="AJ25" sqref="AJ25"/>
    </sheetView>
  </sheetViews>
  <sheetFormatPr defaultColWidth="3.5703125" defaultRowHeight="13.5" customHeight="1"/>
  <cols>
    <col min="1" max="16384" width="3.5703125" style="78"/>
  </cols>
  <sheetData>
    <row r="1" spans="1:54" s="75" customFormat="1" ht="13.5" customHeight="1">
      <c r="A1" s="394" t="s">
        <v>1</v>
      </c>
      <c r="B1" s="395"/>
      <c r="C1" s="395"/>
      <c r="D1" s="395"/>
      <c r="E1" s="395"/>
      <c r="F1" s="395"/>
      <c r="G1" s="396"/>
      <c r="H1" s="285" t="str">
        <f>表紙!N27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397" t="s">
        <v>461</v>
      </c>
      <c r="X1" s="398"/>
      <c r="Y1" s="398"/>
      <c r="Z1" s="398"/>
      <c r="AA1" s="399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tr">
        <f>CreateBy</f>
        <v>○○　✕✕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f>CreateAt</f>
        <v>44287</v>
      </c>
      <c r="AY1" s="263"/>
      <c r="AZ1" s="263"/>
      <c r="BA1" s="263"/>
      <c r="BB1" s="264"/>
    </row>
    <row r="2" spans="1:54" s="75" customFormat="1" ht="13.5" customHeight="1">
      <c r="A2" s="388" t="s">
        <v>464</v>
      </c>
      <c r="B2" s="389"/>
      <c r="C2" s="389"/>
      <c r="D2" s="389"/>
      <c r="E2" s="389"/>
      <c r="F2" s="389"/>
      <c r="G2" s="390"/>
      <c r="H2" s="268" t="str">
        <f>表紙!N31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391" t="s">
        <v>465</v>
      </c>
      <c r="X2" s="392"/>
      <c r="Y2" s="392"/>
      <c r="Z2" s="392"/>
      <c r="AA2" s="393"/>
      <c r="AB2" s="271" t="str">
        <f>表紙!N35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</row>
    <row r="3" spans="1:54" s="75" customFormat="1" ht="13.5" customHeight="1" thickBot="1">
      <c r="A3" s="406" t="s">
        <v>468</v>
      </c>
      <c r="B3" s="407"/>
      <c r="C3" s="407"/>
      <c r="D3" s="407"/>
      <c r="E3" s="407"/>
      <c r="F3" s="407"/>
      <c r="G3" s="408"/>
      <c r="H3" s="244" t="str">
        <f>表紙!F13</f>
        <v>データベース設計書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tr">
        <f ca="1">RIGHT(CELL("filename",A2),LEN(CELL("filename",A2))-FIND("]",CELL("filename",A2)))</f>
        <v>1.エンティティ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</row>
    <row r="4" spans="1:54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54" s="75" customFormat="1" ht="13.5" customHeight="1">
      <c r="A5" s="229" t="s">
        <v>506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</row>
    <row r="6" spans="1:54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</row>
    <row r="7" spans="1:54" s="75" customFormat="1" ht="13.5" customHeight="1">
      <c r="A7" s="292" t="s">
        <v>475</v>
      </c>
      <c r="B7" s="294" t="s">
        <v>507</v>
      </c>
      <c r="C7" s="295"/>
      <c r="D7" s="295"/>
      <c r="E7" s="295"/>
      <c r="F7" s="295"/>
      <c r="G7" s="295"/>
      <c r="H7" s="295"/>
      <c r="I7" s="295"/>
      <c r="J7" s="295"/>
      <c r="K7" s="296"/>
      <c r="L7" s="294" t="s">
        <v>109</v>
      </c>
      <c r="M7" s="295"/>
      <c r="N7" s="295"/>
      <c r="O7" s="295"/>
      <c r="P7" s="295"/>
      <c r="Q7" s="295"/>
      <c r="R7" s="295"/>
      <c r="S7" s="295"/>
      <c r="T7" s="295"/>
      <c r="U7" s="296"/>
      <c r="V7" s="294" t="s">
        <v>508</v>
      </c>
      <c r="W7" s="295"/>
      <c r="X7" s="295"/>
      <c r="Y7" s="295"/>
      <c r="Z7" s="295"/>
      <c r="AA7" s="295"/>
      <c r="AB7" s="295"/>
      <c r="AC7" s="295"/>
      <c r="AD7" s="295"/>
      <c r="AE7" s="296"/>
      <c r="AF7" s="400" t="s">
        <v>509</v>
      </c>
      <c r="AG7" s="401"/>
      <c r="AH7" s="401"/>
      <c r="AI7" s="401"/>
      <c r="AJ7" s="401"/>
      <c r="AK7" s="401"/>
      <c r="AL7" s="401"/>
      <c r="AM7" s="401"/>
      <c r="AN7" s="401"/>
      <c r="AO7" s="401"/>
      <c r="AP7" s="401"/>
      <c r="AQ7" s="401"/>
      <c r="AR7" s="401"/>
      <c r="AS7" s="401"/>
      <c r="AT7" s="401"/>
      <c r="AU7" s="401"/>
      <c r="AV7" s="401"/>
      <c r="AW7" s="401"/>
      <c r="AX7" s="401"/>
      <c r="AY7" s="401"/>
      <c r="AZ7" s="401"/>
      <c r="BA7" s="401"/>
      <c r="BB7" s="402"/>
    </row>
    <row r="8" spans="1:54" s="75" customFormat="1" ht="13.5" customHeight="1">
      <c r="A8" s="293"/>
      <c r="B8" s="297"/>
      <c r="C8" s="298"/>
      <c r="D8" s="298"/>
      <c r="E8" s="298"/>
      <c r="F8" s="298"/>
      <c r="G8" s="298"/>
      <c r="H8" s="298"/>
      <c r="I8" s="298"/>
      <c r="J8" s="298"/>
      <c r="K8" s="299"/>
      <c r="L8" s="297"/>
      <c r="M8" s="298"/>
      <c r="N8" s="298"/>
      <c r="O8" s="298"/>
      <c r="P8" s="298"/>
      <c r="Q8" s="298"/>
      <c r="R8" s="298"/>
      <c r="S8" s="298"/>
      <c r="T8" s="298"/>
      <c r="U8" s="299"/>
      <c r="V8" s="297"/>
      <c r="W8" s="298"/>
      <c r="X8" s="298"/>
      <c r="Y8" s="298"/>
      <c r="Z8" s="298"/>
      <c r="AA8" s="298"/>
      <c r="AB8" s="298"/>
      <c r="AC8" s="298"/>
      <c r="AD8" s="298"/>
      <c r="AE8" s="299"/>
      <c r="AF8" s="403"/>
      <c r="AG8" s="404"/>
      <c r="AH8" s="404"/>
      <c r="AI8" s="404"/>
      <c r="AJ8" s="404"/>
      <c r="AK8" s="404"/>
      <c r="AL8" s="404"/>
      <c r="AM8" s="404"/>
      <c r="AN8" s="404"/>
      <c r="AO8" s="404"/>
      <c r="AP8" s="404"/>
      <c r="AQ8" s="404"/>
      <c r="AR8" s="404"/>
      <c r="AS8" s="404"/>
      <c r="AT8" s="404"/>
      <c r="AU8" s="404"/>
      <c r="AV8" s="404"/>
      <c r="AW8" s="404"/>
      <c r="AX8" s="404"/>
      <c r="AY8" s="404"/>
      <c r="AZ8" s="404"/>
      <c r="BA8" s="404"/>
      <c r="BB8" s="405"/>
    </row>
    <row r="9" spans="1:54" s="75" customFormat="1" ht="13.5" customHeight="1">
      <c r="A9" s="84">
        <v>1</v>
      </c>
      <c r="B9" s="214"/>
      <c r="C9" s="215"/>
      <c r="D9" s="215"/>
      <c r="E9" s="215"/>
      <c r="F9" s="215"/>
      <c r="G9" s="215"/>
      <c r="H9" s="215"/>
      <c r="I9" s="215"/>
      <c r="J9" s="215"/>
      <c r="K9" s="313"/>
      <c r="L9" s="409"/>
      <c r="M9" s="410"/>
      <c r="N9" s="410"/>
      <c r="O9" s="410"/>
      <c r="P9" s="410"/>
      <c r="Q9" s="410"/>
      <c r="R9" s="410"/>
      <c r="S9" s="410"/>
      <c r="T9" s="410"/>
      <c r="U9" s="411"/>
      <c r="V9" s="220"/>
      <c r="W9" s="221"/>
      <c r="X9" s="221"/>
      <c r="Y9" s="221"/>
      <c r="Z9" s="221"/>
      <c r="AA9" s="221"/>
      <c r="AB9" s="221"/>
      <c r="AC9" s="221"/>
      <c r="AD9" s="221"/>
      <c r="AE9" s="387"/>
      <c r="AF9" s="220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</row>
    <row r="10" spans="1:54" s="75" customFormat="1" ht="13.5" customHeight="1">
      <c r="A10" s="84">
        <v>2</v>
      </c>
      <c r="B10" s="214"/>
      <c r="C10" s="215"/>
      <c r="D10" s="215"/>
      <c r="E10" s="215"/>
      <c r="F10" s="215"/>
      <c r="G10" s="215"/>
      <c r="H10" s="215"/>
      <c r="I10" s="215"/>
      <c r="J10" s="215"/>
      <c r="K10" s="313"/>
      <c r="L10" s="409"/>
      <c r="M10" s="410"/>
      <c r="N10" s="410"/>
      <c r="O10" s="410"/>
      <c r="P10" s="410"/>
      <c r="Q10" s="410"/>
      <c r="R10" s="410"/>
      <c r="S10" s="410"/>
      <c r="T10" s="410"/>
      <c r="U10" s="411"/>
      <c r="V10" s="220"/>
      <c r="W10" s="221"/>
      <c r="X10" s="221"/>
      <c r="Y10" s="221"/>
      <c r="Z10" s="221"/>
      <c r="AA10" s="221"/>
      <c r="AB10" s="221"/>
      <c r="AC10" s="221"/>
      <c r="AD10" s="221"/>
      <c r="AE10" s="387"/>
      <c r="AF10" s="220"/>
      <c r="AG10" s="221"/>
      <c r="AH10" s="221"/>
      <c r="AI10" s="221"/>
      <c r="AJ10" s="221"/>
      <c r="AK10" s="221"/>
      <c r="AL10" s="221"/>
      <c r="AM10" s="221"/>
      <c r="AN10" s="221"/>
      <c r="AO10" s="221"/>
      <c r="AP10" s="221"/>
      <c r="AQ10" s="221"/>
      <c r="AR10" s="221"/>
      <c r="AS10" s="221"/>
      <c r="AT10" s="221"/>
      <c r="AU10" s="221"/>
      <c r="AV10" s="221"/>
      <c r="AW10" s="221"/>
      <c r="AX10" s="221"/>
      <c r="AY10" s="221"/>
      <c r="AZ10" s="221"/>
      <c r="BA10" s="221"/>
      <c r="BB10" s="222"/>
    </row>
    <row r="11" spans="1:54" s="75" customFormat="1" ht="13.5" customHeight="1">
      <c r="A11" s="84">
        <v>3</v>
      </c>
      <c r="B11" s="214"/>
      <c r="C11" s="215"/>
      <c r="D11" s="215"/>
      <c r="E11" s="215"/>
      <c r="F11" s="215"/>
      <c r="G11" s="215"/>
      <c r="H11" s="215"/>
      <c r="I11" s="215"/>
      <c r="J11" s="215"/>
      <c r="K11" s="313"/>
      <c r="L11" s="409"/>
      <c r="M11" s="410"/>
      <c r="N11" s="410"/>
      <c r="O11" s="410"/>
      <c r="P11" s="410"/>
      <c r="Q11" s="410"/>
      <c r="R11" s="410"/>
      <c r="S11" s="410"/>
      <c r="T11" s="410"/>
      <c r="U11" s="411"/>
      <c r="V11" s="220"/>
      <c r="W11" s="221"/>
      <c r="X11" s="221"/>
      <c r="Y11" s="221"/>
      <c r="Z11" s="221"/>
      <c r="AA11" s="221"/>
      <c r="AB11" s="221"/>
      <c r="AC11" s="221"/>
      <c r="AD11" s="221"/>
      <c r="AE11" s="387"/>
      <c r="AF11" s="220"/>
      <c r="AG11" s="221"/>
      <c r="AH11" s="221"/>
      <c r="AI11" s="221"/>
      <c r="AJ11" s="221"/>
      <c r="AK11" s="221"/>
      <c r="AL11" s="221"/>
      <c r="AM11" s="221"/>
      <c r="AN11" s="221"/>
      <c r="AO11" s="221"/>
      <c r="AP11" s="221"/>
      <c r="AQ11" s="221"/>
      <c r="AR11" s="221"/>
      <c r="AS11" s="221"/>
      <c r="AT11" s="221"/>
      <c r="AU11" s="221"/>
      <c r="AV11" s="221"/>
      <c r="AW11" s="221"/>
      <c r="AX11" s="221"/>
      <c r="AY11" s="221"/>
      <c r="AZ11" s="221"/>
      <c r="BA11" s="221"/>
      <c r="BB11" s="222"/>
    </row>
    <row r="12" spans="1:54" s="75" customFormat="1" ht="13.5" customHeight="1">
      <c r="A12" s="84">
        <v>4</v>
      </c>
      <c r="B12" s="214"/>
      <c r="C12" s="215"/>
      <c r="D12" s="215"/>
      <c r="E12" s="215"/>
      <c r="F12" s="215"/>
      <c r="G12" s="215"/>
      <c r="H12" s="215"/>
      <c r="I12" s="215"/>
      <c r="J12" s="215"/>
      <c r="K12" s="313"/>
      <c r="L12" s="409"/>
      <c r="M12" s="410"/>
      <c r="N12" s="410"/>
      <c r="O12" s="410"/>
      <c r="P12" s="410"/>
      <c r="Q12" s="410"/>
      <c r="R12" s="410"/>
      <c r="S12" s="410"/>
      <c r="T12" s="410"/>
      <c r="U12" s="411"/>
      <c r="V12" s="214"/>
      <c r="W12" s="215"/>
      <c r="X12" s="215"/>
      <c r="Y12" s="215"/>
      <c r="Z12" s="215"/>
      <c r="AA12" s="215"/>
      <c r="AB12" s="215"/>
      <c r="AC12" s="215"/>
      <c r="AD12" s="215"/>
      <c r="AE12" s="313"/>
      <c r="AF12" s="220"/>
      <c r="AG12" s="221"/>
      <c r="AH12" s="221"/>
      <c r="AI12" s="221"/>
      <c r="AJ12" s="221"/>
      <c r="AK12" s="221"/>
      <c r="AL12" s="221"/>
      <c r="AM12" s="221"/>
      <c r="AN12" s="221"/>
      <c r="AO12" s="221"/>
      <c r="AP12" s="221"/>
      <c r="AQ12" s="221"/>
      <c r="AR12" s="221"/>
      <c r="AS12" s="221"/>
      <c r="AT12" s="221"/>
      <c r="AU12" s="221"/>
      <c r="AV12" s="221"/>
      <c r="AW12" s="221"/>
      <c r="AX12" s="221"/>
      <c r="AY12" s="221"/>
      <c r="AZ12" s="221"/>
      <c r="BA12" s="221"/>
      <c r="BB12" s="222"/>
    </row>
    <row r="13" spans="1:54" s="75" customFormat="1" ht="13.5" customHeight="1">
      <c r="A13" s="84">
        <v>5</v>
      </c>
      <c r="B13" s="214"/>
      <c r="C13" s="215"/>
      <c r="D13" s="215"/>
      <c r="E13" s="215"/>
      <c r="F13" s="215"/>
      <c r="G13" s="215"/>
      <c r="H13" s="215"/>
      <c r="I13" s="215"/>
      <c r="J13" s="215"/>
      <c r="K13" s="313"/>
      <c r="L13" s="214"/>
      <c r="M13" s="215"/>
      <c r="N13" s="215"/>
      <c r="O13" s="215"/>
      <c r="P13" s="215"/>
      <c r="Q13" s="215"/>
      <c r="R13" s="215"/>
      <c r="S13" s="215"/>
      <c r="T13" s="215"/>
      <c r="U13" s="313"/>
      <c r="V13" s="214"/>
      <c r="W13" s="215"/>
      <c r="X13" s="215"/>
      <c r="Y13" s="215"/>
      <c r="Z13" s="215"/>
      <c r="AA13" s="215"/>
      <c r="AB13" s="215"/>
      <c r="AC13" s="215"/>
      <c r="AD13" s="215"/>
      <c r="AE13" s="313"/>
      <c r="AF13" s="220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2"/>
    </row>
    <row r="14" spans="1:54" s="75" customFormat="1" ht="13.5" customHeight="1">
      <c r="A14" s="84">
        <v>6</v>
      </c>
      <c r="B14" s="214"/>
      <c r="C14" s="215"/>
      <c r="D14" s="215"/>
      <c r="E14" s="215"/>
      <c r="F14" s="215"/>
      <c r="G14" s="215"/>
      <c r="H14" s="215"/>
      <c r="I14" s="215"/>
      <c r="J14" s="215"/>
      <c r="K14" s="313"/>
      <c r="L14" s="214"/>
      <c r="M14" s="215"/>
      <c r="N14" s="215"/>
      <c r="O14" s="215"/>
      <c r="P14" s="215"/>
      <c r="Q14" s="215"/>
      <c r="R14" s="215"/>
      <c r="S14" s="215"/>
      <c r="T14" s="215"/>
      <c r="U14" s="313"/>
      <c r="V14" s="214"/>
      <c r="W14" s="215"/>
      <c r="X14" s="215"/>
      <c r="Y14" s="215"/>
      <c r="Z14" s="215"/>
      <c r="AA14" s="215"/>
      <c r="AB14" s="215"/>
      <c r="AC14" s="215"/>
      <c r="AD14" s="215"/>
      <c r="AE14" s="313"/>
      <c r="AF14" s="220"/>
      <c r="AG14" s="221"/>
      <c r="AH14" s="221"/>
      <c r="AI14" s="221"/>
      <c r="AJ14" s="221"/>
      <c r="AK14" s="221"/>
      <c r="AL14" s="221"/>
      <c r="AM14" s="221"/>
      <c r="AN14" s="221"/>
      <c r="AO14" s="221"/>
      <c r="AP14" s="221"/>
      <c r="AQ14" s="221"/>
      <c r="AR14" s="221"/>
      <c r="AS14" s="221"/>
      <c r="AT14" s="221"/>
      <c r="AU14" s="221"/>
      <c r="AV14" s="221"/>
      <c r="AW14" s="221"/>
      <c r="AX14" s="221"/>
      <c r="AY14" s="221"/>
      <c r="AZ14" s="221"/>
      <c r="BA14" s="221"/>
      <c r="BB14" s="222"/>
    </row>
    <row r="15" spans="1:54" s="75" customFormat="1" ht="13.5" customHeight="1">
      <c r="A15" s="84">
        <v>7</v>
      </c>
      <c r="B15" s="311"/>
      <c r="C15" s="312"/>
      <c r="D15" s="312"/>
      <c r="E15" s="312"/>
      <c r="F15" s="312"/>
      <c r="G15" s="312"/>
      <c r="H15" s="312"/>
      <c r="I15" s="312"/>
      <c r="J15" s="312"/>
      <c r="K15" s="312"/>
      <c r="L15" s="311"/>
      <c r="M15" s="312"/>
      <c r="N15" s="312"/>
      <c r="O15" s="312"/>
      <c r="P15" s="312"/>
      <c r="Q15" s="312"/>
      <c r="R15" s="312"/>
      <c r="S15" s="312"/>
      <c r="T15" s="312"/>
      <c r="U15" s="312"/>
      <c r="V15" s="214"/>
      <c r="W15" s="215"/>
      <c r="X15" s="215"/>
      <c r="Y15" s="215"/>
      <c r="Z15" s="215"/>
      <c r="AA15" s="215"/>
      <c r="AB15" s="215"/>
      <c r="AC15" s="215"/>
      <c r="AD15" s="215"/>
      <c r="AE15" s="313"/>
      <c r="AF15" s="220"/>
      <c r="AG15" s="221"/>
      <c r="AH15" s="221"/>
      <c r="AI15" s="221"/>
      <c r="AJ15" s="221"/>
      <c r="AK15" s="221"/>
      <c r="AL15" s="221"/>
      <c r="AM15" s="221"/>
      <c r="AN15" s="221"/>
      <c r="AO15" s="221"/>
      <c r="AP15" s="221"/>
      <c r="AQ15" s="221"/>
      <c r="AR15" s="221"/>
      <c r="AS15" s="221"/>
      <c r="AT15" s="221"/>
      <c r="AU15" s="221"/>
      <c r="AV15" s="221"/>
      <c r="AW15" s="221"/>
      <c r="AX15" s="221"/>
      <c r="AY15" s="221"/>
      <c r="AZ15" s="221"/>
      <c r="BA15" s="221"/>
      <c r="BB15" s="222"/>
    </row>
    <row r="16" spans="1:54" s="75" customFormat="1" ht="13.5" customHeight="1">
      <c r="A16" s="84">
        <v>8</v>
      </c>
      <c r="B16" s="311"/>
      <c r="C16" s="312"/>
      <c r="D16" s="312"/>
      <c r="E16" s="312"/>
      <c r="F16" s="312"/>
      <c r="G16" s="312"/>
      <c r="H16" s="312"/>
      <c r="I16" s="312"/>
      <c r="J16" s="312"/>
      <c r="K16" s="312"/>
      <c r="L16" s="311"/>
      <c r="M16" s="312"/>
      <c r="N16" s="312"/>
      <c r="O16" s="312"/>
      <c r="P16" s="312"/>
      <c r="Q16" s="312"/>
      <c r="R16" s="312"/>
      <c r="S16" s="312"/>
      <c r="T16" s="312"/>
      <c r="U16" s="312"/>
      <c r="V16" s="214"/>
      <c r="W16" s="215"/>
      <c r="X16" s="215"/>
      <c r="Y16" s="215"/>
      <c r="Z16" s="215"/>
      <c r="AA16" s="215"/>
      <c r="AB16" s="215"/>
      <c r="AC16" s="215"/>
      <c r="AD16" s="215"/>
      <c r="AE16" s="313"/>
      <c r="AF16" s="220"/>
      <c r="AG16" s="221"/>
      <c r="AH16" s="221"/>
      <c r="AI16" s="221"/>
      <c r="AJ16" s="221"/>
      <c r="AK16" s="221"/>
      <c r="AL16" s="221"/>
      <c r="AM16" s="221"/>
      <c r="AN16" s="221"/>
      <c r="AO16" s="221"/>
      <c r="AP16" s="221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</row>
    <row r="17" spans="1:54" s="75" customFormat="1" ht="13.5" customHeight="1">
      <c r="A17" s="84">
        <v>9</v>
      </c>
      <c r="B17" s="311"/>
      <c r="C17" s="312"/>
      <c r="D17" s="312"/>
      <c r="E17" s="312"/>
      <c r="F17" s="312"/>
      <c r="G17" s="312"/>
      <c r="H17" s="312"/>
      <c r="I17" s="312"/>
      <c r="J17" s="312"/>
      <c r="K17" s="312"/>
      <c r="L17" s="311"/>
      <c r="M17" s="312"/>
      <c r="N17" s="312"/>
      <c r="O17" s="312"/>
      <c r="P17" s="312"/>
      <c r="Q17" s="312"/>
      <c r="R17" s="312"/>
      <c r="S17" s="312"/>
      <c r="T17" s="312"/>
      <c r="U17" s="312"/>
      <c r="V17" s="214"/>
      <c r="W17" s="215"/>
      <c r="X17" s="215"/>
      <c r="Y17" s="215"/>
      <c r="Z17" s="215"/>
      <c r="AA17" s="215"/>
      <c r="AB17" s="215"/>
      <c r="AC17" s="215"/>
      <c r="AD17" s="215"/>
      <c r="AE17" s="313"/>
      <c r="AF17" s="220"/>
      <c r="AG17" s="221"/>
      <c r="AH17" s="221"/>
      <c r="AI17" s="221"/>
      <c r="AJ17" s="221"/>
      <c r="AK17" s="221"/>
      <c r="AL17" s="221"/>
      <c r="AM17" s="221"/>
      <c r="AN17" s="221"/>
      <c r="AO17" s="221"/>
      <c r="AP17" s="221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</row>
    <row r="18" spans="1:54" s="75" customFormat="1" ht="13.5" customHeight="1">
      <c r="A18" s="84">
        <v>10</v>
      </c>
      <c r="B18" s="311"/>
      <c r="C18" s="312"/>
      <c r="D18" s="312"/>
      <c r="E18" s="312"/>
      <c r="F18" s="312"/>
      <c r="G18" s="312"/>
      <c r="H18" s="312"/>
      <c r="I18" s="312"/>
      <c r="J18" s="312"/>
      <c r="K18" s="312"/>
      <c r="L18" s="311"/>
      <c r="M18" s="312"/>
      <c r="N18" s="312"/>
      <c r="O18" s="312"/>
      <c r="P18" s="312"/>
      <c r="Q18" s="312"/>
      <c r="R18" s="312"/>
      <c r="S18" s="312"/>
      <c r="T18" s="312"/>
      <c r="U18" s="312"/>
      <c r="V18" s="214"/>
      <c r="W18" s="215"/>
      <c r="X18" s="215"/>
      <c r="Y18" s="215"/>
      <c r="Z18" s="215"/>
      <c r="AA18" s="215"/>
      <c r="AB18" s="215"/>
      <c r="AC18" s="215"/>
      <c r="AD18" s="215"/>
      <c r="AE18" s="313"/>
      <c r="AF18" s="220"/>
      <c r="AG18" s="221"/>
      <c r="AH18" s="221"/>
      <c r="AI18" s="221"/>
      <c r="AJ18" s="221"/>
      <c r="AK18" s="221"/>
      <c r="AL18" s="221"/>
      <c r="AM18" s="221"/>
      <c r="AN18" s="221"/>
      <c r="AO18" s="221"/>
      <c r="AP18" s="221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</row>
    <row r="19" spans="1:54" s="75" customFormat="1" ht="13.5" customHeight="1">
      <c r="A19" s="84">
        <v>11</v>
      </c>
      <c r="B19" s="311"/>
      <c r="C19" s="312"/>
      <c r="D19" s="312"/>
      <c r="E19" s="312"/>
      <c r="F19" s="312"/>
      <c r="G19" s="312"/>
      <c r="H19" s="312"/>
      <c r="I19" s="312"/>
      <c r="J19" s="312"/>
      <c r="K19" s="312"/>
      <c r="L19" s="311"/>
      <c r="M19" s="312"/>
      <c r="N19" s="312"/>
      <c r="O19" s="312"/>
      <c r="P19" s="312"/>
      <c r="Q19" s="312"/>
      <c r="R19" s="312"/>
      <c r="S19" s="312"/>
      <c r="T19" s="312"/>
      <c r="U19" s="312"/>
      <c r="V19" s="214"/>
      <c r="W19" s="215"/>
      <c r="X19" s="215"/>
      <c r="Y19" s="215"/>
      <c r="Z19" s="215"/>
      <c r="AA19" s="215"/>
      <c r="AB19" s="215"/>
      <c r="AC19" s="215"/>
      <c r="AD19" s="215"/>
      <c r="AE19" s="313"/>
      <c r="AF19" s="220"/>
      <c r="AG19" s="221"/>
      <c r="AH19" s="221"/>
      <c r="AI19" s="221"/>
      <c r="AJ19" s="221"/>
      <c r="AK19" s="221"/>
      <c r="AL19" s="221"/>
      <c r="AM19" s="221"/>
      <c r="AN19" s="221"/>
      <c r="AO19" s="221"/>
      <c r="AP19" s="221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</row>
    <row r="20" spans="1:54" s="75" customFormat="1" ht="13.5" customHeight="1">
      <c r="A20" s="84">
        <v>12</v>
      </c>
      <c r="B20" s="311"/>
      <c r="C20" s="312"/>
      <c r="D20" s="312"/>
      <c r="E20" s="312"/>
      <c r="F20" s="312"/>
      <c r="G20" s="312"/>
      <c r="H20" s="312"/>
      <c r="I20" s="312"/>
      <c r="J20" s="312"/>
      <c r="K20" s="312"/>
      <c r="L20" s="311"/>
      <c r="M20" s="312"/>
      <c r="N20" s="312"/>
      <c r="O20" s="312"/>
      <c r="P20" s="312"/>
      <c r="Q20" s="312"/>
      <c r="R20" s="312"/>
      <c r="S20" s="312"/>
      <c r="T20" s="312"/>
      <c r="U20" s="312"/>
      <c r="V20" s="214"/>
      <c r="W20" s="215"/>
      <c r="X20" s="215"/>
      <c r="Y20" s="215"/>
      <c r="Z20" s="215"/>
      <c r="AA20" s="215"/>
      <c r="AB20" s="215"/>
      <c r="AC20" s="215"/>
      <c r="AD20" s="215"/>
      <c r="AE20" s="313"/>
      <c r="AF20" s="220"/>
      <c r="AG20" s="221"/>
      <c r="AH20" s="221"/>
      <c r="AI20" s="221"/>
      <c r="AJ20" s="221"/>
      <c r="AK20" s="221"/>
      <c r="AL20" s="221"/>
      <c r="AM20" s="221"/>
      <c r="AN20" s="221"/>
      <c r="AO20" s="221"/>
      <c r="AP20" s="221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</row>
    <row r="21" spans="1:54" s="75" customFormat="1" ht="13.5" customHeight="1" thickBot="1">
      <c r="A21" s="83">
        <v>13</v>
      </c>
      <c r="B21" s="314"/>
      <c r="C21" s="315"/>
      <c r="D21" s="315"/>
      <c r="E21" s="315"/>
      <c r="F21" s="315"/>
      <c r="G21" s="315"/>
      <c r="H21" s="315"/>
      <c r="I21" s="315"/>
      <c r="J21" s="315"/>
      <c r="K21" s="315"/>
      <c r="L21" s="314"/>
      <c r="M21" s="315"/>
      <c r="N21" s="315"/>
      <c r="O21" s="315"/>
      <c r="P21" s="315"/>
      <c r="Q21" s="315"/>
      <c r="R21" s="315"/>
      <c r="S21" s="315"/>
      <c r="T21" s="315"/>
      <c r="U21" s="315"/>
      <c r="V21" s="217"/>
      <c r="W21" s="218"/>
      <c r="X21" s="218"/>
      <c r="Y21" s="218"/>
      <c r="Z21" s="218"/>
      <c r="AA21" s="218"/>
      <c r="AB21" s="218"/>
      <c r="AC21" s="218"/>
      <c r="AD21" s="218"/>
      <c r="AE21" s="316"/>
      <c r="AF21" s="384"/>
      <c r="AG21" s="385"/>
      <c r="AH21" s="385"/>
      <c r="AI21" s="385"/>
      <c r="AJ21" s="385"/>
      <c r="AK21" s="385"/>
      <c r="AL21" s="385"/>
      <c r="AM21" s="385"/>
      <c r="AN21" s="385"/>
      <c r="AO21" s="385"/>
      <c r="AP21" s="385"/>
      <c r="AQ21" s="385"/>
      <c r="AR21" s="385"/>
      <c r="AS21" s="385"/>
      <c r="AT21" s="385"/>
      <c r="AU21" s="385"/>
      <c r="AV21" s="385"/>
      <c r="AW21" s="385"/>
      <c r="AX21" s="385"/>
      <c r="AY21" s="385"/>
      <c r="AZ21" s="385"/>
      <c r="BA21" s="385"/>
      <c r="BB21" s="386"/>
    </row>
  </sheetData>
  <mergeCells count="78">
    <mergeCell ref="B20:K20"/>
    <mergeCell ref="L20:U20"/>
    <mergeCell ref="V20:AE20"/>
    <mergeCell ref="B21:K21"/>
    <mergeCell ref="L21:U21"/>
    <mergeCell ref="V21:AE21"/>
    <mergeCell ref="B18:K18"/>
    <mergeCell ref="L18:U18"/>
    <mergeCell ref="V18:AE18"/>
    <mergeCell ref="B19:K19"/>
    <mergeCell ref="L19:U19"/>
    <mergeCell ref="V19:AE19"/>
    <mergeCell ref="B16:K16"/>
    <mergeCell ref="L16:U16"/>
    <mergeCell ref="V16:AE16"/>
    <mergeCell ref="B17:K17"/>
    <mergeCell ref="L17:U17"/>
    <mergeCell ref="V17:AE17"/>
    <mergeCell ref="B14:K14"/>
    <mergeCell ref="L14:U14"/>
    <mergeCell ref="V14:AE14"/>
    <mergeCell ref="B15:K15"/>
    <mergeCell ref="L15:U15"/>
    <mergeCell ref="V15:AE15"/>
    <mergeCell ref="B13:K13"/>
    <mergeCell ref="L13:U13"/>
    <mergeCell ref="V13:AE13"/>
    <mergeCell ref="A3:G3"/>
    <mergeCell ref="H3:AJ3"/>
    <mergeCell ref="B12:K12"/>
    <mergeCell ref="L12:U12"/>
    <mergeCell ref="V12:AE12"/>
    <mergeCell ref="B9:K9"/>
    <mergeCell ref="L9:U9"/>
    <mergeCell ref="B10:K10"/>
    <mergeCell ref="L10:U10"/>
    <mergeCell ref="B11:K11"/>
    <mergeCell ref="L11:U11"/>
    <mergeCell ref="V9:AE9"/>
    <mergeCell ref="V10:AE10"/>
    <mergeCell ref="AK3:AN3"/>
    <mergeCell ref="AO3:BB3"/>
    <mergeCell ref="A5:BB6"/>
    <mergeCell ref="A7:A8"/>
    <mergeCell ref="B7:K8"/>
    <mergeCell ref="L7:U8"/>
    <mergeCell ref="V7:AE8"/>
    <mergeCell ref="AF7:BB8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  <mergeCell ref="V11:AE11"/>
    <mergeCell ref="AF9:BB9"/>
    <mergeCell ref="AF10:BB10"/>
    <mergeCell ref="AF11:BB11"/>
    <mergeCell ref="AF12:BB12"/>
    <mergeCell ref="AF18:BB18"/>
    <mergeCell ref="AF19:BB19"/>
    <mergeCell ref="AF20:BB20"/>
    <mergeCell ref="AF21:BB21"/>
    <mergeCell ref="AF13:BB13"/>
    <mergeCell ref="AF14:BB14"/>
    <mergeCell ref="AF15:BB15"/>
    <mergeCell ref="AF16:BB16"/>
    <mergeCell ref="AF17:BB17"/>
  </mergeCells>
  <phoneticPr fontId="8"/>
  <printOptions horizontalCentered="1"/>
  <pageMargins left="0.39370078740157483" right="0.39370078740157483" top="0.39370078740157483" bottom="0.47244094488188981" header="0.31496062992125984" footer="0.19685039370078741"/>
  <pageSetup paperSize="9" scale="72" fitToHeight="0" orientation="landscape" r:id="rId1"/>
  <headerFooter alignWithMargins="0">
    <oddFooter>&amp;L&amp;"ＭＳ ゴシック,太字"&amp;F　&amp;A&amp;R&amp;P / &amp;N</oddFooter>
  </headerFooter>
  <colBreaks count="1" manualBreakCount="1">
    <brk id="54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B48"/>
  <sheetViews>
    <sheetView tabSelected="1" zoomScale="85" zoomScaleNormal="85" zoomScaleSheetLayoutView="85" workbookViewId="0">
      <selection sqref="A1:G1"/>
    </sheetView>
  </sheetViews>
  <sheetFormatPr defaultColWidth="3.5703125" defaultRowHeight="13.5" customHeight="1"/>
  <cols>
    <col min="1" max="16384" width="3.5703125" style="78"/>
  </cols>
  <sheetData>
    <row r="1" spans="1:54" s="75" customFormat="1" ht="13.5" customHeight="1">
      <c r="A1" s="394" t="s">
        <v>1</v>
      </c>
      <c r="B1" s="395"/>
      <c r="C1" s="395"/>
      <c r="D1" s="395"/>
      <c r="E1" s="395"/>
      <c r="F1" s="395"/>
      <c r="G1" s="396"/>
      <c r="H1" s="285" t="str">
        <f>表紙!N27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397" t="s">
        <v>461</v>
      </c>
      <c r="X1" s="398"/>
      <c r="Y1" s="398"/>
      <c r="Z1" s="398"/>
      <c r="AA1" s="399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tr">
        <f>CreateBy</f>
        <v>○○　✕✕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f>CreateAt</f>
        <v>44287</v>
      </c>
      <c r="AY1" s="263"/>
      <c r="AZ1" s="263"/>
      <c r="BA1" s="263"/>
      <c r="BB1" s="264"/>
    </row>
    <row r="2" spans="1:54" s="75" customFormat="1" ht="13.5" customHeight="1">
      <c r="A2" s="388" t="s">
        <v>464</v>
      </c>
      <c r="B2" s="389"/>
      <c r="C2" s="389"/>
      <c r="D2" s="389"/>
      <c r="E2" s="389"/>
      <c r="F2" s="389"/>
      <c r="G2" s="390"/>
      <c r="H2" s="268" t="str">
        <f>表紙!N31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391" t="s">
        <v>465</v>
      </c>
      <c r="X2" s="392"/>
      <c r="Y2" s="392"/>
      <c r="Z2" s="392"/>
      <c r="AA2" s="393"/>
      <c r="AB2" s="271" t="str">
        <f>表紙!N35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</row>
    <row r="3" spans="1:54" s="75" customFormat="1" ht="13.5" customHeight="1" thickBot="1">
      <c r="A3" s="406" t="s">
        <v>468</v>
      </c>
      <c r="B3" s="407"/>
      <c r="C3" s="407"/>
      <c r="D3" s="407"/>
      <c r="E3" s="407"/>
      <c r="F3" s="407"/>
      <c r="G3" s="408"/>
      <c r="H3" s="244" t="str">
        <f>表紙!F13</f>
        <v>データベース設計書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tr">
        <f ca="1">RIGHT(CELL("filename",A2),LEN(CELL("filename",A2))-FIND("]",CELL("filename",A2)))</f>
        <v>2.ER図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</row>
    <row r="4" spans="1:54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54" s="75" customFormat="1" ht="13.5" customHeight="1">
      <c r="A5" s="229" t="s">
        <v>510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</row>
    <row r="6" spans="1:54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</row>
    <row r="7" spans="1:54" s="75" customFormat="1" ht="13.5" customHeight="1">
      <c r="A7" s="121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6"/>
    </row>
    <row r="8" spans="1:54" s="75" customFormat="1" ht="13.5" customHeight="1">
      <c r="A8" s="122"/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124"/>
      <c r="AE8" s="125" t="s">
        <v>511</v>
      </c>
      <c r="AF8" s="126"/>
      <c r="AG8" s="126"/>
      <c r="AH8" s="126"/>
      <c r="AI8" s="126"/>
      <c r="AJ8" s="126"/>
      <c r="AK8" s="127"/>
      <c r="AL8" s="124"/>
      <c r="AM8" s="124"/>
      <c r="AN8" s="128" t="s">
        <v>512</v>
      </c>
      <c r="AO8" s="129"/>
      <c r="AP8" s="129"/>
      <c r="AQ8" s="129"/>
      <c r="AR8" s="129"/>
      <c r="AS8" s="129"/>
      <c r="AT8" s="126"/>
      <c r="AU8" s="129"/>
      <c r="AV8" s="129"/>
      <c r="AW8" s="129"/>
      <c r="AX8" s="129"/>
      <c r="AY8" s="129"/>
      <c r="AZ8" s="130"/>
      <c r="BA8" s="124"/>
      <c r="BB8" s="131"/>
    </row>
    <row r="9" spans="1:54" ht="13.5" customHeight="1">
      <c r="A9" s="132"/>
      <c r="B9" s="123"/>
      <c r="C9" s="124"/>
      <c r="D9" s="124"/>
      <c r="E9" s="124"/>
      <c r="F9" s="124"/>
      <c r="G9" s="124"/>
      <c r="H9" s="124"/>
      <c r="I9" s="133"/>
      <c r="J9" s="133"/>
      <c r="K9" s="133"/>
      <c r="L9" s="133"/>
      <c r="M9" s="133"/>
      <c r="N9" s="133"/>
      <c r="O9" s="124"/>
      <c r="P9" s="124"/>
      <c r="Q9" s="124"/>
      <c r="R9" s="124"/>
      <c r="S9" s="124"/>
      <c r="T9" s="124"/>
      <c r="U9" s="124"/>
      <c r="V9" s="133"/>
      <c r="W9" s="133"/>
      <c r="X9" s="133"/>
      <c r="Y9" s="133"/>
      <c r="Z9" s="133"/>
      <c r="AA9" s="133"/>
      <c r="AB9" s="133"/>
      <c r="AC9" s="133"/>
      <c r="AD9" s="133"/>
      <c r="AE9" s="134"/>
      <c r="AF9" s="135"/>
      <c r="AG9" s="136" t="s">
        <v>513</v>
      </c>
      <c r="AH9" s="133"/>
      <c r="AI9" s="133"/>
      <c r="AJ9" s="133"/>
      <c r="AK9" s="137"/>
      <c r="AL9" s="133"/>
      <c r="AM9" s="133"/>
      <c r="AN9" s="134"/>
      <c r="AO9" s="136">
        <v>1</v>
      </c>
      <c r="AP9" s="136"/>
      <c r="AQ9" s="136"/>
      <c r="AR9" s="136"/>
      <c r="AS9" s="136"/>
      <c r="AT9" s="133"/>
      <c r="AU9" s="136" t="s">
        <v>514</v>
      </c>
      <c r="AV9" s="136"/>
      <c r="AW9" s="136"/>
      <c r="AX9" s="136"/>
      <c r="AY9" s="136"/>
      <c r="AZ9" s="138"/>
      <c r="BA9" s="133"/>
      <c r="BB9" s="131"/>
    </row>
    <row r="10" spans="1:54" s="75" customFormat="1" ht="13.5" customHeight="1">
      <c r="A10" s="122"/>
      <c r="B10" s="123"/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/>
      <c r="W10" s="124"/>
      <c r="X10" s="124"/>
      <c r="Y10" s="124"/>
      <c r="Z10" s="124"/>
      <c r="AA10" s="124"/>
      <c r="AB10" s="124"/>
      <c r="AC10" s="124"/>
      <c r="AD10" s="124"/>
      <c r="AE10" s="139"/>
      <c r="AF10" s="140"/>
      <c r="AG10" s="136" t="s">
        <v>515</v>
      </c>
      <c r="AH10" s="124"/>
      <c r="AI10" s="124"/>
      <c r="AJ10" s="124"/>
      <c r="AK10" s="141"/>
      <c r="AL10" s="124"/>
      <c r="AM10" s="124"/>
      <c r="AN10" s="139"/>
      <c r="AO10" s="136"/>
      <c r="AP10" s="136"/>
      <c r="AQ10" s="136"/>
      <c r="AR10" s="136"/>
      <c r="AS10" s="136">
        <v>1</v>
      </c>
      <c r="AT10" s="124"/>
      <c r="AU10" s="136"/>
      <c r="AV10" s="136"/>
      <c r="AW10" s="136"/>
      <c r="AX10" s="136"/>
      <c r="AY10" s="136" t="s">
        <v>514</v>
      </c>
      <c r="AZ10" s="138"/>
      <c r="BA10" s="124"/>
      <c r="BB10" s="131"/>
    </row>
    <row r="11" spans="1:54" s="75" customFormat="1" ht="13.5" customHeight="1">
      <c r="A11" s="122"/>
      <c r="B11" s="123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124"/>
      <c r="AA11" s="124"/>
      <c r="AB11" s="124"/>
      <c r="AC11" s="124"/>
      <c r="AD11" s="124"/>
      <c r="AE11" s="142"/>
      <c r="AF11" s="143"/>
      <c r="AG11" s="143"/>
      <c r="AH11" s="143"/>
      <c r="AI11" s="143"/>
      <c r="AJ11" s="143"/>
      <c r="AK11" s="144"/>
      <c r="AL11" s="124"/>
      <c r="AM11" s="124"/>
      <c r="AN11" s="139"/>
      <c r="AO11" s="136" t="s">
        <v>514</v>
      </c>
      <c r="AP11" s="136"/>
      <c r="AQ11" s="136"/>
      <c r="AR11" s="136"/>
      <c r="AS11" s="136"/>
      <c r="AT11" s="124"/>
      <c r="AU11" s="136" t="s">
        <v>516</v>
      </c>
      <c r="AV11" s="136"/>
      <c r="AW11" s="136"/>
      <c r="AX11" s="136"/>
      <c r="AY11" s="136"/>
      <c r="AZ11" s="138"/>
      <c r="BA11" s="124"/>
      <c r="BB11" s="131"/>
    </row>
    <row r="12" spans="1:54" s="75" customFormat="1" ht="13.5" customHeight="1">
      <c r="A12" s="122"/>
      <c r="B12" s="123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39"/>
      <c r="AO12" s="136"/>
      <c r="AP12" s="136"/>
      <c r="AQ12" s="136"/>
      <c r="AR12" s="136"/>
      <c r="AS12" s="136">
        <v>1</v>
      </c>
      <c r="AT12" s="124"/>
      <c r="AU12" s="136"/>
      <c r="AV12" s="136"/>
      <c r="AW12" s="136"/>
      <c r="AX12" s="136"/>
      <c r="AY12" s="136" t="s">
        <v>514</v>
      </c>
      <c r="AZ12" s="138"/>
      <c r="BA12" s="124"/>
      <c r="BB12" s="131"/>
    </row>
    <row r="13" spans="1:54" s="75" customFormat="1" ht="13.5" customHeight="1">
      <c r="A13" s="122"/>
      <c r="B13" s="123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39"/>
      <c r="AO13" s="136" t="s">
        <v>516</v>
      </c>
      <c r="AP13" s="136"/>
      <c r="AQ13" s="136"/>
      <c r="AR13" s="136"/>
      <c r="AS13" s="136"/>
      <c r="AT13" s="124"/>
      <c r="AU13" s="136" t="s">
        <v>516</v>
      </c>
      <c r="AV13" s="136"/>
      <c r="AW13" s="136"/>
      <c r="AX13" s="136"/>
      <c r="AY13" s="136"/>
      <c r="AZ13" s="138"/>
      <c r="BA13" s="124"/>
      <c r="BB13" s="131"/>
    </row>
    <row r="14" spans="1:54" s="75" customFormat="1" ht="13.5" customHeight="1">
      <c r="A14" s="122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39"/>
      <c r="AO14" s="136"/>
      <c r="AP14" s="136"/>
      <c r="AQ14" s="136"/>
      <c r="AR14" s="136"/>
      <c r="AS14" s="136">
        <v>1</v>
      </c>
      <c r="AT14" s="124"/>
      <c r="AU14" s="136"/>
      <c r="AV14" s="136"/>
      <c r="AW14" s="136"/>
      <c r="AX14" s="136"/>
      <c r="AY14" s="136" t="s">
        <v>516</v>
      </c>
      <c r="AZ14" s="138"/>
      <c r="BA14" s="124"/>
      <c r="BB14" s="131"/>
    </row>
    <row r="15" spans="1:54" s="75" customFormat="1" ht="13.5" customHeight="1">
      <c r="A15" s="122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45"/>
      <c r="AO15" s="146"/>
      <c r="AP15" s="146"/>
      <c r="AQ15" s="146"/>
      <c r="AR15" s="146"/>
      <c r="AS15" s="146"/>
      <c r="AT15" s="143"/>
      <c r="AU15" s="146"/>
      <c r="AV15" s="146"/>
      <c r="AW15" s="146"/>
      <c r="AX15" s="146"/>
      <c r="AY15" s="146"/>
      <c r="AZ15" s="147"/>
      <c r="BA15" s="124"/>
      <c r="BB15" s="131"/>
    </row>
    <row r="16" spans="1:54" s="75" customFormat="1" ht="13.5" customHeight="1">
      <c r="A16" s="122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4"/>
      <c r="AO16" s="136"/>
      <c r="AP16" s="136"/>
      <c r="AQ16" s="136"/>
      <c r="AR16" s="136"/>
      <c r="AS16" s="136"/>
      <c r="AT16" s="136"/>
      <c r="AU16" s="136"/>
      <c r="AV16" s="136"/>
      <c r="AW16" s="136"/>
      <c r="AX16" s="136"/>
      <c r="AY16" s="136"/>
      <c r="AZ16" s="136"/>
      <c r="BA16" s="136"/>
      <c r="BB16" s="131"/>
    </row>
    <row r="17" spans="1:54" s="75" customFormat="1" ht="13.5" customHeight="1">
      <c r="A17" s="122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4"/>
      <c r="AO17" s="136"/>
      <c r="AP17" s="136"/>
      <c r="AQ17" s="136"/>
      <c r="AR17" s="136"/>
      <c r="AS17" s="136"/>
      <c r="AT17" s="136"/>
      <c r="AU17" s="136"/>
      <c r="AV17" s="136"/>
      <c r="AW17" s="136"/>
      <c r="AX17" s="136"/>
      <c r="AY17" s="136"/>
      <c r="AZ17" s="136"/>
      <c r="BA17" s="136"/>
      <c r="BB17" s="131"/>
    </row>
    <row r="18" spans="1:54" s="75" customFormat="1" ht="13.5" customHeight="1" thickBot="1">
      <c r="A18" s="148"/>
      <c r="B18" s="149"/>
      <c r="C18" s="149"/>
      <c r="D18" s="149"/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149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50"/>
      <c r="AP18" s="150"/>
      <c r="AQ18" s="150"/>
      <c r="AR18" s="150"/>
      <c r="AS18" s="150"/>
      <c r="AT18" s="150"/>
      <c r="AU18" s="150"/>
      <c r="AV18" s="150"/>
      <c r="AW18" s="150"/>
      <c r="AX18" s="150"/>
      <c r="AY18" s="150"/>
      <c r="AZ18" s="150"/>
      <c r="BA18" s="150"/>
      <c r="BB18" s="151"/>
    </row>
    <row r="19" spans="1:54" s="75" customFormat="1" ht="13.5" customHeight="1"/>
    <row r="20" spans="1:54" s="75" customFormat="1" ht="13.5" customHeight="1"/>
    <row r="21" spans="1:54" s="75" customFormat="1" ht="13.5" customHeight="1"/>
    <row r="22" spans="1:54" s="75" customFormat="1" ht="13.5" customHeight="1"/>
    <row r="23" spans="1:54" s="75" customFormat="1" ht="13.5" customHeight="1"/>
    <row r="24" spans="1:54" s="75" customFormat="1" ht="13.5" customHeight="1"/>
    <row r="25" spans="1:54" s="75" customFormat="1" ht="13.5" customHeight="1"/>
    <row r="26" spans="1:54" s="75" customFormat="1" ht="13.5" customHeight="1"/>
    <row r="27" spans="1:54" s="75" customFormat="1" ht="13.5" customHeight="1"/>
    <row r="28" spans="1:54" s="75" customFormat="1" ht="13.5" customHeight="1"/>
    <row r="29" spans="1:54" s="75" customFormat="1" ht="13.5" customHeight="1"/>
    <row r="30" spans="1:54" s="75" customFormat="1" ht="13.5" customHeight="1"/>
    <row r="31" spans="1:54" s="75" customFormat="1" ht="13.5" customHeight="1"/>
    <row r="32" spans="1:54" s="75" customFormat="1" ht="13.5" customHeight="1"/>
    <row r="33" spans="32:37" s="75" customFormat="1" ht="13.5" customHeight="1"/>
    <row r="34" spans="32:37" s="75" customFormat="1" ht="13.5" customHeight="1"/>
    <row r="35" spans="32:37" s="75" customFormat="1" ht="13.5" customHeight="1"/>
    <row r="36" spans="32:37" s="75" customFormat="1" ht="13.5" customHeight="1">
      <c r="AF36"/>
      <c r="AG36"/>
      <c r="AH36"/>
      <c r="AI36"/>
      <c r="AJ36"/>
      <c r="AK36"/>
    </row>
    <row r="37" spans="32:37" s="75" customFormat="1" ht="13.5" customHeight="1">
      <c r="AF37"/>
      <c r="AG37"/>
      <c r="AH37"/>
      <c r="AI37"/>
      <c r="AJ37"/>
      <c r="AK37"/>
    </row>
    <row r="38" spans="32:37" s="75" customFormat="1" ht="13.5" customHeight="1">
      <c r="AF38"/>
      <c r="AG38"/>
      <c r="AH38"/>
      <c r="AI38"/>
      <c r="AJ38"/>
      <c r="AK38"/>
    </row>
    <row r="39" spans="32:37" s="75" customFormat="1" ht="13.5" customHeight="1">
      <c r="AF39"/>
      <c r="AG39"/>
      <c r="AH39"/>
      <c r="AI39"/>
      <c r="AJ39"/>
      <c r="AK39"/>
    </row>
    <row r="40" spans="32:37" s="75" customFormat="1" ht="13.5" customHeight="1">
      <c r="AF40"/>
      <c r="AG40"/>
      <c r="AH40"/>
      <c r="AI40"/>
      <c r="AJ40"/>
      <c r="AK40"/>
    </row>
    <row r="41" spans="32:37" s="75" customFormat="1" ht="13.5" customHeight="1"/>
    <row r="42" spans="32:37" s="75" customFormat="1" ht="13.5" customHeight="1"/>
    <row r="43" spans="32:37" s="75" customFormat="1" ht="13.5" customHeight="1"/>
    <row r="44" spans="32:37" s="75" customFormat="1" ht="13.5" customHeight="1"/>
    <row r="45" spans="32:37" s="75" customFormat="1" ht="13.5" customHeight="1"/>
    <row r="46" spans="32:37" s="75" customFormat="1" ht="13.5" customHeight="1"/>
    <row r="47" spans="32:37" s="75" customFormat="1" ht="13.5" customHeight="1"/>
    <row r="48" spans="32:37" s="75" customFormat="1" ht="13.5" customHeight="1"/>
  </sheetData>
  <mergeCells count="21">
    <mergeCell ref="A3:G3"/>
    <mergeCell ref="H3:AJ3"/>
    <mergeCell ref="AK3:AN3"/>
    <mergeCell ref="AO3:BB3"/>
    <mergeCell ref="A5:BB6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printOptions horizontalCentered="1"/>
  <pageMargins left="0.39370078740157483" right="0.39370078740157483" top="0.39370078740157483" bottom="0.47244094488188981" header="0.31496062992125984" footer="0.19685039370078741"/>
  <pageSetup paperSize="9" scale="72" fitToHeight="0" orientation="landscape" r:id="rId1"/>
  <headerFooter alignWithMargins="0">
    <oddFooter>&amp;L&amp;"ＭＳ ゴシック,太字"&amp;F　&amp;A&amp;R&amp;P / &amp;N</oddFooter>
  </headerFooter>
  <rowBreaks count="1" manualBreakCount="1">
    <brk id="49" max="53" man="1"/>
  </rowBreaks>
  <colBreaks count="1" manualBreakCount="1">
    <brk id="54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01"/>
  <dimension ref="A1:BJ49"/>
  <sheetViews>
    <sheetView showGridLines="0" zoomScaleNormal="100" workbookViewId="0">
      <selection activeCell="AN29" sqref="AN29:AO29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586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589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590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591</v>
      </c>
      <c r="W16" s="249"/>
      <c r="X16" s="249"/>
      <c r="Y16" s="249"/>
      <c r="Z16" s="249"/>
      <c r="AA16" s="250"/>
      <c r="AB16" s="251" t="s">
        <v>592</v>
      </c>
      <c r="AC16" s="252"/>
      <c r="AD16" s="252"/>
      <c r="AE16" s="253"/>
      <c r="AF16" s="462">
        <v>1</v>
      </c>
      <c r="AG16" s="463"/>
      <c r="AH16" s="462"/>
      <c r="AI16" s="463"/>
      <c r="AJ16" s="462"/>
      <c r="AK16" s="463"/>
      <c r="AL16" s="462">
        <v>1</v>
      </c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8</v>
      </c>
      <c r="BI16" s="197">
        <v>1</v>
      </c>
      <c r="BJ16" s="198"/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593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594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/>
      <c r="AG17" s="463"/>
      <c r="AH17" s="462"/>
      <c r="AI17" s="463"/>
      <c r="AJ17" s="462"/>
      <c r="AK17" s="463"/>
      <c r="AL17" s="462">
        <v>1</v>
      </c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10</v>
      </c>
      <c r="BI17" s="197"/>
      <c r="BJ17" s="198"/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595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594</v>
      </c>
      <c r="W18" s="249"/>
      <c r="X18" s="249"/>
      <c r="Y18" s="249"/>
      <c r="Z18" s="249"/>
      <c r="AA18" s="250"/>
      <c r="AB18" s="251"/>
      <c r="AC18" s="252"/>
      <c r="AD18" s="252"/>
      <c r="AE18" s="253"/>
      <c r="AF18" s="462"/>
      <c r="AG18" s="463"/>
      <c r="AH18" s="462"/>
      <c r="AI18" s="463"/>
      <c r="AJ18" s="462"/>
      <c r="AK18" s="463"/>
      <c r="AL18" s="462">
        <v>1</v>
      </c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9</v>
      </c>
      <c r="BI18" s="197">
        <v>1</v>
      </c>
      <c r="BJ18" s="198"/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 t="s">
        <v>596</v>
      </c>
      <c r="M19" s="249"/>
      <c r="N19" s="249"/>
      <c r="O19" s="249"/>
      <c r="P19" s="249"/>
      <c r="Q19" s="249"/>
      <c r="R19" s="249"/>
      <c r="S19" s="249"/>
      <c r="T19" s="249"/>
      <c r="U19" s="250"/>
      <c r="V19" s="214" t="s">
        <v>61</v>
      </c>
      <c r="W19" s="249"/>
      <c r="X19" s="249"/>
      <c r="Y19" s="249"/>
      <c r="Z19" s="249"/>
      <c r="AA19" s="250"/>
      <c r="AB19" s="251" t="s">
        <v>597</v>
      </c>
      <c r="AC19" s="252"/>
      <c r="AD19" s="252"/>
      <c r="AE19" s="253"/>
      <c r="AF19" s="462"/>
      <c r="AG19" s="463"/>
      <c r="AH19" s="462"/>
      <c r="AI19" s="463"/>
      <c r="AJ19" s="462"/>
      <c r="AK19" s="463"/>
      <c r="AL19" s="462">
        <v>1</v>
      </c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11</v>
      </c>
      <c r="BI19" s="197"/>
      <c r="BJ19" s="198"/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/>
      <c r="M20" s="249"/>
      <c r="N20" s="249"/>
      <c r="O20" s="249"/>
      <c r="P20" s="249"/>
      <c r="Q20" s="249"/>
      <c r="R20" s="249"/>
      <c r="S20" s="249"/>
      <c r="T20" s="249"/>
      <c r="U20" s="250"/>
      <c r="V20" s="214"/>
      <c r="W20" s="249"/>
      <c r="X20" s="249"/>
      <c r="Y20" s="249"/>
      <c r="Z20" s="249"/>
      <c r="AA20" s="250"/>
      <c r="AB20" s="251"/>
      <c r="AC20" s="252"/>
      <c r="AD20" s="252"/>
      <c r="AE20" s="253"/>
      <c r="AF20" s="462"/>
      <c r="AG20" s="463"/>
      <c r="AH20" s="462"/>
      <c r="AI20" s="463"/>
      <c r="AJ20" s="462"/>
      <c r="AK20" s="463"/>
      <c r="AL20" s="462"/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0</v>
      </c>
      <c r="BI20" s="197"/>
      <c r="BJ20" s="198"/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/>
      <c r="M21" s="249"/>
      <c r="N21" s="249"/>
      <c r="O21" s="249"/>
      <c r="P21" s="249"/>
      <c r="Q21" s="249"/>
      <c r="R21" s="249"/>
      <c r="S21" s="249"/>
      <c r="T21" s="249"/>
      <c r="U21" s="250"/>
      <c r="V21" s="214"/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/>
      <c r="AK21" s="463"/>
      <c r="AL21" s="462"/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0</v>
      </c>
      <c r="BI21" s="197"/>
      <c r="BJ21" s="198"/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/>
      <c r="M22" s="249"/>
      <c r="N22" s="249"/>
      <c r="O22" s="249"/>
      <c r="P22" s="249"/>
      <c r="Q22" s="249"/>
      <c r="R22" s="249"/>
      <c r="S22" s="249"/>
      <c r="T22" s="249"/>
      <c r="U22" s="250"/>
      <c r="V22" s="214"/>
      <c r="W22" s="249"/>
      <c r="X22" s="249"/>
      <c r="Y22" s="249"/>
      <c r="Z22" s="249"/>
      <c r="AA22" s="250"/>
      <c r="AB22" s="251"/>
      <c r="AC22" s="252"/>
      <c r="AD22" s="252"/>
      <c r="AE22" s="253"/>
      <c r="AF22" s="462"/>
      <c r="AG22" s="463"/>
      <c r="AH22" s="462"/>
      <c r="AI22" s="463"/>
      <c r="AJ22" s="462"/>
      <c r="AK22" s="463"/>
      <c r="AL22" s="462"/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0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/>
      <c r="M23" s="249"/>
      <c r="N23" s="249"/>
      <c r="O23" s="249"/>
      <c r="P23" s="249"/>
      <c r="Q23" s="249"/>
      <c r="R23" s="249"/>
      <c r="S23" s="249"/>
      <c r="T23" s="249"/>
      <c r="U23" s="250"/>
      <c r="V23" s="214"/>
      <c r="W23" s="249"/>
      <c r="X23" s="249"/>
      <c r="Y23" s="249"/>
      <c r="Z23" s="249"/>
      <c r="AA23" s="250"/>
      <c r="AB23" s="251"/>
      <c r="AC23" s="252"/>
      <c r="AD23" s="252"/>
      <c r="AE23" s="253"/>
      <c r="AF23" s="462"/>
      <c r="AG23" s="463"/>
      <c r="AH23" s="462"/>
      <c r="AI23" s="463"/>
      <c r="AJ23" s="462"/>
      <c r="AK23" s="463"/>
      <c r="AL23" s="462"/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0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/>
      <c r="M24" s="249"/>
      <c r="N24" s="249"/>
      <c r="O24" s="249"/>
      <c r="P24" s="249"/>
      <c r="Q24" s="249"/>
      <c r="R24" s="249"/>
      <c r="S24" s="249"/>
      <c r="T24" s="249"/>
      <c r="U24" s="250"/>
      <c r="V24" s="214"/>
      <c r="W24" s="249"/>
      <c r="X24" s="249"/>
      <c r="Y24" s="249"/>
      <c r="Z24" s="249"/>
      <c r="AA24" s="250"/>
      <c r="AB24" s="251"/>
      <c r="AC24" s="252"/>
      <c r="AD24" s="252"/>
      <c r="AE24" s="253"/>
      <c r="AF24" s="462"/>
      <c r="AG24" s="463"/>
      <c r="AH24" s="462"/>
      <c r="AI24" s="463"/>
      <c r="AJ24" s="462"/>
      <c r="AK24" s="463"/>
      <c r="AL24" s="462"/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0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>
        <f>ROW()- 34</f>
        <v>1</v>
      </c>
      <c r="B35" s="214" t="s">
        <v>598</v>
      </c>
      <c r="C35" s="249"/>
      <c r="D35" s="249"/>
      <c r="E35" s="249"/>
      <c r="F35" s="249"/>
      <c r="G35" s="249"/>
      <c r="H35" s="249"/>
      <c r="I35" s="249"/>
      <c r="J35" s="249"/>
      <c r="K35" s="250"/>
      <c r="L35" s="214" t="s">
        <v>590</v>
      </c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 t="s">
        <v>599</v>
      </c>
      <c r="BJ35" s="194" t="s">
        <v>600</v>
      </c>
    </row>
    <row r="36" spans="1:62" s="75" customFormat="1" ht="14.1" customHeight="1">
      <c r="A36" s="157">
        <f>ROW()- 34</f>
        <v>2</v>
      </c>
      <c r="B36" s="214" t="s">
        <v>601</v>
      </c>
      <c r="C36" s="249"/>
      <c r="D36" s="249"/>
      <c r="E36" s="249"/>
      <c r="F36" s="249"/>
      <c r="G36" s="249"/>
      <c r="H36" s="249"/>
      <c r="I36" s="249"/>
      <c r="J36" s="249"/>
      <c r="K36" s="250"/>
      <c r="L36" s="214" t="s">
        <v>595</v>
      </c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 t="s">
        <v>602</v>
      </c>
      <c r="BJ36" s="194" t="s">
        <v>600</v>
      </c>
    </row>
    <row r="37" spans="1:62" s="75" customFormat="1" ht="14.1" customHeight="1">
      <c r="A37" s="157" t="str">
        <f t="shared" ref="A35:A39" si="2">IF(B37&lt;&gt;"",ROW()-34,"")</f>
        <v/>
      </c>
      <c r="B37" s="214"/>
      <c r="C37" s="249"/>
      <c r="D37" s="249"/>
      <c r="E37" s="249"/>
      <c r="F37" s="249"/>
      <c r="G37" s="249"/>
      <c r="H37" s="249"/>
      <c r="I37" s="249"/>
      <c r="J37" s="249"/>
      <c r="K37" s="250"/>
      <c r="L37" s="214"/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/>
      <c r="BJ37" s="194"/>
    </row>
    <row r="38" spans="1:62" ht="14.1" customHeight="1">
      <c r="A38" s="157" t="str">
        <f t="shared" si="2"/>
        <v/>
      </c>
      <c r="B38" s="214"/>
      <c r="C38" s="249"/>
      <c r="D38" s="249"/>
      <c r="E38" s="249"/>
      <c r="F38" s="249"/>
      <c r="G38" s="249"/>
      <c r="H38" s="249"/>
      <c r="I38" s="249"/>
      <c r="J38" s="249"/>
      <c r="K38" s="250"/>
      <c r="L38" s="214"/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572</v>
      </c>
      <c r="BG38" s="197"/>
      <c r="BH38" s="197"/>
      <c r="BI38" s="194"/>
      <c r="BJ38" s="194"/>
    </row>
    <row r="39" spans="1:62" ht="14.1" customHeight="1" thickBot="1">
      <c r="A39" s="158" t="str">
        <f t="shared" si="2"/>
        <v/>
      </c>
      <c r="B39" s="217"/>
      <c r="C39" s="307"/>
      <c r="D39" s="307"/>
      <c r="E39" s="307"/>
      <c r="F39" s="307"/>
      <c r="G39" s="307"/>
      <c r="H39" s="307"/>
      <c r="I39" s="307"/>
      <c r="J39" s="307"/>
      <c r="K39" s="308"/>
      <c r="L39" s="217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9"/>
      <c r="BF39" s="199" t="s">
        <v>577</v>
      </c>
      <c r="BG39" s="197"/>
      <c r="BH39" s="197"/>
      <c r="BI39" s="194"/>
      <c r="BJ39" s="194"/>
    </row>
    <row r="40" spans="1:62" ht="13.5" customHeight="1">
      <c r="BF40" s="3"/>
      <c r="BG40" s="3"/>
      <c r="BH40" s="3"/>
      <c r="BI40" s="3"/>
    </row>
    <row r="41" spans="1:62" ht="13.5" customHeight="1">
      <c r="BF41" s="3"/>
      <c r="BG41" s="3"/>
      <c r="BH41" s="3"/>
      <c r="BI41" s="3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58:61" ht="13.5" customHeight="1">
      <c r="BF49" s="3"/>
      <c r="BG49" s="3"/>
      <c r="BH49" s="3"/>
      <c r="BI49" s="3"/>
    </row>
  </sheetData>
  <mergeCells count="213">
    <mergeCell ref="AP30:BB30"/>
    <mergeCell ref="AP31:BB31"/>
    <mergeCell ref="AP24:BB24"/>
    <mergeCell ref="AP25:BB25"/>
    <mergeCell ref="AP26:BB26"/>
    <mergeCell ref="AP27:BB27"/>
    <mergeCell ref="AP28:BB28"/>
    <mergeCell ref="AP29:BB29"/>
    <mergeCell ref="B39:K39"/>
    <mergeCell ref="L39:BB39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38:K38"/>
    <mergeCell ref="L38:BB38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39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16 AB17:AE17 AB18:AE18 AB20:AE31 AB19:AE19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48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02"/>
  <dimension ref="A1:BJ49"/>
  <sheetViews>
    <sheetView showGridLines="0" zoomScaleNormal="100" workbookViewId="0">
      <selection activeCell="V16" sqref="V16:AA16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603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604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 t="s">
        <v>605</v>
      </c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590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591</v>
      </c>
      <c r="W16" s="249"/>
      <c r="X16" s="249"/>
      <c r="Y16" s="249"/>
      <c r="Z16" s="249"/>
      <c r="AA16" s="250"/>
      <c r="AB16" s="251" t="s">
        <v>606</v>
      </c>
      <c r="AC16" s="252"/>
      <c r="AD16" s="252"/>
      <c r="AE16" s="253"/>
      <c r="AF16" s="462"/>
      <c r="AG16" s="463"/>
      <c r="AH16" s="462"/>
      <c r="AI16" s="463"/>
      <c r="AJ16" s="462"/>
      <c r="AK16" s="463"/>
      <c r="AL16" s="462">
        <v>1</v>
      </c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8</v>
      </c>
      <c r="BI16" s="197"/>
      <c r="BJ16" s="198"/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593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594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/>
      <c r="AG17" s="463"/>
      <c r="AH17" s="462"/>
      <c r="AI17" s="463"/>
      <c r="AJ17" s="462"/>
      <c r="AK17" s="463"/>
      <c r="AL17" s="462">
        <v>1</v>
      </c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10</v>
      </c>
      <c r="BI17" s="197"/>
      <c r="BJ17" s="198"/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595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594</v>
      </c>
      <c r="W18" s="249"/>
      <c r="X18" s="249"/>
      <c r="Y18" s="249"/>
      <c r="Z18" s="249"/>
      <c r="AA18" s="250"/>
      <c r="AB18" s="251"/>
      <c r="AC18" s="252"/>
      <c r="AD18" s="252"/>
      <c r="AE18" s="253"/>
      <c r="AF18" s="462"/>
      <c r="AG18" s="463"/>
      <c r="AH18" s="462"/>
      <c r="AI18" s="463"/>
      <c r="AJ18" s="462"/>
      <c r="AK18" s="463"/>
      <c r="AL18" s="462">
        <v>1</v>
      </c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9</v>
      </c>
      <c r="BI18" s="197"/>
      <c r="BJ18" s="198"/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 t="s">
        <v>607</v>
      </c>
      <c r="M19" s="249"/>
      <c r="N19" s="249"/>
      <c r="O19" s="249"/>
      <c r="P19" s="249"/>
      <c r="Q19" s="249"/>
      <c r="R19" s="249"/>
      <c r="S19" s="249"/>
      <c r="T19" s="249"/>
      <c r="U19" s="250"/>
      <c r="V19" s="214" t="s">
        <v>57</v>
      </c>
      <c r="W19" s="249"/>
      <c r="X19" s="249"/>
      <c r="Y19" s="249"/>
      <c r="Z19" s="249"/>
      <c r="AA19" s="250"/>
      <c r="AB19" s="251"/>
      <c r="AC19" s="252"/>
      <c r="AD19" s="252"/>
      <c r="AE19" s="253"/>
      <c r="AF19" s="462"/>
      <c r="AG19" s="463"/>
      <c r="AH19" s="462"/>
      <c r="AI19" s="463"/>
      <c r="AJ19" s="462"/>
      <c r="AK19" s="463"/>
      <c r="AL19" s="462"/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9</v>
      </c>
      <c r="BI19" s="197"/>
      <c r="BJ19" s="198"/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/>
      <c r="M20" s="249"/>
      <c r="N20" s="249"/>
      <c r="O20" s="249"/>
      <c r="P20" s="249"/>
      <c r="Q20" s="249"/>
      <c r="R20" s="249"/>
      <c r="S20" s="249"/>
      <c r="T20" s="249"/>
      <c r="U20" s="250"/>
      <c r="V20" s="214"/>
      <c r="W20" s="249"/>
      <c r="X20" s="249"/>
      <c r="Y20" s="249"/>
      <c r="Z20" s="249"/>
      <c r="AA20" s="250"/>
      <c r="AB20" s="251"/>
      <c r="AC20" s="252"/>
      <c r="AD20" s="252"/>
      <c r="AE20" s="253"/>
      <c r="AF20" s="462"/>
      <c r="AG20" s="463"/>
      <c r="AH20" s="462"/>
      <c r="AI20" s="463"/>
      <c r="AJ20" s="462"/>
      <c r="AK20" s="463"/>
      <c r="AL20" s="462"/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0</v>
      </c>
      <c r="BI20" s="197"/>
      <c r="BJ20" s="198"/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/>
      <c r="M21" s="249"/>
      <c r="N21" s="249"/>
      <c r="O21" s="249"/>
      <c r="P21" s="249"/>
      <c r="Q21" s="249"/>
      <c r="R21" s="249"/>
      <c r="S21" s="249"/>
      <c r="T21" s="249"/>
      <c r="U21" s="250"/>
      <c r="V21" s="214"/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/>
      <c r="AK21" s="463"/>
      <c r="AL21" s="462"/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0</v>
      </c>
      <c r="BI21" s="197"/>
      <c r="BJ21" s="198"/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/>
      <c r="M22" s="249"/>
      <c r="N22" s="249"/>
      <c r="O22" s="249"/>
      <c r="P22" s="249"/>
      <c r="Q22" s="249"/>
      <c r="R22" s="249"/>
      <c r="S22" s="249"/>
      <c r="T22" s="249"/>
      <c r="U22" s="250"/>
      <c r="V22" s="214"/>
      <c r="W22" s="249"/>
      <c r="X22" s="249"/>
      <c r="Y22" s="249"/>
      <c r="Z22" s="249"/>
      <c r="AA22" s="250"/>
      <c r="AB22" s="251"/>
      <c r="AC22" s="252"/>
      <c r="AD22" s="252"/>
      <c r="AE22" s="253"/>
      <c r="AF22" s="462"/>
      <c r="AG22" s="463"/>
      <c r="AH22" s="462"/>
      <c r="AI22" s="463"/>
      <c r="AJ22" s="462"/>
      <c r="AK22" s="463"/>
      <c r="AL22" s="462"/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0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/>
      <c r="M23" s="249"/>
      <c r="N23" s="249"/>
      <c r="O23" s="249"/>
      <c r="P23" s="249"/>
      <c r="Q23" s="249"/>
      <c r="R23" s="249"/>
      <c r="S23" s="249"/>
      <c r="T23" s="249"/>
      <c r="U23" s="250"/>
      <c r="V23" s="214"/>
      <c r="W23" s="249"/>
      <c r="X23" s="249"/>
      <c r="Y23" s="249"/>
      <c r="Z23" s="249"/>
      <c r="AA23" s="250"/>
      <c r="AB23" s="251"/>
      <c r="AC23" s="252"/>
      <c r="AD23" s="252"/>
      <c r="AE23" s="253"/>
      <c r="AF23" s="462"/>
      <c r="AG23" s="463"/>
      <c r="AH23" s="462"/>
      <c r="AI23" s="463"/>
      <c r="AJ23" s="462"/>
      <c r="AK23" s="463"/>
      <c r="AL23" s="462"/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0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/>
      <c r="M24" s="249"/>
      <c r="N24" s="249"/>
      <c r="O24" s="249"/>
      <c r="P24" s="249"/>
      <c r="Q24" s="249"/>
      <c r="R24" s="249"/>
      <c r="S24" s="249"/>
      <c r="T24" s="249"/>
      <c r="U24" s="250"/>
      <c r="V24" s="214"/>
      <c r="W24" s="249"/>
      <c r="X24" s="249"/>
      <c r="Y24" s="249"/>
      <c r="Z24" s="249"/>
      <c r="AA24" s="250"/>
      <c r="AB24" s="251"/>
      <c r="AC24" s="252"/>
      <c r="AD24" s="252"/>
      <c r="AE24" s="253"/>
      <c r="AF24" s="462"/>
      <c r="AG24" s="463"/>
      <c r="AH24" s="462"/>
      <c r="AI24" s="463"/>
      <c r="AJ24" s="462"/>
      <c r="AK24" s="463"/>
      <c r="AL24" s="462"/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0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 t="str">
        <f t="shared" ref="A35:A39" si="2">IF(B35&lt;&gt;"",ROW()-34,"")</f>
        <v/>
      </c>
      <c r="B35" s="214"/>
      <c r="C35" s="249"/>
      <c r="D35" s="249"/>
      <c r="E35" s="249"/>
      <c r="F35" s="249"/>
      <c r="G35" s="249"/>
      <c r="H35" s="249"/>
      <c r="I35" s="249"/>
      <c r="J35" s="249"/>
      <c r="K35" s="250"/>
      <c r="L35" s="214"/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/>
      <c r="BJ35" s="194"/>
    </row>
    <row r="36" spans="1:62" s="75" customFormat="1" ht="14.1" customHeight="1">
      <c r="A36" s="157" t="str">
        <f t="shared" si="2"/>
        <v/>
      </c>
      <c r="B36" s="214"/>
      <c r="C36" s="249"/>
      <c r="D36" s="249"/>
      <c r="E36" s="249"/>
      <c r="F36" s="249"/>
      <c r="G36" s="249"/>
      <c r="H36" s="249"/>
      <c r="I36" s="249"/>
      <c r="J36" s="249"/>
      <c r="K36" s="250"/>
      <c r="L36" s="214"/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/>
      <c r="BJ36" s="194"/>
    </row>
    <row r="37" spans="1:62" s="75" customFormat="1" ht="14.1" customHeight="1">
      <c r="A37" s="157" t="str">
        <f t="shared" si="2"/>
        <v/>
      </c>
      <c r="B37" s="214"/>
      <c r="C37" s="249"/>
      <c r="D37" s="249"/>
      <c r="E37" s="249"/>
      <c r="F37" s="249"/>
      <c r="G37" s="249"/>
      <c r="H37" s="249"/>
      <c r="I37" s="249"/>
      <c r="J37" s="249"/>
      <c r="K37" s="250"/>
      <c r="L37" s="214"/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/>
      <c r="BJ37" s="194"/>
    </row>
    <row r="38" spans="1:62" ht="14.1" customHeight="1">
      <c r="A38" s="157" t="str">
        <f t="shared" si="2"/>
        <v/>
      </c>
      <c r="B38" s="214"/>
      <c r="C38" s="249"/>
      <c r="D38" s="249"/>
      <c r="E38" s="249"/>
      <c r="F38" s="249"/>
      <c r="G38" s="249"/>
      <c r="H38" s="249"/>
      <c r="I38" s="249"/>
      <c r="J38" s="249"/>
      <c r="K38" s="250"/>
      <c r="L38" s="214"/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572</v>
      </c>
      <c r="BG38" s="197"/>
      <c r="BH38" s="197"/>
      <c r="BI38" s="194"/>
      <c r="BJ38" s="194"/>
    </row>
    <row r="39" spans="1:62" ht="14.1" customHeight="1" thickBot="1">
      <c r="A39" s="158" t="str">
        <f t="shared" si="2"/>
        <v/>
      </c>
      <c r="B39" s="217"/>
      <c r="C39" s="307"/>
      <c r="D39" s="307"/>
      <c r="E39" s="307"/>
      <c r="F39" s="307"/>
      <c r="G39" s="307"/>
      <c r="H39" s="307"/>
      <c r="I39" s="307"/>
      <c r="J39" s="307"/>
      <c r="K39" s="308"/>
      <c r="L39" s="217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9"/>
      <c r="BF39" s="199" t="s">
        <v>577</v>
      </c>
      <c r="BG39" s="197"/>
      <c r="BH39" s="197"/>
      <c r="BI39" s="194"/>
      <c r="BJ39" s="194"/>
    </row>
    <row r="40" spans="1:62" ht="13.5" customHeight="1">
      <c r="BF40" s="3"/>
      <c r="BG40" s="3"/>
      <c r="BH40" s="3"/>
      <c r="BI40" s="3"/>
    </row>
    <row r="41" spans="1:62" ht="13.5" customHeight="1">
      <c r="BF41" s="3"/>
      <c r="BG41" s="3"/>
      <c r="BH41" s="3"/>
      <c r="BI41" s="3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58:61" ht="13.5" customHeight="1">
      <c r="BF49" s="3"/>
      <c r="BG49" s="3"/>
      <c r="BH49" s="3"/>
      <c r="BI49" s="3"/>
    </row>
  </sheetData>
  <mergeCells count="213">
    <mergeCell ref="AP30:BB30"/>
    <mergeCell ref="AP31:BB31"/>
    <mergeCell ref="AP24:BB24"/>
    <mergeCell ref="AP25:BB25"/>
    <mergeCell ref="AP26:BB26"/>
    <mergeCell ref="AP27:BB27"/>
    <mergeCell ref="AP28:BB28"/>
    <mergeCell ref="AP29:BB29"/>
    <mergeCell ref="B39:K39"/>
    <mergeCell ref="L39:BB39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38:K38"/>
    <mergeCell ref="L38:BB38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39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16 AB17:AE17 AB18:AE18 AB20:AE31 AB19:AE19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48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03"/>
  <dimension ref="A1:BJ50"/>
  <sheetViews>
    <sheetView showGridLines="0" zoomScaleNormal="100" workbookViewId="0">
      <selection sqref="A1:G1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608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609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610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591</v>
      </c>
      <c r="W16" s="249"/>
      <c r="X16" s="249"/>
      <c r="Y16" s="249"/>
      <c r="Z16" s="249"/>
      <c r="AA16" s="250"/>
      <c r="AB16" s="251" t="s">
        <v>592</v>
      </c>
      <c r="AC16" s="252"/>
      <c r="AD16" s="252"/>
      <c r="AE16" s="253"/>
      <c r="AF16" s="462">
        <v>1</v>
      </c>
      <c r="AG16" s="463"/>
      <c r="AH16" s="462"/>
      <c r="AI16" s="463"/>
      <c r="AJ16" s="462"/>
      <c r="AK16" s="463"/>
      <c r="AL16" s="462">
        <v>1</v>
      </c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10</v>
      </c>
      <c r="BI16" s="197">
        <v>1</v>
      </c>
      <c r="BJ16" s="198"/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609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567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/>
      <c r="AG17" s="463"/>
      <c r="AH17" s="462"/>
      <c r="AI17" s="463"/>
      <c r="AJ17" s="462"/>
      <c r="AK17" s="463"/>
      <c r="AL17" s="462">
        <v>1</v>
      </c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7</v>
      </c>
      <c r="BI17" s="197"/>
      <c r="BJ17" s="198"/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611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567</v>
      </c>
      <c r="W18" s="249"/>
      <c r="X18" s="249"/>
      <c r="Y18" s="249"/>
      <c r="Z18" s="249"/>
      <c r="AA18" s="250"/>
      <c r="AB18" s="251"/>
      <c r="AC18" s="252"/>
      <c r="AD18" s="252"/>
      <c r="AE18" s="253"/>
      <c r="AF18" s="462"/>
      <c r="AG18" s="463"/>
      <c r="AH18" s="462"/>
      <c r="AI18" s="463"/>
      <c r="AJ18" s="462"/>
      <c r="AK18" s="463"/>
      <c r="AL18" s="462"/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8</v>
      </c>
      <c r="BI18" s="197"/>
      <c r="BJ18" s="198"/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 t="s">
        <v>612</v>
      </c>
      <c r="M19" s="249"/>
      <c r="N19" s="249"/>
      <c r="O19" s="249"/>
      <c r="P19" s="249"/>
      <c r="Q19" s="249"/>
      <c r="R19" s="249"/>
      <c r="S19" s="249"/>
      <c r="T19" s="249"/>
      <c r="U19" s="250"/>
      <c r="V19" s="214" t="s">
        <v>566</v>
      </c>
      <c r="W19" s="249"/>
      <c r="X19" s="249"/>
      <c r="Y19" s="249"/>
      <c r="Z19" s="249"/>
      <c r="AA19" s="250"/>
      <c r="AB19" s="251"/>
      <c r="AC19" s="252"/>
      <c r="AD19" s="252"/>
      <c r="AE19" s="253"/>
      <c r="AF19" s="462"/>
      <c r="AG19" s="463"/>
      <c r="AH19" s="462"/>
      <c r="AI19" s="463"/>
      <c r="AJ19" s="462"/>
      <c r="AK19" s="463"/>
      <c r="AL19" s="462">
        <v>1</v>
      </c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8</v>
      </c>
      <c r="BI19" s="197"/>
      <c r="BJ19" s="198"/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 t="s">
        <v>613</v>
      </c>
      <c r="M20" s="249"/>
      <c r="N20" s="249"/>
      <c r="O20" s="249"/>
      <c r="P20" s="249"/>
      <c r="Q20" s="249"/>
      <c r="R20" s="249"/>
      <c r="S20" s="249"/>
      <c r="T20" s="249"/>
      <c r="U20" s="250"/>
      <c r="V20" s="214" t="s">
        <v>591</v>
      </c>
      <c r="W20" s="249"/>
      <c r="X20" s="249"/>
      <c r="Y20" s="249"/>
      <c r="Z20" s="249"/>
      <c r="AA20" s="250"/>
      <c r="AB20" s="251"/>
      <c r="AC20" s="252"/>
      <c r="AD20" s="252"/>
      <c r="AE20" s="253"/>
      <c r="AF20" s="462"/>
      <c r="AG20" s="463"/>
      <c r="AH20" s="462"/>
      <c r="AI20" s="463"/>
      <c r="AJ20" s="462">
        <v>1</v>
      </c>
      <c r="AK20" s="463"/>
      <c r="AL20" s="462">
        <v>1</v>
      </c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7</v>
      </c>
      <c r="BI20" s="197">
        <v>1</v>
      </c>
      <c r="BJ20" s="198" t="s">
        <v>623</v>
      </c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 t="s">
        <v>614</v>
      </c>
      <c r="M21" s="249"/>
      <c r="N21" s="249"/>
      <c r="O21" s="249"/>
      <c r="P21" s="249"/>
      <c r="Q21" s="249"/>
      <c r="R21" s="249"/>
      <c r="S21" s="249"/>
      <c r="T21" s="249"/>
      <c r="U21" s="250"/>
      <c r="V21" s="214" t="s">
        <v>615</v>
      </c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/>
      <c r="AK21" s="463"/>
      <c r="AL21" s="462"/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11</v>
      </c>
      <c r="BI21" s="197"/>
      <c r="BJ21" s="198"/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 t="s">
        <v>616</v>
      </c>
      <c r="M22" s="249"/>
      <c r="N22" s="249"/>
      <c r="O22" s="249"/>
      <c r="P22" s="249"/>
      <c r="Q22" s="249"/>
      <c r="R22" s="249"/>
      <c r="S22" s="249"/>
      <c r="T22" s="249"/>
      <c r="U22" s="250"/>
      <c r="V22" s="214" t="s">
        <v>566</v>
      </c>
      <c r="W22" s="249"/>
      <c r="X22" s="249"/>
      <c r="Y22" s="249"/>
      <c r="Z22" s="249"/>
      <c r="AA22" s="250"/>
      <c r="AB22" s="251"/>
      <c r="AC22" s="252"/>
      <c r="AD22" s="252"/>
      <c r="AE22" s="253"/>
      <c r="AF22" s="462"/>
      <c r="AG22" s="463"/>
      <c r="AH22" s="462"/>
      <c r="AI22" s="463"/>
      <c r="AJ22" s="462"/>
      <c r="AK22" s="463"/>
      <c r="AL22" s="462">
        <v>1</v>
      </c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5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 t="s">
        <v>617</v>
      </c>
      <c r="M23" s="249"/>
      <c r="N23" s="249"/>
      <c r="O23" s="249"/>
      <c r="P23" s="249"/>
      <c r="Q23" s="249"/>
      <c r="R23" s="249"/>
      <c r="S23" s="249"/>
      <c r="T23" s="249"/>
      <c r="U23" s="250"/>
      <c r="V23" s="214" t="s">
        <v>618</v>
      </c>
      <c r="W23" s="249"/>
      <c r="X23" s="249"/>
      <c r="Y23" s="249"/>
      <c r="Z23" s="249"/>
      <c r="AA23" s="250"/>
      <c r="AB23" s="251"/>
      <c r="AC23" s="252"/>
      <c r="AD23" s="252"/>
      <c r="AE23" s="253"/>
      <c r="AF23" s="462"/>
      <c r="AG23" s="463"/>
      <c r="AH23" s="462"/>
      <c r="AI23" s="463"/>
      <c r="AJ23" s="462"/>
      <c r="AK23" s="463"/>
      <c r="AL23" s="462">
        <v>1</v>
      </c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8</v>
      </c>
      <c r="BI23" s="197">
        <v>1</v>
      </c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 t="s">
        <v>596</v>
      </c>
      <c r="M24" s="249"/>
      <c r="N24" s="249"/>
      <c r="O24" s="249"/>
      <c r="P24" s="249"/>
      <c r="Q24" s="249"/>
      <c r="R24" s="249"/>
      <c r="S24" s="249"/>
      <c r="T24" s="249"/>
      <c r="U24" s="250"/>
      <c r="V24" s="214" t="s">
        <v>61</v>
      </c>
      <c r="W24" s="249"/>
      <c r="X24" s="249"/>
      <c r="Y24" s="249"/>
      <c r="Z24" s="249"/>
      <c r="AA24" s="250"/>
      <c r="AB24" s="251" t="s">
        <v>597</v>
      </c>
      <c r="AC24" s="252"/>
      <c r="AD24" s="252"/>
      <c r="AE24" s="253"/>
      <c r="AF24" s="462"/>
      <c r="AG24" s="463"/>
      <c r="AH24" s="462"/>
      <c r="AI24" s="463"/>
      <c r="AJ24" s="462"/>
      <c r="AK24" s="463"/>
      <c r="AL24" s="462">
        <v>1</v>
      </c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11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>
        <f>ROW()- 34</f>
        <v>1</v>
      </c>
      <c r="B35" s="214" t="s">
        <v>598</v>
      </c>
      <c r="C35" s="249"/>
      <c r="D35" s="249"/>
      <c r="E35" s="249"/>
      <c r="F35" s="249"/>
      <c r="G35" s="249"/>
      <c r="H35" s="249"/>
      <c r="I35" s="249"/>
      <c r="J35" s="249"/>
      <c r="K35" s="250"/>
      <c r="L35" s="214" t="s">
        <v>610</v>
      </c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 t="s">
        <v>599</v>
      </c>
      <c r="BJ35" s="194" t="s">
        <v>600</v>
      </c>
    </row>
    <row r="36" spans="1:62" s="75" customFormat="1" ht="14.1" customHeight="1">
      <c r="A36" s="157">
        <f>ROW()- 34</f>
        <v>2</v>
      </c>
      <c r="B36" s="214" t="s">
        <v>619</v>
      </c>
      <c r="C36" s="249"/>
      <c r="D36" s="249"/>
      <c r="E36" s="249"/>
      <c r="F36" s="249"/>
      <c r="G36" s="249"/>
      <c r="H36" s="249"/>
      <c r="I36" s="249"/>
      <c r="J36" s="249"/>
      <c r="K36" s="250"/>
      <c r="L36" s="214" t="s">
        <v>613</v>
      </c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 t="s">
        <v>602</v>
      </c>
      <c r="BJ36" s="194" t="s">
        <v>600</v>
      </c>
    </row>
    <row r="37" spans="1:62" s="75" customFormat="1" ht="14.1" customHeight="1">
      <c r="A37" s="157">
        <f>ROW()- 34</f>
        <v>3</v>
      </c>
      <c r="B37" s="214" t="s">
        <v>620</v>
      </c>
      <c r="C37" s="249"/>
      <c r="D37" s="249"/>
      <c r="E37" s="249"/>
      <c r="F37" s="249"/>
      <c r="G37" s="249"/>
      <c r="H37" s="249"/>
      <c r="I37" s="249"/>
      <c r="J37" s="249"/>
      <c r="K37" s="250"/>
      <c r="L37" s="214" t="s">
        <v>617</v>
      </c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 t="s">
        <v>602</v>
      </c>
      <c r="BJ37" s="194" t="s">
        <v>621</v>
      </c>
    </row>
    <row r="38" spans="1:62" ht="14.1" customHeight="1">
      <c r="A38" s="157">
        <f t="shared" ref="A38" si="2">IF(B38&lt;&gt;"",ROW()-34,"")</f>
        <v>4</v>
      </c>
      <c r="B38" s="214" t="s">
        <v>624</v>
      </c>
      <c r="C38" s="249"/>
      <c r="D38" s="249"/>
      <c r="E38" s="249"/>
      <c r="F38" s="249"/>
      <c r="G38" s="249"/>
      <c r="H38" s="249"/>
      <c r="I38" s="249"/>
      <c r="J38" s="249"/>
      <c r="K38" s="250"/>
      <c r="L38" s="214" t="s">
        <v>613</v>
      </c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622</v>
      </c>
      <c r="BG38" s="197"/>
      <c r="BH38" s="197"/>
      <c r="BI38" s="194"/>
      <c r="BJ38" s="194" t="s">
        <v>625</v>
      </c>
    </row>
    <row r="39" spans="1:62" ht="14.1" customHeight="1">
      <c r="A39" s="157" t="str">
        <f t="shared" ref="A35:A40" si="3">IF(B39&lt;&gt;"",ROW()-34,"")</f>
        <v/>
      </c>
      <c r="B39" s="214"/>
      <c r="C39" s="249"/>
      <c r="D39" s="249"/>
      <c r="E39" s="249"/>
      <c r="F39" s="249"/>
      <c r="G39" s="249"/>
      <c r="H39" s="249"/>
      <c r="I39" s="249"/>
      <c r="J39" s="249"/>
      <c r="K39" s="250"/>
      <c r="L39" s="214"/>
      <c r="M39" s="215"/>
      <c r="N39" s="215"/>
      <c r="O39" s="215"/>
      <c r="P39" s="215"/>
      <c r="Q39" s="215"/>
      <c r="R39" s="215"/>
      <c r="S39" s="215"/>
      <c r="T39" s="215"/>
      <c r="U39" s="215"/>
      <c r="V39" s="215"/>
      <c r="W39" s="215"/>
      <c r="X39" s="215"/>
      <c r="Y39" s="215"/>
      <c r="Z39" s="215"/>
      <c r="AA39" s="215"/>
      <c r="AB39" s="215"/>
      <c r="AC39" s="215"/>
      <c r="AD39" s="215"/>
      <c r="AE39" s="215"/>
      <c r="AF39" s="215"/>
      <c r="AG39" s="215"/>
      <c r="AH39" s="215"/>
      <c r="AI39" s="215"/>
      <c r="AJ39" s="215"/>
      <c r="AK39" s="215"/>
      <c r="AL39" s="215"/>
      <c r="AM39" s="215"/>
      <c r="AN39" s="215"/>
      <c r="AO39" s="215"/>
      <c r="AP39" s="215"/>
      <c r="AQ39" s="215"/>
      <c r="AR39" s="215"/>
      <c r="AS39" s="215"/>
      <c r="AT39" s="215"/>
      <c r="AU39" s="215"/>
      <c r="AV39" s="215"/>
      <c r="AW39" s="215"/>
      <c r="AX39" s="215"/>
      <c r="AY39" s="215"/>
      <c r="AZ39" s="215"/>
      <c r="BA39" s="215"/>
      <c r="BB39" s="216"/>
      <c r="BF39" s="199" t="s">
        <v>572</v>
      </c>
      <c r="BG39" s="197"/>
      <c r="BH39" s="197"/>
      <c r="BI39" s="194"/>
      <c r="BJ39" s="194"/>
    </row>
    <row r="40" spans="1:62" ht="14.1" customHeight="1" thickBot="1">
      <c r="A40" s="158" t="str">
        <f t="shared" si="3"/>
        <v/>
      </c>
      <c r="B40" s="217"/>
      <c r="C40" s="307"/>
      <c r="D40" s="307"/>
      <c r="E40" s="307"/>
      <c r="F40" s="307"/>
      <c r="G40" s="307"/>
      <c r="H40" s="307"/>
      <c r="I40" s="307"/>
      <c r="J40" s="307"/>
      <c r="K40" s="308"/>
      <c r="L40" s="217"/>
      <c r="M40" s="218"/>
      <c r="N40" s="218"/>
      <c r="O40" s="218"/>
      <c r="P40" s="218"/>
      <c r="Q40" s="218"/>
      <c r="R40" s="218"/>
      <c r="S40" s="218"/>
      <c r="T40" s="218"/>
      <c r="U40" s="218"/>
      <c r="V40" s="218"/>
      <c r="W40" s="218"/>
      <c r="X40" s="218"/>
      <c r="Y40" s="218"/>
      <c r="Z40" s="218"/>
      <c r="AA40" s="218"/>
      <c r="AB40" s="218"/>
      <c r="AC40" s="218"/>
      <c r="AD40" s="218"/>
      <c r="AE40" s="218"/>
      <c r="AF40" s="218"/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18"/>
      <c r="AU40" s="218"/>
      <c r="AV40" s="218"/>
      <c r="AW40" s="218"/>
      <c r="AX40" s="218"/>
      <c r="AY40" s="218"/>
      <c r="AZ40" s="218"/>
      <c r="BA40" s="218"/>
      <c r="BB40" s="219"/>
      <c r="BF40" s="199" t="s">
        <v>577</v>
      </c>
      <c r="BG40" s="197"/>
      <c r="BH40" s="197"/>
      <c r="BI40" s="194"/>
      <c r="BJ40" s="194"/>
    </row>
    <row r="41" spans="1:62" ht="13.5" customHeight="1">
      <c r="BF41" s="3"/>
      <c r="BG41" s="3"/>
      <c r="BH41" s="3"/>
      <c r="BI41" s="3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1:61" ht="13.5" customHeight="1">
      <c r="BF49" s="3"/>
      <c r="BG49" s="3"/>
      <c r="BH49" s="3"/>
      <c r="BI49" s="3"/>
    </row>
    <row r="50" spans="1:61" s="196" customFormat="1" ht="13.5" customHeight="1">
      <c r="A50" s="78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/>
      <c r="BD50"/>
      <c r="BE50" s="78"/>
      <c r="BF50" s="3"/>
      <c r="BG50" s="3"/>
      <c r="BH50" s="3"/>
      <c r="BI50" s="3"/>
    </row>
  </sheetData>
  <mergeCells count="215">
    <mergeCell ref="AP30:BB30"/>
    <mergeCell ref="AP31:BB31"/>
    <mergeCell ref="B38:K38"/>
    <mergeCell ref="L38:BB38"/>
    <mergeCell ref="AP24:BB24"/>
    <mergeCell ref="AP25:BB25"/>
    <mergeCell ref="AP26:BB26"/>
    <mergeCell ref="AP27:BB27"/>
    <mergeCell ref="AP28:BB28"/>
    <mergeCell ref="AP29:BB29"/>
    <mergeCell ref="B40:K40"/>
    <mergeCell ref="L40:BB40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39:K39"/>
    <mergeCell ref="L39:BB39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40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31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49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04"/>
  <dimension ref="A1:BJ49"/>
  <sheetViews>
    <sheetView showGridLines="0" zoomScaleNormal="100" workbookViewId="0">
      <selection sqref="A1:G1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626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627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628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629</v>
      </c>
      <c r="W16" s="249"/>
      <c r="X16" s="249"/>
      <c r="Y16" s="249"/>
      <c r="Z16" s="249"/>
      <c r="AA16" s="250"/>
      <c r="AB16" s="251" t="s">
        <v>592</v>
      </c>
      <c r="AC16" s="252"/>
      <c r="AD16" s="252"/>
      <c r="AE16" s="253"/>
      <c r="AF16" s="462">
        <v>1</v>
      </c>
      <c r="AG16" s="463"/>
      <c r="AH16" s="462"/>
      <c r="AI16" s="463"/>
      <c r="AJ16" s="462"/>
      <c r="AK16" s="463"/>
      <c r="AL16" s="462">
        <v>1</v>
      </c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11</v>
      </c>
      <c r="BI16" s="197">
        <v>1</v>
      </c>
      <c r="BJ16" s="198"/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630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631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/>
      <c r="AG17" s="463"/>
      <c r="AH17" s="462"/>
      <c r="AI17" s="463"/>
      <c r="AJ17" s="462"/>
      <c r="AK17" s="463"/>
      <c r="AL17" s="462">
        <v>1</v>
      </c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4</v>
      </c>
      <c r="BI17" s="197"/>
      <c r="BJ17" s="198"/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596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61</v>
      </c>
      <c r="W18" s="249"/>
      <c r="X18" s="249"/>
      <c r="Y18" s="249"/>
      <c r="Z18" s="249"/>
      <c r="AA18" s="250"/>
      <c r="AB18" s="251" t="s">
        <v>597</v>
      </c>
      <c r="AC18" s="252"/>
      <c r="AD18" s="252"/>
      <c r="AE18" s="253"/>
      <c r="AF18" s="462"/>
      <c r="AG18" s="463"/>
      <c r="AH18" s="462"/>
      <c r="AI18" s="463"/>
      <c r="AJ18" s="462"/>
      <c r="AK18" s="463"/>
      <c r="AL18" s="462">
        <v>1</v>
      </c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11</v>
      </c>
      <c r="BI18" s="197"/>
      <c r="BJ18" s="198"/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/>
      <c r="M19" s="249"/>
      <c r="N19" s="249"/>
      <c r="O19" s="249"/>
      <c r="P19" s="249"/>
      <c r="Q19" s="249"/>
      <c r="R19" s="249"/>
      <c r="S19" s="249"/>
      <c r="T19" s="249"/>
      <c r="U19" s="250"/>
      <c r="V19" s="214"/>
      <c r="W19" s="249"/>
      <c r="X19" s="249"/>
      <c r="Y19" s="249"/>
      <c r="Z19" s="249"/>
      <c r="AA19" s="250"/>
      <c r="AB19" s="251"/>
      <c r="AC19" s="252"/>
      <c r="AD19" s="252"/>
      <c r="AE19" s="253"/>
      <c r="AF19" s="462"/>
      <c r="AG19" s="463"/>
      <c r="AH19" s="462"/>
      <c r="AI19" s="463"/>
      <c r="AJ19" s="462"/>
      <c r="AK19" s="463"/>
      <c r="AL19" s="462"/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0</v>
      </c>
      <c r="BI19" s="197"/>
      <c r="BJ19" s="198"/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/>
      <c r="M20" s="249"/>
      <c r="N20" s="249"/>
      <c r="O20" s="249"/>
      <c r="P20" s="249"/>
      <c r="Q20" s="249"/>
      <c r="R20" s="249"/>
      <c r="S20" s="249"/>
      <c r="T20" s="249"/>
      <c r="U20" s="250"/>
      <c r="V20" s="214"/>
      <c r="W20" s="249"/>
      <c r="X20" s="249"/>
      <c r="Y20" s="249"/>
      <c r="Z20" s="249"/>
      <c r="AA20" s="250"/>
      <c r="AB20" s="251"/>
      <c r="AC20" s="252"/>
      <c r="AD20" s="252"/>
      <c r="AE20" s="253"/>
      <c r="AF20" s="462"/>
      <c r="AG20" s="463"/>
      <c r="AH20" s="462"/>
      <c r="AI20" s="463"/>
      <c r="AJ20" s="462"/>
      <c r="AK20" s="463"/>
      <c r="AL20" s="462"/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0</v>
      </c>
      <c r="BI20" s="197"/>
      <c r="BJ20" s="198"/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/>
      <c r="M21" s="249"/>
      <c r="N21" s="249"/>
      <c r="O21" s="249"/>
      <c r="P21" s="249"/>
      <c r="Q21" s="249"/>
      <c r="R21" s="249"/>
      <c r="S21" s="249"/>
      <c r="T21" s="249"/>
      <c r="U21" s="250"/>
      <c r="V21" s="214"/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/>
      <c r="AK21" s="463"/>
      <c r="AL21" s="462"/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0</v>
      </c>
      <c r="BI21" s="197"/>
      <c r="BJ21" s="198"/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/>
      <c r="M22" s="249"/>
      <c r="N22" s="249"/>
      <c r="O22" s="249"/>
      <c r="P22" s="249"/>
      <c r="Q22" s="249"/>
      <c r="R22" s="249"/>
      <c r="S22" s="249"/>
      <c r="T22" s="249"/>
      <c r="U22" s="250"/>
      <c r="V22" s="214"/>
      <c r="W22" s="249"/>
      <c r="X22" s="249"/>
      <c r="Y22" s="249"/>
      <c r="Z22" s="249"/>
      <c r="AA22" s="250"/>
      <c r="AB22" s="251"/>
      <c r="AC22" s="252"/>
      <c r="AD22" s="252"/>
      <c r="AE22" s="253"/>
      <c r="AF22" s="462"/>
      <c r="AG22" s="463"/>
      <c r="AH22" s="462"/>
      <c r="AI22" s="463"/>
      <c r="AJ22" s="462"/>
      <c r="AK22" s="463"/>
      <c r="AL22" s="462"/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0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/>
      <c r="M23" s="249"/>
      <c r="N23" s="249"/>
      <c r="O23" s="249"/>
      <c r="P23" s="249"/>
      <c r="Q23" s="249"/>
      <c r="R23" s="249"/>
      <c r="S23" s="249"/>
      <c r="T23" s="249"/>
      <c r="U23" s="250"/>
      <c r="V23" s="214"/>
      <c r="W23" s="249"/>
      <c r="X23" s="249"/>
      <c r="Y23" s="249"/>
      <c r="Z23" s="249"/>
      <c r="AA23" s="250"/>
      <c r="AB23" s="251"/>
      <c r="AC23" s="252"/>
      <c r="AD23" s="252"/>
      <c r="AE23" s="253"/>
      <c r="AF23" s="462"/>
      <c r="AG23" s="463"/>
      <c r="AH23" s="462"/>
      <c r="AI23" s="463"/>
      <c r="AJ23" s="462"/>
      <c r="AK23" s="463"/>
      <c r="AL23" s="462"/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0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/>
      <c r="M24" s="249"/>
      <c r="N24" s="249"/>
      <c r="O24" s="249"/>
      <c r="P24" s="249"/>
      <c r="Q24" s="249"/>
      <c r="R24" s="249"/>
      <c r="S24" s="249"/>
      <c r="T24" s="249"/>
      <c r="U24" s="250"/>
      <c r="V24" s="214"/>
      <c r="W24" s="249"/>
      <c r="X24" s="249"/>
      <c r="Y24" s="249"/>
      <c r="Z24" s="249"/>
      <c r="AA24" s="250"/>
      <c r="AB24" s="251"/>
      <c r="AC24" s="252"/>
      <c r="AD24" s="252"/>
      <c r="AE24" s="253"/>
      <c r="AF24" s="462"/>
      <c r="AG24" s="463"/>
      <c r="AH24" s="462"/>
      <c r="AI24" s="463"/>
      <c r="AJ24" s="462"/>
      <c r="AK24" s="463"/>
      <c r="AL24" s="462"/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0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>
        <f>ROW()- 34</f>
        <v>1</v>
      </c>
      <c r="B35" s="214" t="s">
        <v>598</v>
      </c>
      <c r="C35" s="249"/>
      <c r="D35" s="249"/>
      <c r="E35" s="249"/>
      <c r="F35" s="249"/>
      <c r="G35" s="249"/>
      <c r="H35" s="249"/>
      <c r="I35" s="249"/>
      <c r="J35" s="249"/>
      <c r="K35" s="250"/>
      <c r="L35" s="214" t="s">
        <v>628</v>
      </c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 t="s">
        <v>599</v>
      </c>
      <c r="BJ35" s="194" t="s">
        <v>600</v>
      </c>
    </row>
    <row r="36" spans="1:62" s="75" customFormat="1" ht="14.1" customHeight="1">
      <c r="A36" s="157" t="str">
        <f t="shared" ref="A35:A39" si="2">IF(B36&lt;&gt;"",ROW()-34,"")</f>
        <v/>
      </c>
      <c r="B36" s="214"/>
      <c r="C36" s="249"/>
      <c r="D36" s="249"/>
      <c r="E36" s="249"/>
      <c r="F36" s="249"/>
      <c r="G36" s="249"/>
      <c r="H36" s="249"/>
      <c r="I36" s="249"/>
      <c r="J36" s="249"/>
      <c r="K36" s="250"/>
      <c r="L36" s="214"/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/>
      <c r="BJ36" s="194"/>
    </row>
    <row r="37" spans="1:62" s="75" customFormat="1" ht="14.1" customHeight="1">
      <c r="A37" s="157" t="str">
        <f t="shared" si="2"/>
        <v/>
      </c>
      <c r="B37" s="214"/>
      <c r="C37" s="249"/>
      <c r="D37" s="249"/>
      <c r="E37" s="249"/>
      <c r="F37" s="249"/>
      <c r="G37" s="249"/>
      <c r="H37" s="249"/>
      <c r="I37" s="249"/>
      <c r="J37" s="249"/>
      <c r="K37" s="250"/>
      <c r="L37" s="214"/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/>
      <c r="BJ37" s="194"/>
    </row>
    <row r="38" spans="1:62" ht="14.1" customHeight="1">
      <c r="A38" s="157" t="str">
        <f t="shared" si="2"/>
        <v/>
      </c>
      <c r="B38" s="214"/>
      <c r="C38" s="249"/>
      <c r="D38" s="249"/>
      <c r="E38" s="249"/>
      <c r="F38" s="249"/>
      <c r="G38" s="249"/>
      <c r="H38" s="249"/>
      <c r="I38" s="249"/>
      <c r="J38" s="249"/>
      <c r="K38" s="250"/>
      <c r="L38" s="214"/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572</v>
      </c>
      <c r="BG38" s="197"/>
      <c r="BH38" s="197"/>
      <c r="BI38" s="194"/>
      <c r="BJ38" s="194"/>
    </row>
    <row r="39" spans="1:62" ht="14.1" customHeight="1" thickBot="1">
      <c r="A39" s="158" t="str">
        <f t="shared" si="2"/>
        <v/>
      </c>
      <c r="B39" s="217"/>
      <c r="C39" s="307"/>
      <c r="D39" s="307"/>
      <c r="E39" s="307"/>
      <c r="F39" s="307"/>
      <c r="G39" s="307"/>
      <c r="H39" s="307"/>
      <c r="I39" s="307"/>
      <c r="J39" s="307"/>
      <c r="K39" s="308"/>
      <c r="L39" s="217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9"/>
      <c r="BF39" s="199" t="s">
        <v>577</v>
      </c>
      <c r="BG39" s="197"/>
      <c r="BH39" s="197"/>
      <c r="BI39" s="194"/>
      <c r="BJ39" s="194"/>
    </row>
    <row r="40" spans="1:62" ht="13.5" customHeight="1">
      <c r="BF40" s="3"/>
      <c r="BG40" s="3"/>
      <c r="BH40" s="3"/>
      <c r="BI40" s="3"/>
    </row>
    <row r="41" spans="1:62" ht="13.5" customHeight="1">
      <c r="BF41" s="3"/>
      <c r="BG41" s="3"/>
      <c r="BH41" s="3"/>
      <c r="BI41" s="3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58:61" ht="13.5" customHeight="1">
      <c r="BF49" s="3"/>
      <c r="BG49" s="3"/>
      <c r="BH49" s="3"/>
      <c r="BI49" s="3"/>
    </row>
  </sheetData>
  <mergeCells count="213">
    <mergeCell ref="AP30:BB30"/>
    <mergeCell ref="AP31:BB31"/>
    <mergeCell ref="AP24:BB24"/>
    <mergeCell ref="AP25:BB25"/>
    <mergeCell ref="AP26:BB26"/>
    <mergeCell ref="AP27:BB27"/>
    <mergeCell ref="AP28:BB28"/>
    <mergeCell ref="AP29:BB29"/>
    <mergeCell ref="B39:K39"/>
    <mergeCell ref="L39:BB39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38:K38"/>
    <mergeCell ref="L38:BB38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39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16 AB17:AE17 AB19:AE31 AB18:AE18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48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05"/>
  <dimension ref="A1:BJ49"/>
  <sheetViews>
    <sheetView showGridLines="0" zoomScaleNormal="100" workbookViewId="0">
      <selection sqref="A1:G1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580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581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613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591</v>
      </c>
      <c r="W16" s="249"/>
      <c r="X16" s="249"/>
      <c r="Y16" s="249"/>
      <c r="Z16" s="249"/>
      <c r="AA16" s="250"/>
      <c r="AB16" s="251" t="s">
        <v>592</v>
      </c>
      <c r="AC16" s="252"/>
      <c r="AD16" s="252"/>
      <c r="AE16" s="253"/>
      <c r="AF16" s="462">
        <v>1</v>
      </c>
      <c r="AG16" s="463"/>
      <c r="AH16" s="462"/>
      <c r="AI16" s="463"/>
      <c r="AJ16" s="462"/>
      <c r="AK16" s="463"/>
      <c r="AL16" s="462">
        <v>1</v>
      </c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7</v>
      </c>
      <c r="BI16" s="197">
        <v>1</v>
      </c>
      <c r="BJ16" s="198"/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581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567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/>
      <c r="AG17" s="463"/>
      <c r="AH17" s="462"/>
      <c r="AI17" s="463"/>
      <c r="AJ17" s="462"/>
      <c r="AK17" s="463"/>
      <c r="AL17" s="462">
        <v>1</v>
      </c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4</v>
      </c>
      <c r="BI17" s="197"/>
      <c r="BJ17" s="198"/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632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591</v>
      </c>
      <c r="W18" s="249"/>
      <c r="X18" s="249"/>
      <c r="Y18" s="249"/>
      <c r="Z18" s="249"/>
      <c r="AA18" s="250"/>
      <c r="AB18" s="251"/>
      <c r="AC18" s="252"/>
      <c r="AD18" s="252"/>
      <c r="AE18" s="253"/>
      <c r="AF18" s="462"/>
      <c r="AG18" s="463"/>
      <c r="AH18" s="462"/>
      <c r="AI18" s="463"/>
      <c r="AJ18" s="462">
        <v>1</v>
      </c>
      <c r="AK18" s="463"/>
      <c r="AL18" s="462">
        <v>1</v>
      </c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10</v>
      </c>
      <c r="BI18" s="197">
        <v>1</v>
      </c>
      <c r="BJ18" s="198" t="s">
        <v>634</v>
      </c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 t="s">
        <v>596</v>
      </c>
      <c r="M19" s="249"/>
      <c r="N19" s="249"/>
      <c r="O19" s="249"/>
      <c r="P19" s="249"/>
      <c r="Q19" s="249"/>
      <c r="R19" s="249"/>
      <c r="S19" s="249"/>
      <c r="T19" s="249"/>
      <c r="U19" s="250"/>
      <c r="V19" s="214" t="s">
        <v>61</v>
      </c>
      <c r="W19" s="249"/>
      <c r="X19" s="249"/>
      <c r="Y19" s="249"/>
      <c r="Z19" s="249"/>
      <c r="AA19" s="250"/>
      <c r="AB19" s="251" t="s">
        <v>597</v>
      </c>
      <c r="AC19" s="252"/>
      <c r="AD19" s="252"/>
      <c r="AE19" s="253"/>
      <c r="AF19" s="462"/>
      <c r="AG19" s="463"/>
      <c r="AH19" s="462"/>
      <c r="AI19" s="463"/>
      <c r="AJ19" s="462"/>
      <c r="AK19" s="463"/>
      <c r="AL19" s="462">
        <v>1</v>
      </c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11</v>
      </c>
      <c r="BI19" s="197"/>
      <c r="BJ19" s="198"/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/>
      <c r="M20" s="249"/>
      <c r="N20" s="249"/>
      <c r="O20" s="249"/>
      <c r="P20" s="249"/>
      <c r="Q20" s="249"/>
      <c r="R20" s="249"/>
      <c r="S20" s="249"/>
      <c r="T20" s="249"/>
      <c r="U20" s="250"/>
      <c r="V20" s="214"/>
      <c r="W20" s="249"/>
      <c r="X20" s="249"/>
      <c r="Y20" s="249"/>
      <c r="Z20" s="249"/>
      <c r="AA20" s="250"/>
      <c r="AB20" s="251"/>
      <c r="AC20" s="252"/>
      <c r="AD20" s="252"/>
      <c r="AE20" s="253"/>
      <c r="AF20" s="462"/>
      <c r="AG20" s="463"/>
      <c r="AH20" s="462"/>
      <c r="AI20" s="463"/>
      <c r="AJ20" s="462"/>
      <c r="AK20" s="463"/>
      <c r="AL20" s="462"/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0</v>
      </c>
      <c r="BI20" s="197"/>
      <c r="BJ20" s="198"/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/>
      <c r="M21" s="249"/>
      <c r="N21" s="249"/>
      <c r="O21" s="249"/>
      <c r="P21" s="249"/>
      <c r="Q21" s="249"/>
      <c r="R21" s="249"/>
      <c r="S21" s="249"/>
      <c r="T21" s="249"/>
      <c r="U21" s="250"/>
      <c r="V21" s="214"/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/>
      <c r="AK21" s="463"/>
      <c r="AL21" s="462"/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0</v>
      </c>
      <c r="BI21" s="197"/>
      <c r="BJ21" s="198"/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/>
      <c r="M22" s="249"/>
      <c r="N22" s="249"/>
      <c r="O22" s="249"/>
      <c r="P22" s="249"/>
      <c r="Q22" s="249"/>
      <c r="R22" s="249"/>
      <c r="S22" s="249"/>
      <c r="T22" s="249"/>
      <c r="U22" s="250"/>
      <c r="V22" s="214"/>
      <c r="W22" s="249"/>
      <c r="X22" s="249"/>
      <c r="Y22" s="249"/>
      <c r="Z22" s="249"/>
      <c r="AA22" s="250"/>
      <c r="AB22" s="251"/>
      <c r="AC22" s="252"/>
      <c r="AD22" s="252"/>
      <c r="AE22" s="253"/>
      <c r="AF22" s="462"/>
      <c r="AG22" s="463"/>
      <c r="AH22" s="462"/>
      <c r="AI22" s="463"/>
      <c r="AJ22" s="462"/>
      <c r="AK22" s="463"/>
      <c r="AL22" s="462"/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0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/>
      <c r="M23" s="249"/>
      <c r="N23" s="249"/>
      <c r="O23" s="249"/>
      <c r="P23" s="249"/>
      <c r="Q23" s="249"/>
      <c r="R23" s="249"/>
      <c r="S23" s="249"/>
      <c r="T23" s="249"/>
      <c r="U23" s="250"/>
      <c r="V23" s="214"/>
      <c r="W23" s="249"/>
      <c r="X23" s="249"/>
      <c r="Y23" s="249"/>
      <c r="Z23" s="249"/>
      <c r="AA23" s="250"/>
      <c r="AB23" s="251"/>
      <c r="AC23" s="252"/>
      <c r="AD23" s="252"/>
      <c r="AE23" s="253"/>
      <c r="AF23" s="462"/>
      <c r="AG23" s="463"/>
      <c r="AH23" s="462"/>
      <c r="AI23" s="463"/>
      <c r="AJ23" s="462"/>
      <c r="AK23" s="463"/>
      <c r="AL23" s="462"/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0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/>
      <c r="M24" s="249"/>
      <c r="N24" s="249"/>
      <c r="O24" s="249"/>
      <c r="P24" s="249"/>
      <c r="Q24" s="249"/>
      <c r="R24" s="249"/>
      <c r="S24" s="249"/>
      <c r="T24" s="249"/>
      <c r="U24" s="250"/>
      <c r="V24" s="214"/>
      <c r="W24" s="249"/>
      <c r="X24" s="249"/>
      <c r="Y24" s="249"/>
      <c r="Z24" s="249"/>
      <c r="AA24" s="250"/>
      <c r="AB24" s="251"/>
      <c r="AC24" s="252"/>
      <c r="AD24" s="252"/>
      <c r="AE24" s="253"/>
      <c r="AF24" s="462"/>
      <c r="AG24" s="463"/>
      <c r="AH24" s="462"/>
      <c r="AI24" s="463"/>
      <c r="AJ24" s="462"/>
      <c r="AK24" s="463"/>
      <c r="AL24" s="462"/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0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>
        <f>ROW()- 34</f>
        <v>1</v>
      </c>
      <c r="B35" s="214" t="s">
        <v>598</v>
      </c>
      <c r="C35" s="249"/>
      <c r="D35" s="249"/>
      <c r="E35" s="249"/>
      <c r="F35" s="249"/>
      <c r="G35" s="249"/>
      <c r="H35" s="249"/>
      <c r="I35" s="249"/>
      <c r="J35" s="249"/>
      <c r="K35" s="250"/>
      <c r="L35" s="214" t="s">
        <v>613</v>
      </c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 t="s">
        <v>599</v>
      </c>
      <c r="BJ35" s="194" t="s">
        <v>600</v>
      </c>
    </row>
    <row r="36" spans="1:62" s="75" customFormat="1" ht="14.1" customHeight="1">
      <c r="A36" s="157">
        <f>ROW()- 34</f>
        <v>2</v>
      </c>
      <c r="B36" s="214" t="s">
        <v>633</v>
      </c>
      <c r="C36" s="249"/>
      <c r="D36" s="249"/>
      <c r="E36" s="249"/>
      <c r="F36" s="249"/>
      <c r="G36" s="249"/>
      <c r="H36" s="249"/>
      <c r="I36" s="249"/>
      <c r="J36" s="249"/>
      <c r="K36" s="250"/>
      <c r="L36" s="214" t="s">
        <v>632</v>
      </c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 t="s">
        <v>602</v>
      </c>
      <c r="BJ36" s="194" t="s">
        <v>600</v>
      </c>
    </row>
    <row r="37" spans="1:62" s="75" customFormat="1" ht="14.1" customHeight="1">
      <c r="A37" s="157">
        <f t="shared" ref="A35:A39" si="2">IF(B37&lt;&gt;"",ROW()-34,"")</f>
        <v>3</v>
      </c>
      <c r="B37" s="214" t="s">
        <v>635</v>
      </c>
      <c r="C37" s="249"/>
      <c r="D37" s="249"/>
      <c r="E37" s="249"/>
      <c r="F37" s="249"/>
      <c r="G37" s="249"/>
      <c r="H37" s="249"/>
      <c r="I37" s="249"/>
      <c r="J37" s="249"/>
      <c r="K37" s="250"/>
      <c r="L37" s="214" t="s">
        <v>632</v>
      </c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/>
      <c r="BJ37" s="194" t="s">
        <v>625</v>
      </c>
    </row>
    <row r="38" spans="1:62" ht="14.1" customHeight="1">
      <c r="A38" s="157" t="str">
        <f t="shared" si="2"/>
        <v/>
      </c>
      <c r="B38" s="214"/>
      <c r="C38" s="249"/>
      <c r="D38" s="249"/>
      <c r="E38" s="249"/>
      <c r="F38" s="249"/>
      <c r="G38" s="249"/>
      <c r="H38" s="249"/>
      <c r="I38" s="249"/>
      <c r="J38" s="249"/>
      <c r="K38" s="250"/>
      <c r="L38" s="214"/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572</v>
      </c>
      <c r="BG38" s="197"/>
      <c r="BH38" s="197"/>
      <c r="BI38" s="194"/>
      <c r="BJ38" s="194"/>
    </row>
    <row r="39" spans="1:62" ht="14.1" customHeight="1" thickBot="1">
      <c r="A39" s="158" t="str">
        <f t="shared" si="2"/>
        <v/>
      </c>
      <c r="B39" s="217"/>
      <c r="C39" s="307"/>
      <c r="D39" s="307"/>
      <c r="E39" s="307"/>
      <c r="F39" s="307"/>
      <c r="G39" s="307"/>
      <c r="H39" s="307"/>
      <c r="I39" s="307"/>
      <c r="J39" s="307"/>
      <c r="K39" s="308"/>
      <c r="L39" s="217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9"/>
      <c r="BF39" s="199" t="s">
        <v>577</v>
      </c>
      <c r="BG39" s="197"/>
      <c r="BH39" s="197"/>
      <c r="BI39" s="194"/>
      <c r="BJ39" s="194"/>
    </row>
    <row r="40" spans="1:62" ht="13.5" customHeight="1">
      <c r="BF40" s="3"/>
      <c r="BG40" s="3"/>
      <c r="BH40" s="3"/>
      <c r="BI40" s="3"/>
    </row>
    <row r="41" spans="1:62" ht="13.5" customHeight="1">
      <c r="BF41" s="3"/>
      <c r="BG41" s="3"/>
      <c r="BH41" s="3"/>
      <c r="BI41" s="3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58:61" ht="13.5" customHeight="1">
      <c r="BF49" s="3"/>
      <c r="BG49" s="3"/>
      <c r="BH49" s="3"/>
      <c r="BI49" s="3"/>
    </row>
  </sheetData>
  <mergeCells count="213">
    <mergeCell ref="AP30:BB30"/>
    <mergeCell ref="AP31:BB31"/>
    <mergeCell ref="AP24:BB24"/>
    <mergeCell ref="AP25:BB25"/>
    <mergeCell ref="AP26:BB26"/>
    <mergeCell ref="AP27:BB27"/>
    <mergeCell ref="AP28:BB28"/>
    <mergeCell ref="AP29:BB29"/>
    <mergeCell ref="B39:K39"/>
    <mergeCell ref="L39:BB39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38:K38"/>
    <mergeCell ref="L38:BB38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39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16 AB17:AE17 AB18:AE18 AB20:AE31 AB19:AE19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48" max="16383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06"/>
  <dimension ref="A1:BJ49"/>
  <sheetViews>
    <sheetView showGridLines="0" zoomScaleNormal="100" workbookViewId="0">
      <selection sqref="A1:G1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582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583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632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591</v>
      </c>
      <c r="W16" s="249"/>
      <c r="X16" s="249"/>
      <c r="Y16" s="249"/>
      <c r="Z16" s="249"/>
      <c r="AA16" s="250"/>
      <c r="AB16" s="251" t="s">
        <v>592</v>
      </c>
      <c r="AC16" s="252"/>
      <c r="AD16" s="252"/>
      <c r="AE16" s="253"/>
      <c r="AF16" s="462">
        <v>1</v>
      </c>
      <c r="AG16" s="463"/>
      <c r="AH16" s="462"/>
      <c r="AI16" s="463"/>
      <c r="AJ16" s="462"/>
      <c r="AK16" s="463"/>
      <c r="AL16" s="462">
        <v>1</v>
      </c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10</v>
      </c>
      <c r="BI16" s="197">
        <v>1</v>
      </c>
      <c r="BJ16" s="198"/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583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567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/>
      <c r="AG17" s="463"/>
      <c r="AH17" s="462"/>
      <c r="AI17" s="463"/>
      <c r="AJ17" s="462"/>
      <c r="AK17" s="463"/>
      <c r="AL17" s="462">
        <v>1</v>
      </c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7</v>
      </c>
      <c r="BI17" s="197"/>
      <c r="BJ17" s="198"/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596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61</v>
      </c>
      <c r="W18" s="249"/>
      <c r="X18" s="249"/>
      <c r="Y18" s="249"/>
      <c r="Z18" s="249"/>
      <c r="AA18" s="250"/>
      <c r="AB18" s="251" t="s">
        <v>597</v>
      </c>
      <c r="AC18" s="252"/>
      <c r="AD18" s="252"/>
      <c r="AE18" s="253"/>
      <c r="AF18" s="462"/>
      <c r="AG18" s="463"/>
      <c r="AH18" s="462"/>
      <c r="AI18" s="463"/>
      <c r="AJ18" s="462"/>
      <c r="AK18" s="463"/>
      <c r="AL18" s="462">
        <v>1</v>
      </c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11</v>
      </c>
      <c r="BI18" s="197"/>
      <c r="BJ18" s="198"/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/>
      <c r="M19" s="249"/>
      <c r="N19" s="249"/>
      <c r="O19" s="249"/>
      <c r="P19" s="249"/>
      <c r="Q19" s="249"/>
      <c r="R19" s="249"/>
      <c r="S19" s="249"/>
      <c r="T19" s="249"/>
      <c r="U19" s="250"/>
      <c r="V19" s="214"/>
      <c r="W19" s="249"/>
      <c r="X19" s="249"/>
      <c r="Y19" s="249"/>
      <c r="Z19" s="249"/>
      <c r="AA19" s="250"/>
      <c r="AB19" s="251"/>
      <c r="AC19" s="252"/>
      <c r="AD19" s="252"/>
      <c r="AE19" s="253"/>
      <c r="AF19" s="462"/>
      <c r="AG19" s="463"/>
      <c r="AH19" s="462"/>
      <c r="AI19" s="463"/>
      <c r="AJ19" s="462"/>
      <c r="AK19" s="463"/>
      <c r="AL19" s="462"/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0</v>
      </c>
      <c r="BI19" s="197"/>
      <c r="BJ19" s="198"/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/>
      <c r="M20" s="249"/>
      <c r="N20" s="249"/>
      <c r="O20" s="249"/>
      <c r="P20" s="249"/>
      <c r="Q20" s="249"/>
      <c r="R20" s="249"/>
      <c r="S20" s="249"/>
      <c r="T20" s="249"/>
      <c r="U20" s="250"/>
      <c r="V20" s="214"/>
      <c r="W20" s="249"/>
      <c r="X20" s="249"/>
      <c r="Y20" s="249"/>
      <c r="Z20" s="249"/>
      <c r="AA20" s="250"/>
      <c r="AB20" s="251"/>
      <c r="AC20" s="252"/>
      <c r="AD20" s="252"/>
      <c r="AE20" s="253"/>
      <c r="AF20" s="462"/>
      <c r="AG20" s="463"/>
      <c r="AH20" s="462"/>
      <c r="AI20" s="463"/>
      <c r="AJ20" s="462"/>
      <c r="AK20" s="463"/>
      <c r="AL20" s="462"/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0</v>
      </c>
      <c r="BI20" s="197"/>
      <c r="BJ20" s="198"/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/>
      <c r="M21" s="249"/>
      <c r="N21" s="249"/>
      <c r="O21" s="249"/>
      <c r="P21" s="249"/>
      <c r="Q21" s="249"/>
      <c r="R21" s="249"/>
      <c r="S21" s="249"/>
      <c r="T21" s="249"/>
      <c r="U21" s="250"/>
      <c r="V21" s="214"/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/>
      <c r="AK21" s="463"/>
      <c r="AL21" s="462"/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0</v>
      </c>
      <c r="BI21" s="197"/>
      <c r="BJ21" s="198"/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/>
      <c r="M22" s="249"/>
      <c r="N22" s="249"/>
      <c r="O22" s="249"/>
      <c r="P22" s="249"/>
      <c r="Q22" s="249"/>
      <c r="R22" s="249"/>
      <c r="S22" s="249"/>
      <c r="T22" s="249"/>
      <c r="U22" s="250"/>
      <c r="V22" s="214"/>
      <c r="W22" s="249"/>
      <c r="X22" s="249"/>
      <c r="Y22" s="249"/>
      <c r="Z22" s="249"/>
      <c r="AA22" s="250"/>
      <c r="AB22" s="251"/>
      <c r="AC22" s="252"/>
      <c r="AD22" s="252"/>
      <c r="AE22" s="253"/>
      <c r="AF22" s="462"/>
      <c r="AG22" s="463"/>
      <c r="AH22" s="462"/>
      <c r="AI22" s="463"/>
      <c r="AJ22" s="462"/>
      <c r="AK22" s="463"/>
      <c r="AL22" s="462"/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0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/>
      <c r="M23" s="249"/>
      <c r="N23" s="249"/>
      <c r="O23" s="249"/>
      <c r="P23" s="249"/>
      <c r="Q23" s="249"/>
      <c r="R23" s="249"/>
      <c r="S23" s="249"/>
      <c r="T23" s="249"/>
      <c r="U23" s="250"/>
      <c r="V23" s="214"/>
      <c r="W23" s="249"/>
      <c r="X23" s="249"/>
      <c r="Y23" s="249"/>
      <c r="Z23" s="249"/>
      <c r="AA23" s="250"/>
      <c r="AB23" s="251"/>
      <c r="AC23" s="252"/>
      <c r="AD23" s="252"/>
      <c r="AE23" s="253"/>
      <c r="AF23" s="462"/>
      <c r="AG23" s="463"/>
      <c r="AH23" s="462"/>
      <c r="AI23" s="463"/>
      <c r="AJ23" s="462"/>
      <c r="AK23" s="463"/>
      <c r="AL23" s="462"/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0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/>
      <c r="M24" s="249"/>
      <c r="N24" s="249"/>
      <c r="O24" s="249"/>
      <c r="P24" s="249"/>
      <c r="Q24" s="249"/>
      <c r="R24" s="249"/>
      <c r="S24" s="249"/>
      <c r="T24" s="249"/>
      <c r="U24" s="250"/>
      <c r="V24" s="214"/>
      <c r="W24" s="249"/>
      <c r="X24" s="249"/>
      <c r="Y24" s="249"/>
      <c r="Z24" s="249"/>
      <c r="AA24" s="250"/>
      <c r="AB24" s="251"/>
      <c r="AC24" s="252"/>
      <c r="AD24" s="252"/>
      <c r="AE24" s="253"/>
      <c r="AF24" s="462"/>
      <c r="AG24" s="463"/>
      <c r="AH24" s="462"/>
      <c r="AI24" s="463"/>
      <c r="AJ24" s="462"/>
      <c r="AK24" s="463"/>
      <c r="AL24" s="462"/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0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>
        <f>ROW()- 34</f>
        <v>1</v>
      </c>
      <c r="B35" s="214" t="s">
        <v>598</v>
      </c>
      <c r="C35" s="249"/>
      <c r="D35" s="249"/>
      <c r="E35" s="249"/>
      <c r="F35" s="249"/>
      <c r="G35" s="249"/>
      <c r="H35" s="249"/>
      <c r="I35" s="249"/>
      <c r="J35" s="249"/>
      <c r="K35" s="250"/>
      <c r="L35" s="214" t="s">
        <v>632</v>
      </c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 t="s">
        <v>599</v>
      </c>
      <c r="BJ35" s="194" t="s">
        <v>600</v>
      </c>
    </row>
    <row r="36" spans="1:62" s="75" customFormat="1" ht="14.1" customHeight="1">
      <c r="A36" s="157" t="str">
        <f t="shared" ref="A35:A39" si="2">IF(B36&lt;&gt;"",ROW()-34,"")</f>
        <v/>
      </c>
      <c r="B36" s="214"/>
      <c r="C36" s="249"/>
      <c r="D36" s="249"/>
      <c r="E36" s="249"/>
      <c r="F36" s="249"/>
      <c r="G36" s="249"/>
      <c r="H36" s="249"/>
      <c r="I36" s="249"/>
      <c r="J36" s="249"/>
      <c r="K36" s="250"/>
      <c r="L36" s="214"/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/>
      <c r="BJ36" s="194"/>
    </row>
    <row r="37" spans="1:62" s="75" customFormat="1" ht="14.1" customHeight="1">
      <c r="A37" s="157" t="str">
        <f t="shared" si="2"/>
        <v/>
      </c>
      <c r="B37" s="214"/>
      <c r="C37" s="249"/>
      <c r="D37" s="249"/>
      <c r="E37" s="249"/>
      <c r="F37" s="249"/>
      <c r="G37" s="249"/>
      <c r="H37" s="249"/>
      <c r="I37" s="249"/>
      <c r="J37" s="249"/>
      <c r="K37" s="250"/>
      <c r="L37" s="214"/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/>
      <c r="BJ37" s="194"/>
    </row>
    <row r="38" spans="1:62" ht="14.1" customHeight="1">
      <c r="A38" s="157" t="str">
        <f t="shared" si="2"/>
        <v/>
      </c>
      <c r="B38" s="214"/>
      <c r="C38" s="249"/>
      <c r="D38" s="249"/>
      <c r="E38" s="249"/>
      <c r="F38" s="249"/>
      <c r="G38" s="249"/>
      <c r="H38" s="249"/>
      <c r="I38" s="249"/>
      <c r="J38" s="249"/>
      <c r="K38" s="250"/>
      <c r="L38" s="214"/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572</v>
      </c>
      <c r="BG38" s="197"/>
      <c r="BH38" s="197"/>
      <c r="BI38" s="194"/>
      <c r="BJ38" s="194"/>
    </row>
    <row r="39" spans="1:62" ht="14.1" customHeight="1" thickBot="1">
      <c r="A39" s="158" t="str">
        <f t="shared" si="2"/>
        <v/>
      </c>
      <c r="B39" s="217"/>
      <c r="C39" s="307"/>
      <c r="D39" s="307"/>
      <c r="E39" s="307"/>
      <c r="F39" s="307"/>
      <c r="G39" s="307"/>
      <c r="H39" s="307"/>
      <c r="I39" s="307"/>
      <c r="J39" s="307"/>
      <c r="K39" s="308"/>
      <c r="L39" s="217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9"/>
      <c r="BF39" s="199" t="s">
        <v>577</v>
      </c>
      <c r="BG39" s="197"/>
      <c r="BH39" s="197"/>
      <c r="BI39" s="194"/>
      <c r="BJ39" s="194"/>
    </row>
    <row r="40" spans="1:62" ht="13.5" customHeight="1">
      <c r="BF40" s="3"/>
      <c r="BG40" s="3"/>
      <c r="BH40" s="3"/>
      <c r="BI40" s="3"/>
    </row>
    <row r="41" spans="1:62" ht="13.5" customHeight="1">
      <c r="BF41" s="3"/>
      <c r="BG41" s="3"/>
      <c r="BH41" s="3"/>
      <c r="BI41" s="3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58:61" ht="13.5" customHeight="1">
      <c r="BF49" s="3"/>
      <c r="BG49" s="3"/>
      <c r="BH49" s="3"/>
      <c r="BI49" s="3"/>
    </row>
  </sheetData>
  <mergeCells count="213">
    <mergeCell ref="AP30:BB30"/>
    <mergeCell ref="AP31:BB31"/>
    <mergeCell ref="AP24:BB24"/>
    <mergeCell ref="AP25:BB25"/>
    <mergeCell ref="AP26:BB26"/>
    <mergeCell ref="AP27:BB27"/>
    <mergeCell ref="AP28:BB28"/>
    <mergeCell ref="AP29:BB29"/>
    <mergeCell ref="B39:K39"/>
    <mergeCell ref="L39:BB39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38:K38"/>
    <mergeCell ref="L38:BB38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39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16 AB17:AE17 AB19:AE31 AB18:AE18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48" max="16383" man="1"/>
  </row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07"/>
  <dimension ref="A1:BJ51"/>
  <sheetViews>
    <sheetView showGridLines="0" zoomScaleNormal="100" workbookViewId="0">
      <selection sqref="A1:G1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636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637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638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591</v>
      </c>
      <c r="W16" s="249"/>
      <c r="X16" s="249"/>
      <c r="Y16" s="249"/>
      <c r="Z16" s="249"/>
      <c r="AA16" s="250"/>
      <c r="AB16" s="251" t="s">
        <v>592</v>
      </c>
      <c r="AC16" s="252"/>
      <c r="AD16" s="252"/>
      <c r="AE16" s="253"/>
      <c r="AF16" s="462">
        <v>1</v>
      </c>
      <c r="AG16" s="463"/>
      <c r="AH16" s="462"/>
      <c r="AI16" s="463"/>
      <c r="AJ16" s="462"/>
      <c r="AK16" s="463"/>
      <c r="AL16" s="462">
        <v>1</v>
      </c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11</v>
      </c>
      <c r="BI16" s="197">
        <v>1</v>
      </c>
      <c r="BJ16" s="198"/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639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629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/>
      <c r="AG17" s="463"/>
      <c r="AH17" s="462"/>
      <c r="AI17" s="463"/>
      <c r="AJ17" s="462">
        <v>1</v>
      </c>
      <c r="AK17" s="463"/>
      <c r="AL17" s="462">
        <v>1</v>
      </c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8</v>
      </c>
      <c r="BI17" s="197">
        <v>1</v>
      </c>
      <c r="BJ17" s="198" t="s">
        <v>650</v>
      </c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593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594</v>
      </c>
      <c r="W18" s="249"/>
      <c r="X18" s="249"/>
      <c r="Y18" s="249"/>
      <c r="Z18" s="249"/>
      <c r="AA18" s="250"/>
      <c r="AB18" s="251"/>
      <c r="AC18" s="252"/>
      <c r="AD18" s="252"/>
      <c r="AE18" s="253"/>
      <c r="AF18" s="462"/>
      <c r="AG18" s="463"/>
      <c r="AH18" s="462"/>
      <c r="AI18" s="463"/>
      <c r="AJ18" s="462"/>
      <c r="AK18" s="463"/>
      <c r="AL18" s="462">
        <v>1</v>
      </c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10</v>
      </c>
      <c r="BI18" s="197"/>
      <c r="BJ18" s="198"/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 t="s">
        <v>595</v>
      </c>
      <c r="M19" s="249"/>
      <c r="N19" s="249"/>
      <c r="O19" s="249"/>
      <c r="P19" s="249"/>
      <c r="Q19" s="249"/>
      <c r="R19" s="249"/>
      <c r="S19" s="249"/>
      <c r="T19" s="249"/>
      <c r="U19" s="250"/>
      <c r="V19" s="214" t="s">
        <v>594</v>
      </c>
      <c r="W19" s="249"/>
      <c r="X19" s="249"/>
      <c r="Y19" s="249"/>
      <c r="Z19" s="249"/>
      <c r="AA19" s="250"/>
      <c r="AB19" s="251"/>
      <c r="AC19" s="252"/>
      <c r="AD19" s="252"/>
      <c r="AE19" s="253"/>
      <c r="AF19" s="462"/>
      <c r="AG19" s="463"/>
      <c r="AH19" s="462"/>
      <c r="AI19" s="463"/>
      <c r="AJ19" s="462"/>
      <c r="AK19" s="463"/>
      <c r="AL19" s="462">
        <v>1</v>
      </c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9</v>
      </c>
      <c r="BI19" s="197">
        <v>1</v>
      </c>
      <c r="BJ19" s="198"/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 t="s">
        <v>640</v>
      </c>
      <c r="M20" s="249"/>
      <c r="N20" s="249"/>
      <c r="O20" s="249"/>
      <c r="P20" s="249"/>
      <c r="Q20" s="249"/>
      <c r="R20" s="249"/>
      <c r="S20" s="249"/>
      <c r="T20" s="249"/>
      <c r="U20" s="250"/>
      <c r="V20" s="214" t="s">
        <v>567</v>
      </c>
      <c r="W20" s="249"/>
      <c r="X20" s="249"/>
      <c r="Y20" s="249"/>
      <c r="Z20" s="249"/>
      <c r="AA20" s="250"/>
      <c r="AB20" s="251"/>
      <c r="AC20" s="252"/>
      <c r="AD20" s="252"/>
      <c r="AE20" s="253"/>
      <c r="AF20" s="462"/>
      <c r="AG20" s="463"/>
      <c r="AH20" s="462"/>
      <c r="AI20" s="463"/>
      <c r="AJ20" s="462"/>
      <c r="AK20" s="463"/>
      <c r="AL20" s="462"/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5</v>
      </c>
      <c r="BI20" s="197"/>
      <c r="BJ20" s="198"/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 t="s">
        <v>610</v>
      </c>
      <c r="M21" s="249"/>
      <c r="N21" s="249"/>
      <c r="O21" s="249"/>
      <c r="P21" s="249"/>
      <c r="Q21" s="249"/>
      <c r="R21" s="249"/>
      <c r="S21" s="249"/>
      <c r="T21" s="249"/>
      <c r="U21" s="250"/>
      <c r="V21" s="214" t="s">
        <v>591</v>
      </c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>
        <v>1</v>
      </c>
      <c r="AK21" s="463"/>
      <c r="AL21" s="462">
        <v>1</v>
      </c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10</v>
      </c>
      <c r="BI21" s="197">
        <v>1</v>
      </c>
      <c r="BJ21" s="198" t="s">
        <v>648</v>
      </c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 t="s">
        <v>641</v>
      </c>
      <c r="M22" s="249"/>
      <c r="N22" s="249"/>
      <c r="O22" s="249"/>
      <c r="P22" s="249"/>
      <c r="Q22" s="249"/>
      <c r="R22" s="249"/>
      <c r="S22" s="249"/>
      <c r="T22" s="249"/>
      <c r="U22" s="250"/>
      <c r="V22" s="214" t="s">
        <v>642</v>
      </c>
      <c r="W22" s="249"/>
      <c r="X22" s="249"/>
      <c r="Y22" s="249"/>
      <c r="Z22" s="249"/>
      <c r="AA22" s="250"/>
      <c r="AB22" s="251" t="s">
        <v>643</v>
      </c>
      <c r="AC22" s="252"/>
      <c r="AD22" s="252"/>
      <c r="AE22" s="253"/>
      <c r="AF22" s="462"/>
      <c r="AG22" s="463"/>
      <c r="AH22" s="462"/>
      <c r="AI22" s="463"/>
      <c r="AJ22" s="462"/>
      <c r="AK22" s="463"/>
      <c r="AL22" s="462">
        <v>1</v>
      </c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6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 t="s">
        <v>644</v>
      </c>
      <c r="M23" s="249"/>
      <c r="N23" s="249"/>
      <c r="O23" s="249"/>
      <c r="P23" s="249"/>
      <c r="Q23" s="249"/>
      <c r="R23" s="249"/>
      <c r="S23" s="249"/>
      <c r="T23" s="249"/>
      <c r="U23" s="250"/>
      <c r="V23" s="214" t="s">
        <v>126</v>
      </c>
      <c r="W23" s="249"/>
      <c r="X23" s="249"/>
      <c r="Y23" s="249"/>
      <c r="Z23" s="249"/>
      <c r="AA23" s="250"/>
      <c r="AB23" s="251"/>
      <c r="AC23" s="252"/>
      <c r="AD23" s="252"/>
      <c r="AE23" s="253"/>
      <c r="AF23" s="462"/>
      <c r="AG23" s="463"/>
      <c r="AH23" s="462"/>
      <c r="AI23" s="463"/>
      <c r="AJ23" s="462"/>
      <c r="AK23" s="463"/>
      <c r="AL23" s="462">
        <v>1</v>
      </c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11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 t="s">
        <v>596</v>
      </c>
      <c r="M24" s="249"/>
      <c r="N24" s="249"/>
      <c r="O24" s="249"/>
      <c r="P24" s="249"/>
      <c r="Q24" s="249"/>
      <c r="R24" s="249"/>
      <c r="S24" s="249"/>
      <c r="T24" s="249"/>
      <c r="U24" s="250"/>
      <c r="V24" s="214" t="s">
        <v>61</v>
      </c>
      <c r="W24" s="249"/>
      <c r="X24" s="249"/>
      <c r="Y24" s="249"/>
      <c r="Z24" s="249"/>
      <c r="AA24" s="250"/>
      <c r="AB24" s="251" t="s">
        <v>597</v>
      </c>
      <c r="AC24" s="252"/>
      <c r="AD24" s="252"/>
      <c r="AE24" s="253"/>
      <c r="AF24" s="462"/>
      <c r="AG24" s="463"/>
      <c r="AH24" s="462"/>
      <c r="AI24" s="463"/>
      <c r="AJ24" s="462"/>
      <c r="AK24" s="463"/>
      <c r="AL24" s="462"/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11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>
        <f>ROW()- 34</f>
        <v>1</v>
      </c>
      <c r="B35" s="214" t="s">
        <v>598</v>
      </c>
      <c r="C35" s="249"/>
      <c r="D35" s="249"/>
      <c r="E35" s="249"/>
      <c r="F35" s="249"/>
      <c r="G35" s="249"/>
      <c r="H35" s="249"/>
      <c r="I35" s="249"/>
      <c r="J35" s="249"/>
      <c r="K35" s="250"/>
      <c r="L35" s="214" t="s">
        <v>638</v>
      </c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 t="s">
        <v>599</v>
      </c>
      <c r="BJ35" s="194" t="s">
        <v>600</v>
      </c>
    </row>
    <row r="36" spans="1:62" s="75" customFormat="1" ht="14.1" customHeight="1">
      <c r="A36" s="157">
        <f>ROW()- 34</f>
        <v>2</v>
      </c>
      <c r="B36" s="214" t="s">
        <v>645</v>
      </c>
      <c r="C36" s="249"/>
      <c r="D36" s="249"/>
      <c r="E36" s="249"/>
      <c r="F36" s="249"/>
      <c r="G36" s="249"/>
      <c r="H36" s="249"/>
      <c r="I36" s="249"/>
      <c r="J36" s="249"/>
      <c r="K36" s="250"/>
      <c r="L36" s="214" t="s">
        <v>639</v>
      </c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 t="s">
        <v>602</v>
      </c>
      <c r="BJ36" s="194" t="s">
        <v>600</v>
      </c>
    </row>
    <row r="37" spans="1:62" s="75" customFormat="1" ht="14.1" customHeight="1">
      <c r="A37" s="157">
        <f>ROW()- 34</f>
        <v>3</v>
      </c>
      <c r="B37" s="214" t="s">
        <v>646</v>
      </c>
      <c r="C37" s="249"/>
      <c r="D37" s="249"/>
      <c r="E37" s="249"/>
      <c r="F37" s="249"/>
      <c r="G37" s="249"/>
      <c r="H37" s="249"/>
      <c r="I37" s="249"/>
      <c r="J37" s="249"/>
      <c r="K37" s="250"/>
      <c r="L37" s="214" t="s">
        <v>610</v>
      </c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 t="s">
        <v>602</v>
      </c>
      <c r="BJ37" s="194" t="s">
        <v>600</v>
      </c>
    </row>
    <row r="38" spans="1:62" ht="14.1" customHeight="1">
      <c r="A38" s="157">
        <f>ROW()- 34</f>
        <v>4</v>
      </c>
      <c r="B38" s="214" t="s">
        <v>647</v>
      </c>
      <c r="C38" s="249"/>
      <c r="D38" s="249"/>
      <c r="E38" s="249"/>
      <c r="F38" s="249"/>
      <c r="G38" s="249"/>
      <c r="H38" s="249"/>
      <c r="I38" s="249"/>
      <c r="J38" s="249"/>
      <c r="K38" s="250"/>
      <c r="L38" s="214" t="s">
        <v>595</v>
      </c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622</v>
      </c>
      <c r="BG38" s="197"/>
      <c r="BH38" s="197"/>
      <c r="BI38" s="194" t="s">
        <v>602</v>
      </c>
      <c r="BJ38" s="194" t="s">
        <v>600</v>
      </c>
    </row>
    <row r="39" spans="1:62" ht="14.1" customHeight="1">
      <c r="A39" s="157">
        <f t="shared" ref="A39" si="2">IF(B39&lt;&gt;"",ROW()-34,"")</f>
        <v>5</v>
      </c>
      <c r="B39" s="214" t="s">
        <v>649</v>
      </c>
      <c r="C39" s="249"/>
      <c r="D39" s="249"/>
      <c r="E39" s="249"/>
      <c r="F39" s="249"/>
      <c r="G39" s="249"/>
      <c r="H39" s="249"/>
      <c r="I39" s="249"/>
      <c r="J39" s="249"/>
      <c r="K39" s="250"/>
      <c r="L39" s="214" t="s">
        <v>610</v>
      </c>
      <c r="M39" s="215"/>
      <c r="N39" s="215"/>
      <c r="O39" s="215"/>
      <c r="P39" s="215"/>
      <c r="Q39" s="215"/>
      <c r="R39" s="215"/>
      <c r="S39" s="215"/>
      <c r="T39" s="215"/>
      <c r="U39" s="215"/>
      <c r="V39" s="215"/>
      <c r="W39" s="215"/>
      <c r="X39" s="215"/>
      <c r="Y39" s="215"/>
      <c r="Z39" s="215"/>
      <c r="AA39" s="215"/>
      <c r="AB39" s="215"/>
      <c r="AC39" s="215"/>
      <c r="AD39" s="215"/>
      <c r="AE39" s="215"/>
      <c r="AF39" s="215"/>
      <c r="AG39" s="215"/>
      <c r="AH39" s="215"/>
      <c r="AI39" s="215"/>
      <c r="AJ39" s="215"/>
      <c r="AK39" s="215"/>
      <c r="AL39" s="215"/>
      <c r="AM39" s="215"/>
      <c r="AN39" s="215"/>
      <c r="AO39" s="215"/>
      <c r="AP39" s="215"/>
      <c r="AQ39" s="215"/>
      <c r="AR39" s="215"/>
      <c r="AS39" s="215"/>
      <c r="AT39" s="215"/>
      <c r="AU39" s="215"/>
      <c r="AV39" s="215"/>
      <c r="AW39" s="215"/>
      <c r="AX39" s="215"/>
      <c r="AY39" s="215"/>
      <c r="AZ39" s="215"/>
      <c r="BA39" s="215"/>
      <c r="BB39" s="216"/>
      <c r="BF39" s="199" t="s">
        <v>622</v>
      </c>
      <c r="BG39" s="197"/>
      <c r="BH39" s="197"/>
      <c r="BI39" s="194"/>
      <c r="BJ39" s="194" t="s">
        <v>625</v>
      </c>
    </row>
    <row r="40" spans="1:62" ht="14.1" customHeight="1">
      <c r="A40" s="157">
        <f t="shared" ref="A35:A41" si="3">IF(B40&lt;&gt;"",ROW()-34,"")</f>
        <v>6</v>
      </c>
      <c r="B40" s="214" t="s">
        <v>651</v>
      </c>
      <c r="C40" s="249"/>
      <c r="D40" s="249"/>
      <c r="E40" s="249"/>
      <c r="F40" s="249"/>
      <c r="G40" s="249"/>
      <c r="H40" s="249"/>
      <c r="I40" s="249"/>
      <c r="J40" s="249"/>
      <c r="K40" s="250"/>
      <c r="L40" s="214" t="s">
        <v>639</v>
      </c>
      <c r="M40" s="215"/>
      <c r="N40" s="215"/>
      <c r="O40" s="215"/>
      <c r="P40" s="215"/>
      <c r="Q40" s="215"/>
      <c r="R40" s="215"/>
      <c r="S40" s="215"/>
      <c r="T40" s="215"/>
      <c r="U40" s="215"/>
      <c r="V40" s="215"/>
      <c r="W40" s="215"/>
      <c r="X40" s="215"/>
      <c r="Y40" s="215"/>
      <c r="Z40" s="215"/>
      <c r="AA40" s="215"/>
      <c r="AB40" s="215"/>
      <c r="AC40" s="215"/>
      <c r="AD40" s="215"/>
      <c r="AE40" s="215"/>
      <c r="AF40" s="215"/>
      <c r="AG40" s="215"/>
      <c r="AH40" s="215"/>
      <c r="AI40" s="215"/>
      <c r="AJ40" s="215"/>
      <c r="AK40" s="215"/>
      <c r="AL40" s="215"/>
      <c r="AM40" s="215"/>
      <c r="AN40" s="215"/>
      <c r="AO40" s="215"/>
      <c r="AP40" s="215"/>
      <c r="AQ40" s="215"/>
      <c r="AR40" s="215"/>
      <c r="AS40" s="215"/>
      <c r="AT40" s="215"/>
      <c r="AU40" s="215"/>
      <c r="AV40" s="215"/>
      <c r="AW40" s="215"/>
      <c r="AX40" s="215"/>
      <c r="AY40" s="215"/>
      <c r="AZ40" s="215"/>
      <c r="BA40" s="215"/>
      <c r="BB40" s="216"/>
      <c r="BF40" s="199" t="s">
        <v>572</v>
      </c>
      <c r="BG40" s="197"/>
      <c r="BH40" s="197"/>
      <c r="BI40" s="194"/>
      <c r="BJ40" s="194" t="s">
        <v>625</v>
      </c>
    </row>
    <row r="41" spans="1:62" ht="14.1" customHeight="1" thickBot="1">
      <c r="A41" s="158" t="str">
        <f t="shared" si="3"/>
        <v/>
      </c>
      <c r="B41" s="217"/>
      <c r="C41" s="307"/>
      <c r="D41" s="307"/>
      <c r="E41" s="307"/>
      <c r="F41" s="307"/>
      <c r="G41" s="307"/>
      <c r="H41" s="307"/>
      <c r="I41" s="307"/>
      <c r="J41" s="307"/>
      <c r="K41" s="308"/>
      <c r="L41" s="217"/>
      <c r="M41" s="218"/>
      <c r="N41" s="218"/>
      <c r="O41" s="218"/>
      <c r="P41" s="218"/>
      <c r="Q41" s="218"/>
      <c r="R41" s="218"/>
      <c r="S41" s="218"/>
      <c r="T41" s="218"/>
      <c r="U41" s="218"/>
      <c r="V41" s="218"/>
      <c r="W41" s="218"/>
      <c r="X41" s="218"/>
      <c r="Y41" s="218"/>
      <c r="Z41" s="218"/>
      <c r="AA41" s="218"/>
      <c r="AB41" s="218"/>
      <c r="AC41" s="218"/>
      <c r="AD41" s="218"/>
      <c r="AE41" s="218"/>
      <c r="AF41" s="218"/>
      <c r="AG41" s="218"/>
      <c r="AH41" s="218"/>
      <c r="AI41" s="218"/>
      <c r="AJ41" s="218"/>
      <c r="AK41" s="218"/>
      <c r="AL41" s="218"/>
      <c r="AM41" s="218"/>
      <c r="AN41" s="218"/>
      <c r="AO41" s="218"/>
      <c r="AP41" s="218"/>
      <c r="AQ41" s="218"/>
      <c r="AR41" s="218"/>
      <c r="AS41" s="218"/>
      <c r="AT41" s="218"/>
      <c r="AU41" s="218"/>
      <c r="AV41" s="218"/>
      <c r="AW41" s="218"/>
      <c r="AX41" s="218"/>
      <c r="AY41" s="218"/>
      <c r="AZ41" s="218"/>
      <c r="BA41" s="218"/>
      <c r="BB41" s="219"/>
      <c r="BF41" s="199" t="s">
        <v>577</v>
      </c>
      <c r="BG41" s="197"/>
      <c r="BH41" s="197"/>
      <c r="BI41" s="194"/>
      <c r="BJ41" s="194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1:61" ht="13.5" customHeight="1">
      <c r="BF49" s="3"/>
      <c r="BG49" s="3"/>
      <c r="BH49" s="3"/>
      <c r="BI49" s="3"/>
    </row>
    <row r="50" spans="1:61" ht="13.5" customHeight="1">
      <c r="BF50" s="3"/>
      <c r="BG50" s="3"/>
      <c r="BH50" s="3"/>
      <c r="BI50" s="3"/>
    </row>
    <row r="51" spans="1:61" s="196" customFormat="1" ht="13.5" customHeight="1">
      <c r="A51" s="78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  <c r="AF51" s="78"/>
      <c r="AG51" s="78"/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  <c r="AW51" s="78"/>
      <c r="AX51" s="78"/>
      <c r="AY51" s="78"/>
      <c r="AZ51" s="78"/>
      <c r="BA51" s="78"/>
      <c r="BB51" s="78"/>
      <c r="BC51"/>
      <c r="BD51"/>
      <c r="BE51" s="78"/>
      <c r="BF51" s="3"/>
      <c r="BG51" s="3"/>
      <c r="BH51" s="3"/>
      <c r="BI51" s="3"/>
    </row>
  </sheetData>
  <mergeCells count="217">
    <mergeCell ref="AP30:BB30"/>
    <mergeCell ref="AP31:BB31"/>
    <mergeCell ref="B38:K38"/>
    <mergeCell ref="L38:BB38"/>
    <mergeCell ref="B39:K39"/>
    <mergeCell ref="L39:BB39"/>
    <mergeCell ref="AP24:BB24"/>
    <mergeCell ref="AP25:BB25"/>
    <mergeCell ref="AP26:BB26"/>
    <mergeCell ref="AP27:BB27"/>
    <mergeCell ref="AP28:BB28"/>
    <mergeCell ref="AP29:BB29"/>
    <mergeCell ref="B41:K41"/>
    <mergeCell ref="L41:BB41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40:K40"/>
    <mergeCell ref="L40:BB40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41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31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50" max="16383" man="1"/>
  </row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08"/>
  <dimension ref="A1:BJ49"/>
  <sheetViews>
    <sheetView showGridLines="0" zoomScaleNormal="100" workbookViewId="0">
      <selection sqref="A1:G1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652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653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 t="s">
        <v>605</v>
      </c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654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591</v>
      </c>
      <c r="W16" s="249"/>
      <c r="X16" s="249"/>
      <c r="Y16" s="249"/>
      <c r="Z16" s="249"/>
      <c r="AA16" s="250"/>
      <c r="AB16" s="251" t="s">
        <v>606</v>
      </c>
      <c r="AC16" s="252"/>
      <c r="AD16" s="252"/>
      <c r="AE16" s="253"/>
      <c r="AF16" s="462"/>
      <c r="AG16" s="463"/>
      <c r="AH16" s="462"/>
      <c r="AI16" s="463"/>
      <c r="AJ16" s="462"/>
      <c r="AK16" s="463"/>
      <c r="AL16" s="462">
        <v>1</v>
      </c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2</v>
      </c>
      <c r="BI16" s="197"/>
      <c r="BJ16" s="198"/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630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655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/>
      <c r="AG17" s="463"/>
      <c r="AH17" s="462"/>
      <c r="AI17" s="463"/>
      <c r="AJ17" s="462"/>
      <c r="AK17" s="463"/>
      <c r="AL17" s="462"/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4</v>
      </c>
      <c r="BI17" s="197"/>
      <c r="BJ17" s="198"/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609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567</v>
      </c>
      <c r="W18" s="249"/>
      <c r="X18" s="249"/>
      <c r="Y18" s="249"/>
      <c r="Z18" s="249"/>
      <c r="AA18" s="250"/>
      <c r="AB18" s="251"/>
      <c r="AC18" s="252"/>
      <c r="AD18" s="252"/>
      <c r="AE18" s="253"/>
      <c r="AF18" s="462"/>
      <c r="AG18" s="463"/>
      <c r="AH18" s="462"/>
      <c r="AI18" s="463"/>
      <c r="AJ18" s="462"/>
      <c r="AK18" s="463"/>
      <c r="AL18" s="462">
        <v>1</v>
      </c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7</v>
      </c>
      <c r="BI18" s="197"/>
      <c r="BJ18" s="198"/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 t="s">
        <v>656</v>
      </c>
      <c r="M19" s="249"/>
      <c r="N19" s="249"/>
      <c r="O19" s="249"/>
      <c r="P19" s="249"/>
      <c r="Q19" s="249"/>
      <c r="R19" s="249"/>
      <c r="S19" s="249"/>
      <c r="T19" s="249"/>
      <c r="U19" s="250"/>
      <c r="V19" s="214" t="s">
        <v>615</v>
      </c>
      <c r="W19" s="249"/>
      <c r="X19" s="249"/>
      <c r="Y19" s="249"/>
      <c r="Z19" s="249"/>
      <c r="AA19" s="250"/>
      <c r="AB19" s="251"/>
      <c r="AC19" s="252"/>
      <c r="AD19" s="252"/>
      <c r="AE19" s="253"/>
      <c r="AF19" s="462"/>
      <c r="AG19" s="463"/>
      <c r="AH19" s="462"/>
      <c r="AI19" s="463"/>
      <c r="AJ19" s="462"/>
      <c r="AK19" s="463"/>
      <c r="AL19" s="462"/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8</v>
      </c>
      <c r="BI19" s="197"/>
      <c r="BJ19" s="198"/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 t="s">
        <v>616</v>
      </c>
      <c r="M20" s="249"/>
      <c r="N20" s="249"/>
      <c r="O20" s="249"/>
      <c r="P20" s="249"/>
      <c r="Q20" s="249"/>
      <c r="R20" s="249"/>
      <c r="S20" s="249"/>
      <c r="T20" s="249"/>
      <c r="U20" s="250"/>
      <c r="V20" s="214" t="s">
        <v>566</v>
      </c>
      <c r="W20" s="249"/>
      <c r="X20" s="249"/>
      <c r="Y20" s="249"/>
      <c r="Z20" s="249"/>
      <c r="AA20" s="250"/>
      <c r="AB20" s="251"/>
      <c r="AC20" s="252"/>
      <c r="AD20" s="252"/>
      <c r="AE20" s="253"/>
      <c r="AF20" s="462"/>
      <c r="AG20" s="463"/>
      <c r="AH20" s="462"/>
      <c r="AI20" s="463"/>
      <c r="AJ20" s="462"/>
      <c r="AK20" s="463"/>
      <c r="AL20" s="462">
        <v>1</v>
      </c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5</v>
      </c>
      <c r="BI20" s="197"/>
      <c r="BJ20" s="198"/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 t="s">
        <v>581</v>
      </c>
      <c r="M21" s="249"/>
      <c r="N21" s="249"/>
      <c r="O21" s="249"/>
      <c r="P21" s="249"/>
      <c r="Q21" s="249"/>
      <c r="R21" s="249"/>
      <c r="S21" s="249"/>
      <c r="T21" s="249"/>
      <c r="U21" s="250"/>
      <c r="V21" s="214" t="s">
        <v>567</v>
      </c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/>
      <c r="AK21" s="463"/>
      <c r="AL21" s="462">
        <v>1</v>
      </c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4</v>
      </c>
      <c r="BI21" s="197"/>
      <c r="BJ21" s="198"/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 t="s">
        <v>583</v>
      </c>
      <c r="M22" s="249"/>
      <c r="N22" s="249"/>
      <c r="O22" s="249"/>
      <c r="P22" s="249"/>
      <c r="Q22" s="249"/>
      <c r="R22" s="249"/>
      <c r="S22" s="249"/>
      <c r="T22" s="249"/>
      <c r="U22" s="250"/>
      <c r="V22" s="214" t="s">
        <v>567</v>
      </c>
      <c r="W22" s="249"/>
      <c r="X22" s="249"/>
      <c r="Y22" s="249"/>
      <c r="Z22" s="249"/>
      <c r="AA22" s="250"/>
      <c r="AB22" s="251"/>
      <c r="AC22" s="252"/>
      <c r="AD22" s="252"/>
      <c r="AE22" s="253"/>
      <c r="AF22" s="462"/>
      <c r="AG22" s="463"/>
      <c r="AH22" s="462"/>
      <c r="AI22" s="463"/>
      <c r="AJ22" s="462"/>
      <c r="AK22" s="463"/>
      <c r="AL22" s="462">
        <v>1</v>
      </c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7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 t="s">
        <v>657</v>
      </c>
      <c r="M23" s="249"/>
      <c r="N23" s="249"/>
      <c r="O23" s="249"/>
      <c r="P23" s="249"/>
      <c r="Q23" s="249"/>
      <c r="R23" s="249"/>
      <c r="S23" s="249"/>
      <c r="T23" s="249"/>
      <c r="U23" s="250"/>
      <c r="V23" s="214" t="s">
        <v>658</v>
      </c>
      <c r="W23" s="249"/>
      <c r="X23" s="249"/>
      <c r="Y23" s="249"/>
      <c r="Z23" s="249"/>
      <c r="AA23" s="250"/>
      <c r="AB23" s="251" t="s">
        <v>659</v>
      </c>
      <c r="AC23" s="252"/>
      <c r="AD23" s="252"/>
      <c r="AE23" s="253"/>
      <c r="AF23" s="462"/>
      <c r="AG23" s="463"/>
      <c r="AH23" s="462"/>
      <c r="AI23" s="463"/>
      <c r="AJ23" s="462"/>
      <c r="AK23" s="463"/>
      <c r="AL23" s="462">
        <v>1</v>
      </c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5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 t="s">
        <v>660</v>
      </c>
      <c r="M24" s="249"/>
      <c r="N24" s="249"/>
      <c r="O24" s="249"/>
      <c r="P24" s="249"/>
      <c r="Q24" s="249"/>
      <c r="R24" s="249"/>
      <c r="S24" s="249"/>
      <c r="T24" s="249"/>
      <c r="U24" s="250"/>
      <c r="V24" s="214" t="s">
        <v>629</v>
      </c>
      <c r="W24" s="249"/>
      <c r="X24" s="249"/>
      <c r="Y24" s="249"/>
      <c r="Z24" s="249"/>
      <c r="AA24" s="250"/>
      <c r="AB24" s="251"/>
      <c r="AC24" s="252"/>
      <c r="AD24" s="252"/>
      <c r="AE24" s="253"/>
      <c r="AF24" s="462"/>
      <c r="AG24" s="463"/>
      <c r="AH24" s="462"/>
      <c r="AI24" s="463"/>
      <c r="AJ24" s="462"/>
      <c r="AK24" s="463"/>
      <c r="AL24" s="462">
        <v>1</v>
      </c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3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 t="str">
        <f t="shared" ref="A35:A39" si="2">IF(B35&lt;&gt;"",ROW()-34,"")</f>
        <v/>
      </c>
      <c r="B35" s="214"/>
      <c r="C35" s="249"/>
      <c r="D35" s="249"/>
      <c r="E35" s="249"/>
      <c r="F35" s="249"/>
      <c r="G35" s="249"/>
      <c r="H35" s="249"/>
      <c r="I35" s="249"/>
      <c r="J35" s="249"/>
      <c r="K35" s="250"/>
      <c r="L35" s="214"/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/>
      <c r="BJ35" s="194"/>
    </row>
    <row r="36" spans="1:62" s="75" customFormat="1" ht="14.1" customHeight="1">
      <c r="A36" s="157" t="str">
        <f t="shared" si="2"/>
        <v/>
      </c>
      <c r="B36" s="214"/>
      <c r="C36" s="249"/>
      <c r="D36" s="249"/>
      <c r="E36" s="249"/>
      <c r="F36" s="249"/>
      <c r="G36" s="249"/>
      <c r="H36" s="249"/>
      <c r="I36" s="249"/>
      <c r="J36" s="249"/>
      <c r="K36" s="250"/>
      <c r="L36" s="214"/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/>
      <c r="BJ36" s="194"/>
    </row>
    <row r="37" spans="1:62" s="75" customFormat="1" ht="14.1" customHeight="1">
      <c r="A37" s="157" t="str">
        <f t="shared" si="2"/>
        <v/>
      </c>
      <c r="B37" s="214"/>
      <c r="C37" s="249"/>
      <c r="D37" s="249"/>
      <c r="E37" s="249"/>
      <c r="F37" s="249"/>
      <c r="G37" s="249"/>
      <c r="H37" s="249"/>
      <c r="I37" s="249"/>
      <c r="J37" s="249"/>
      <c r="K37" s="250"/>
      <c r="L37" s="214"/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/>
      <c r="BJ37" s="194"/>
    </row>
    <row r="38" spans="1:62" ht="14.1" customHeight="1">
      <c r="A38" s="157" t="str">
        <f t="shared" si="2"/>
        <v/>
      </c>
      <c r="B38" s="214"/>
      <c r="C38" s="249"/>
      <c r="D38" s="249"/>
      <c r="E38" s="249"/>
      <c r="F38" s="249"/>
      <c r="G38" s="249"/>
      <c r="H38" s="249"/>
      <c r="I38" s="249"/>
      <c r="J38" s="249"/>
      <c r="K38" s="250"/>
      <c r="L38" s="214"/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572</v>
      </c>
      <c r="BG38" s="197"/>
      <c r="BH38" s="197"/>
      <c r="BI38" s="194"/>
      <c r="BJ38" s="194"/>
    </row>
    <row r="39" spans="1:62" ht="14.1" customHeight="1" thickBot="1">
      <c r="A39" s="158" t="str">
        <f t="shared" si="2"/>
        <v/>
      </c>
      <c r="B39" s="217"/>
      <c r="C39" s="307"/>
      <c r="D39" s="307"/>
      <c r="E39" s="307"/>
      <c r="F39" s="307"/>
      <c r="G39" s="307"/>
      <c r="H39" s="307"/>
      <c r="I39" s="307"/>
      <c r="J39" s="307"/>
      <c r="K39" s="308"/>
      <c r="L39" s="217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9"/>
      <c r="BF39" s="199" t="s">
        <v>577</v>
      </c>
      <c r="BG39" s="197"/>
      <c r="BH39" s="197"/>
      <c r="BI39" s="194"/>
      <c r="BJ39" s="194"/>
    </row>
    <row r="40" spans="1:62" ht="13.5" customHeight="1">
      <c r="BF40" s="3"/>
      <c r="BG40" s="3"/>
      <c r="BH40" s="3"/>
      <c r="BI40" s="3"/>
    </row>
    <row r="41" spans="1:62" ht="13.5" customHeight="1">
      <c r="BF41" s="3"/>
      <c r="BG41" s="3"/>
      <c r="BH41" s="3"/>
      <c r="BI41" s="3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58:61" ht="13.5" customHeight="1">
      <c r="BF49" s="3"/>
      <c r="BG49" s="3"/>
      <c r="BH49" s="3"/>
      <c r="BI49" s="3"/>
    </row>
  </sheetData>
  <mergeCells count="213">
    <mergeCell ref="AP30:BB30"/>
    <mergeCell ref="AP31:BB31"/>
    <mergeCell ref="AP24:BB24"/>
    <mergeCell ref="AP25:BB25"/>
    <mergeCell ref="AP26:BB26"/>
    <mergeCell ref="AP27:BB27"/>
    <mergeCell ref="AP28:BB28"/>
    <mergeCell ref="AP29:BB29"/>
    <mergeCell ref="B39:K39"/>
    <mergeCell ref="L39:BB39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38:K38"/>
    <mergeCell ref="L38:BB38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39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16 AB17:AE17 AB18:AE18 AB19:AE19 AB20:AE20 AB21:AE21 AB22:AE22 AB23:AE23 AB25:AE31 AB24:AE24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48" max="16383" man="1"/>
  </row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09"/>
  <dimension ref="A1:BJ51"/>
  <sheetViews>
    <sheetView showGridLines="0" zoomScaleNormal="100" workbookViewId="0">
      <selection sqref="A1:G1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661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662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663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591</v>
      </c>
      <c r="W16" s="249"/>
      <c r="X16" s="249"/>
      <c r="Y16" s="249"/>
      <c r="Z16" s="249"/>
      <c r="AA16" s="250"/>
      <c r="AB16" s="251" t="s">
        <v>592</v>
      </c>
      <c r="AC16" s="252"/>
      <c r="AD16" s="252"/>
      <c r="AE16" s="253"/>
      <c r="AF16" s="462">
        <v>1</v>
      </c>
      <c r="AG16" s="463"/>
      <c r="AH16" s="462"/>
      <c r="AI16" s="463"/>
      <c r="AJ16" s="462"/>
      <c r="AK16" s="463"/>
      <c r="AL16" s="462">
        <v>1</v>
      </c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7</v>
      </c>
      <c r="BI16" s="197">
        <v>1</v>
      </c>
      <c r="BJ16" s="198"/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664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665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/>
      <c r="AG17" s="463"/>
      <c r="AH17" s="462"/>
      <c r="AI17" s="463"/>
      <c r="AJ17" s="462"/>
      <c r="AK17" s="463"/>
      <c r="AL17" s="462">
        <v>1</v>
      </c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5</v>
      </c>
      <c r="BI17" s="197">
        <v>1</v>
      </c>
      <c r="BJ17" s="198"/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666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57</v>
      </c>
      <c r="W18" s="249"/>
      <c r="X18" s="249"/>
      <c r="Y18" s="249"/>
      <c r="Z18" s="249"/>
      <c r="AA18" s="250"/>
      <c r="AB18" s="251"/>
      <c r="AC18" s="252"/>
      <c r="AD18" s="252"/>
      <c r="AE18" s="253"/>
      <c r="AF18" s="462"/>
      <c r="AG18" s="463"/>
      <c r="AH18" s="462"/>
      <c r="AI18" s="463"/>
      <c r="AJ18" s="462"/>
      <c r="AK18" s="463"/>
      <c r="AL18" s="462"/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11</v>
      </c>
      <c r="BI18" s="197"/>
      <c r="BJ18" s="198"/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 t="s">
        <v>667</v>
      </c>
      <c r="M19" s="249"/>
      <c r="N19" s="249"/>
      <c r="O19" s="249"/>
      <c r="P19" s="249"/>
      <c r="Q19" s="249"/>
      <c r="R19" s="249"/>
      <c r="S19" s="249"/>
      <c r="T19" s="249"/>
      <c r="U19" s="250"/>
      <c r="V19" s="214" t="s">
        <v>668</v>
      </c>
      <c r="W19" s="249"/>
      <c r="X19" s="249"/>
      <c r="Y19" s="249"/>
      <c r="Z19" s="249"/>
      <c r="AA19" s="250"/>
      <c r="AB19" s="251"/>
      <c r="AC19" s="252"/>
      <c r="AD19" s="252"/>
      <c r="AE19" s="253"/>
      <c r="AF19" s="462"/>
      <c r="AG19" s="463"/>
      <c r="AH19" s="462"/>
      <c r="AI19" s="463"/>
      <c r="AJ19" s="462"/>
      <c r="AK19" s="463"/>
      <c r="AL19" s="462"/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12</v>
      </c>
      <c r="BI19" s="197"/>
      <c r="BJ19" s="198"/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 t="s">
        <v>669</v>
      </c>
      <c r="M20" s="249"/>
      <c r="N20" s="249"/>
      <c r="O20" s="249"/>
      <c r="P20" s="249"/>
      <c r="Q20" s="249"/>
      <c r="R20" s="249"/>
      <c r="S20" s="249"/>
      <c r="T20" s="249"/>
      <c r="U20" s="250"/>
      <c r="V20" s="214" t="s">
        <v>629</v>
      </c>
      <c r="W20" s="249"/>
      <c r="X20" s="249"/>
      <c r="Y20" s="249"/>
      <c r="Z20" s="249"/>
      <c r="AA20" s="250"/>
      <c r="AB20" s="251"/>
      <c r="AC20" s="252"/>
      <c r="AD20" s="252"/>
      <c r="AE20" s="253"/>
      <c r="AF20" s="462"/>
      <c r="AG20" s="463"/>
      <c r="AH20" s="462"/>
      <c r="AI20" s="463"/>
      <c r="AJ20" s="462">
        <v>1</v>
      </c>
      <c r="AK20" s="463"/>
      <c r="AL20" s="462">
        <v>1</v>
      </c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11</v>
      </c>
      <c r="BI20" s="197">
        <v>1</v>
      </c>
      <c r="BJ20" s="198" t="s">
        <v>688</v>
      </c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 t="s">
        <v>670</v>
      </c>
      <c r="M21" s="249"/>
      <c r="N21" s="249"/>
      <c r="O21" s="249"/>
      <c r="P21" s="249"/>
      <c r="Q21" s="249"/>
      <c r="R21" s="249"/>
      <c r="S21" s="249"/>
      <c r="T21" s="249"/>
      <c r="U21" s="250"/>
      <c r="V21" s="214" t="s">
        <v>629</v>
      </c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>
        <v>1</v>
      </c>
      <c r="AK21" s="463"/>
      <c r="AL21" s="462"/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20</v>
      </c>
      <c r="BI21" s="197">
        <v>1</v>
      </c>
      <c r="BJ21" s="198" t="s">
        <v>688</v>
      </c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 t="s">
        <v>671</v>
      </c>
      <c r="M22" s="249"/>
      <c r="N22" s="249"/>
      <c r="O22" s="249"/>
      <c r="P22" s="249"/>
      <c r="Q22" s="249"/>
      <c r="R22" s="249"/>
      <c r="S22" s="249"/>
      <c r="T22" s="249"/>
      <c r="U22" s="250"/>
      <c r="V22" s="214" t="s">
        <v>629</v>
      </c>
      <c r="W22" s="249"/>
      <c r="X22" s="249"/>
      <c r="Y22" s="249"/>
      <c r="Z22" s="249"/>
      <c r="AA22" s="250"/>
      <c r="AB22" s="251" t="s">
        <v>672</v>
      </c>
      <c r="AC22" s="252"/>
      <c r="AD22" s="252"/>
      <c r="AE22" s="253"/>
      <c r="AF22" s="462"/>
      <c r="AG22" s="463"/>
      <c r="AH22" s="462"/>
      <c r="AI22" s="463"/>
      <c r="AJ22" s="462"/>
      <c r="AK22" s="463"/>
      <c r="AL22" s="462">
        <v>1</v>
      </c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15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 t="s">
        <v>673</v>
      </c>
      <c r="M23" s="249"/>
      <c r="N23" s="249"/>
      <c r="O23" s="249"/>
      <c r="P23" s="249"/>
      <c r="Q23" s="249"/>
      <c r="R23" s="249"/>
      <c r="S23" s="249"/>
      <c r="T23" s="249"/>
      <c r="U23" s="250"/>
      <c r="V23" s="214" t="s">
        <v>674</v>
      </c>
      <c r="W23" s="249"/>
      <c r="X23" s="249"/>
      <c r="Y23" s="249"/>
      <c r="Z23" s="249"/>
      <c r="AA23" s="250"/>
      <c r="AB23" s="251" t="s">
        <v>675</v>
      </c>
      <c r="AC23" s="252"/>
      <c r="AD23" s="252"/>
      <c r="AE23" s="253"/>
      <c r="AF23" s="462"/>
      <c r="AG23" s="463"/>
      <c r="AH23" s="462"/>
      <c r="AI23" s="463"/>
      <c r="AJ23" s="462"/>
      <c r="AK23" s="463"/>
      <c r="AL23" s="462">
        <v>1</v>
      </c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11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 t="s">
        <v>676</v>
      </c>
      <c r="M24" s="249"/>
      <c r="N24" s="249"/>
      <c r="O24" s="249"/>
      <c r="P24" s="249"/>
      <c r="Q24" s="249"/>
      <c r="R24" s="249"/>
      <c r="S24" s="249"/>
      <c r="T24" s="249"/>
      <c r="U24" s="250"/>
      <c r="V24" s="214" t="s">
        <v>591</v>
      </c>
      <c r="W24" s="249"/>
      <c r="X24" s="249"/>
      <c r="Y24" s="249"/>
      <c r="Z24" s="249"/>
      <c r="AA24" s="250"/>
      <c r="AB24" s="251"/>
      <c r="AC24" s="252"/>
      <c r="AD24" s="252"/>
      <c r="AE24" s="253"/>
      <c r="AF24" s="462"/>
      <c r="AG24" s="463"/>
      <c r="AH24" s="462"/>
      <c r="AI24" s="463"/>
      <c r="AJ24" s="462"/>
      <c r="AK24" s="463"/>
      <c r="AL24" s="462"/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6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 t="s">
        <v>677</v>
      </c>
      <c r="M25" s="249"/>
      <c r="N25" s="249"/>
      <c r="O25" s="249"/>
      <c r="P25" s="249"/>
      <c r="Q25" s="249"/>
      <c r="R25" s="249"/>
      <c r="S25" s="249"/>
      <c r="T25" s="249"/>
      <c r="U25" s="250"/>
      <c r="V25" s="214" t="s">
        <v>678</v>
      </c>
      <c r="W25" s="249"/>
      <c r="X25" s="249"/>
      <c r="Y25" s="249"/>
      <c r="Z25" s="249"/>
      <c r="AA25" s="250"/>
      <c r="AB25" s="251" t="s">
        <v>679</v>
      </c>
      <c r="AC25" s="252"/>
      <c r="AD25" s="252"/>
      <c r="AE25" s="253"/>
      <c r="AF25" s="462"/>
      <c r="AG25" s="463"/>
      <c r="AH25" s="462"/>
      <c r="AI25" s="463"/>
      <c r="AJ25" s="462"/>
      <c r="AK25" s="463"/>
      <c r="AL25" s="462">
        <v>1</v>
      </c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16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 t="s">
        <v>680</v>
      </c>
      <c r="M26" s="249"/>
      <c r="N26" s="249"/>
      <c r="O26" s="249"/>
      <c r="P26" s="249"/>
      <c r="Q26" s="249"/>
      <c r="R26" s="249"/>
      <c r="S26" s="249"/>
      <c r="T26" s="249"/>
      <c r="U26" s="250"/>
      <c r="V26" s="214" t="s">
        <v>681</v>
      </c>
      <c r="W26" s="249"/>
      <c r="X26" s="249"/>
      <c r="Y26" s="249"/>
      <c r="Z26" s="249"/>
      <c r="AA26" s="250"/>
      <c r="AB26" s="251" t="s">
        <v>682</v>
      </c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6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 t="s">
        <v>683</v>
      </c>
      <c r="M27" s="249"/>
      <c r="N27" s="249"/>
      <c r="O27" s="249"/>
      <c r="P27" s="249"/>
      <c r="Q27" s="249"/>
      <c r="R27" s="249"/>
      <c r="S27" s="249"/>
      <c r="T27" s="249"/>
      <c r="U27" s="250"/>
      <c r="V27" s="214" t="s">
        <v>684</v>
      </c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16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 t="s">
        <v>596</v>
      </c>
      <c r="M28" s="249"/>
      <c r="N28" s="249"/>
      <c r="O28" s="249"/>
      <c r="P28" s="249"/>
      <c r="Q28" s="249"/>
      <c r="R28" s="249"/>
      <c r="S28" s="249"/>
      <c r="T28" s="249"/>
      <c r="U28" s="250"/>
      <c r="V28" s="214" t="s">
        <v>61</v>
      </c>
      <c r="W28" s="249"/>
      <c r="X28" s="249"/>
      <c r="Y28" s="249"/>
      <c r="Z28" s="249"/>
      <c r="AA28" s="250"/>
      <c r="AB28" s="251" t="s">
        <v>597</v>
      </c>
      <c r="AC28" s="252"/>
      <c r="AD28" s="252"/>
      <c r="AE28" s="253"/>
      <c r="AF28" s="462"/>
      <c r="AG28" s="463"/>
      <c r="AH28" s="462"/>
      <c r="AI28" s="463"/>
      <c r="AJ28" s="462"/>
      <c r="AK28" s="463"/>
      <c r="AL28" s="462">
        <v>1</v>
      </c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11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>
        <f>ROW()- 34</f>
        <v>1</v>
      </c>
      <c r="B35" s="214" t="s">
        <v>598</v>
      </c>
      <c r="C35" s="249"/>
      <c r="D35" s="249"/>
      <c r="E35" s="249"/>
      <c r="F35" s="249"/>
      <c r="G35" s="249"/>
      <c r="H35" s="249"/>
      <c r="I35" s="249"/>
      <c r="J35" s="249"/>
      <c r="K35" s="250"/>
      <c r="L35" s="214" t="s">
        <v>663</v>
      </c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 t="s">
        <v>599</v>
      </c>
      <c r="BJ35" s="194" t="s">
        <v>600</v>
      </c>
    </row>
    <row r="36" spans="1:62" s="75" customFormat="1" ht="14.1" customHeight="1">
      <c r="A36" s="157">
        <f>ROW()- 34</f>
        <v>2</v>
      </c>
      <c r="B36" s="214" t="s">
        <v>685</v>
      </c>
      <c r="C36" s="249"/>
      <c r="D36" s="249"/>
      <c r="E36" s="249"/>
      <c r="F36" s="249"/>
      <c r="G36" s="249"/>
      <c r="H36" s="249"/>
      <c r="I36" s="249"/>
      <c r="J36" s="249"/>
      <c r="K36" s="250"/>
      <c r="L36" s="214" t="s">
        <v>664</v>
      </c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 t="s">
        <v>602</v>
      </c>
      <c r="BJ36" s="194" t="s">
        <v>600</v>
      </c>
    </row>
    <row r="37" spans="1:62" s="75" customFormat="1" ht="14.1" customHeight="1">
      <c r="A37" s="157">
        <f>ROW()- 34</f>
        <v>3</v>
      </c>
      <c r="B37" s="214" t="s">
        <v>686</v>
      </c>
      <c r="C37" s="249"/>
      <c r="D37" s="249"/>
      <c r="E37" s="249"/>
      <c r="F37" s="249"/>
      <c r="G37" s="249"/>
      <c r="H37" s="249"/>
      <c r="I37" s="249"/>
      <c r="J37" s="249"/>
      <c r="K37" s="250"/>
      <c r="L37" s="214" t="s">
        <v>669</v>
      </c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 t="s">
        <v>602</v>
      </c>
      <c r="BJ37" s="194" t="s">
        <v>600</v>
      </c>
    </row>
    <row r="38" spans="1:62" ht="14.1" customHeight="1">
      <c r="A38" s="157">
        <f>ROW()- 34</f>
        <v>4</v>
      </c>
      <c r="B38" s="214" t="s">
        <v>687</v>
      </c>
      <c r="C38" s="249"/>
      <c r="D38" s="249"/>
      <c r="E38" s="249"/>
      <c r="F38" s="249"/>
      <c r="G38" s="249"/>
      <c r="H38" s="249"/>
      <c r="I38" s="249"/>
      <c r="J38" s="249"/>
      <c r="K38" s="250"/>
      <c r="L38" s="214" t="s">
        <v>670</v>
      </c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622</v>
      </c>
      <c r="BG38" s="197"/>
      <c r="BH38" s="197"/>
      <c r="BI38" s="194" t="s">
        <v>602</v>
      </c>
      <c r="BJ38" s="194" t="s">
        <v>600</v>
      </c>
    </row>
    <row r="39" spans="1:62" ht="14.1" customHeight="1">
      <c r="A39" s="157">
        <f t="shared" ref="A39" si="2">IF(B39&lt;&gt;"",ROW()-34,"")</f>
        <v>5</v>
      </c>
      <c r="B39" s="214" t="s">
        <v>689</v>
      </c>
      <c r="C39" s="249"/>
      <c r="D39" s="249"/>
      <c r="E39" s="249"/>
      <c r="F39" s="249"/>
      <c r="G39" s="249"/>
      <c r="H39" s="249"/>
      <c r="I39" s="249"/>
      <c r="J39" s="249"/>
      <c r="K39" s="250"/>
      <c r="L39" s="214" t="s">
        <v>669</v>
      </c>
      <c r="M39" s="215"/>
      <c r="N39" s="215"/>
      <c r="O39" s="215"/>
      <c r="P39" s="215"/>
      <c r="Q39" s="215"/>
      <c r="R39" s="215"/>
      <c r="S39" s="215"/>
      <c r="T39" s="215"/>
      <c r="U39" s="215"/>
      <c r="V39" s="215"/>
      <c r="W39" s="215"/>
      <c r="X39" s="215"/>
      <c r="Y39" s="215"/>
      <c r="Z39" s="215"/>
      <c r="AA39" s="215"/>
      <c r="AB39" s="215"/>
      <c r="AC39" s="215"/>
      <c r="AD39" s="215"/>
      <c r="AE39" s="215"/>
      <c r="AF39" s="215"/>
      <c r="AG39" s="215"/>
      <c r="AH39" s="215"/>
      <c r="AI39" s="215"/>
      <c r="AJ39" s="215"/>
      <c r="AK39" s="215"/>
      <c r="AL39" s="215"/>
      <c r="AM39" s="215"/>
      <c r="AN39" s="215"/>
      <c r="AO39" s="215"/>
      <c r="AP39" s="215"/>
      <c r="AQ39" s="215"/>
      <c r="AR39" s="215"/>
      <c r="AS39" s="215"/>
      <c r="AT39" s="215"/>
      <c r="AU39" s="215"/>
      <c r="AV39" s="215"/>
      <c r="AW39" s="215"/>
      <c r="AX39" s="215"/>
      <c r="AY39" s="215"/>
      <c r="AZ39" s="215"/>
      <c r="BA39" s="215"/>
      <c r="BB39" s="216"/>
      <c r="BF39" s="199" t="s">
        <v>622</v>
      </c>
      <c r="BG39" s="197"/>
      <c r="BH39" s="197"/>
      <c r="BI39" s="194"/>
      <c r="BJ39" s="194" t="s">
        <v>625</v>
      </c>
    </row>
    <row r="40" spans="1:62" ht="14.1" customHeight="1">
      <c r="A40" s="157">
        <f t="shared" ref="A35:A41" si="3">IF(B40&lt;&gt;"",ROW()-34,"")</f>
        <v>6</v>
      </c>
      <c r="B40" s="214" t="s">
        <v>690</v>
      </c>
      <c r="C40" s="249"/>
      <c r="D40" s="249"/>
      <c r="E40" s="249"/>
      <c r="F40" s="249"/>
      <c r="G40" s="249"/>
      <c r="H40" s="249"/>
      <c r="I40" s="249"/>
      <c r="J40" s="249"/>
      <c r="K40" s="250"/>
      <c r="L40" s="214" t="s">
        <v>670</v>
      </c>
      <c r="M40" s="215"/>
      <c r="N40" s="215"/>
      <c r="O40" s="215"/>
      <c r="P40" s="215"/>
      <c r="Q40" s="215"/>
      <c r="R40" s="215"/>
      <c r="S40" s="215"/>
      <c r="T40" s="215"/>
      <c r="U40" s="215"/>
      <c r="V40" s="215"/>
      <c r="W40" s="215"/>
      <c r="X40" s="215"/>
      <c r="Y40" s="215"/>
      <c r="Z40" s="215"/>
      <c r="AA40" s="215"/>
      <c r="AB40" s="215"/>
      <c r="AC40" s="215"/>
      <c r="AD40" s="215"/>
      <c r="AE40" s="215"/>
      <c r="AF40" s="215"/>
      <c r="AG40" s="215"/>
      <c r="AH40" s="215"/>
      <c r="AI40" s="215"/>
      <c r="AJ40" s="215"/>
      <c r="AK40" s="215"/>
      <c r="AL40" s="215"/>
      <c r="AM40" s="215"/>
      <c r="AN40" s="215"/>
      <c r="AO40" s="215"/>
      <c r="AP40" s="215"/>
      <c r="AQ40" s="215"/>
      <c r="AR40" s="215"/>
      <c r="AS40" s="215"/>
      <c r="AT40" s="215"/>
      <c r="AU40" s="215"/>
      <c r="AV40" s="215"/>
      <c r="AW40" s="215"/>
      <c r="AX40" s="215"/>
      <c r="AY40" s="215"/>
      <c r="AZ40" s="215"/>
      <c r="BA40" s="215"/>
      <c r="BB40" s="216"/>
      <c r="BF40" s="199" t="s">
        <v>572</v>
      </c>
      <c r="BG40" s="197"/>
      <c r="BH40" s="197"/>
      <c r="BI40" s="194"/>
      <c r="BJ40" s="194" t="s">
        <v>625</v>
      </c>
    </row>
    <row r="41" spans="1:62" ht="14.1" customHeight="1" thickBot="1">
      <c r="A41" s="158" t="str">
        <f t="shared" si="3"/>
        <v/>
      </c>
      <c r="B41" s="217"/>
      <c r="C41" s="307"/>
      <c r="D41" s="307"/>
      <c r="E41" s="307"/>
      <c r="F41" s="307"/>
      <c r="G41" s="307"/>
      <c r="H41" s="307"/>
      <c r="I41" s="307"/>
      <c r="J41" s="307"/>
      <c r="K41" s="308"/>
      <c r="L41" s="217"/>
      <c r="M41" s="218"/>
      <c r="N41" s="218"/>
      <c r="O41" s="218"/>
      <c r="P41" s="218"/>
      <c r="Q41" s="218"/>
      <c r="R41" s="218"/>
      <c r="S41" s="218"/>
      <c r="T41" s="218"/>
      <c r="U41" s="218"/>
      <c r="V41" s="218"/>
      <c r="W41" s="218"/>
      <c r="X41" s="218"/>
      <c r="Y41" s="218"/>
      <c r="Z41" s="218"/>
      <c r="AA41" s="218"/>
      <c r="AB41" s="218"/>
      <c r="AC41" s="218"/>
      <c r="AD41" s="218"/>
      <c r="AE41" s="218"/>
      <c r="AF41" s="218"/>
      <c r="AG41" s="218"/>
      <c r="AH41" s="218"/>
      <c r="AI41" s="218"/>
      <c r="AJ41" s="218"/>
      <c r="AK41" s="218"/>
      <c r="AL41" s="218"/>
      <c r="AM41" s="218"/>
      <c r="AN41" s="218"/>
      <c r="AO41" s="218"/>
      <c r="AP41" s="218"/>
      <c r="AQ41" s="218"/>
      <c r="AR41" s="218"/>
      <c r="AS41" s="218"/>
      <c r="AT41" s="218"/>
      <c r="AU41" s="218"/>
      <c r="AV41" s="218"/>
      <c r="AW41" s="218"/>
      <c r="AX41" s="218"/>
      <c r="AY41" s="218"/>
      <c r="AZ41" s="218"/>
      <c r="BA41" s="218"/>
      <c r="BB41" s="219"/>
      <c r="BF41" s="199" t="s">
        <v>577</v>
      </c>
      <c r="BG41" s="197"/>
      <c r="BH41" s="197"/>
      <c r="BI41" s="194"/>
      <c r="BJ41" s="194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1:61" ht="13.5" customHeight="1">
      <c r="BF49" s="3"/>
      <c r="BG49" s="3"/>
      <c r="BH49" s="3"/>
      <c r="BI49" s="3"/>
    </row>
    <row r="50" spans="1:61" ht="13.5" customHeight="1">
      <c r="BF50" s="3"/>
      <c r="BG50" s="3"/>
      <c r="BH50" s="3"/>
      <c r="BI50" s="3"/>
    </row>
    <row r="51" spans="1:61" s="196" customFormat="1" ht="13.5" customHeight="1">
      <c r="A51" s="78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  <c r="AF51" s="78"/>
      <c r="AG51" s="78"/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  <c r="AW51" s="78"/>
      <c r="AX51" s="78"/>
      <c r="AY51" s="78"/>
      <c r="AZ51" s="78"/>
      <c r="BA51" s="78"/>
      <c r="BB51" s="78"/>
      <c r="BC51"/>
      <c r="BD51"/>
      <c r="BE51" s="78"/>
      <c r="BF51" s="3"/>
      <c r="BG51" s="3"/>
      <c r="BH51" s="3"/>
      <c r="BI51" s="3"/>
    </row>
  </sheetData>
  <mergeCells count="217">
    <mergeCell ref="AP30:BB30"/>
    <mergeCell ref="AP31:BB31"/>
    <mergeCell ref="B38:K38"/>
    <mergeCell ref="L38:BB38"/>
    <mergeCell ref="B39:K39"/>
    <mergeCell ref="L39:BB39"/>
    <mergeCell ref="AP24:BB24"/>
    <mergeCell ref="AP25:BB25"/>
    <mergeCell ref="AP26:BB26"/>
    <mergeCell ref="AP27:BB27"/>
    <mergeCell ref="AP28:BB28"/>
    <mergeCell ref="AP29:BB29"/>
    <mergeCell ref="B41:K41"/>
    <mergeCell ref="L41:BB41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40:K40"/>
    <mergeCell ref="L40:BB40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41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31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50" max="16383" man="1"/>
  </row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10"/>
  <dimension ref="A1:BJ49"/>
  <sheetViews>
    <sheetView showGridLines="0" zoomScaleNormal="100" workbookViewId="0">
      <selection sqref="A1:G1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691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692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590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591</v>
      </c>
      <c r="W16" s="249"/>
      <c r="X16" s="249"/>
      <c r="Y16" s="249"/>
      <c r="Z16" s="249"/>
      <c r="AA16" s="250"/>
      <c r="AB16" s="251"/>
      <c r="AC16" s="252"/>
      <c r="AD16" s="252"/>
      <c r="AE16" s="253"/>
      <c r="AF16" s="462">
        <v>1</v>
      </c>
      <c r="AG16" s="463"/>
      <c r="AH16" s="462"/>
      <c r="AI16" s="463"/>
      <c r="AJ16" s="462">
        <v>1</v>
      </c>
      <c r="AK16" s="463"/>
      <c r="AL16" s="462">
        <v>1</v>
      </c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8</v>
      </c>
      <c r="BI16" s="197">
        <v>1</v>
      </c>
      <c r="BJ16" s="198" t="s">
        <v>697</v>
      </c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663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591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>
        <v>2</v>
      </c>
      <c r="AG17" s="463"/>
      <c r="AH17" s="462"/>
      <c r="AI17" s="463"/>
      <c r="AJ17" s="462">
        <v>1</v>
      </c>
      <c r="AK17" s="463"/>
      <c r="AL17" s="462">
        <v>1</v>
      </c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7</v>
      </c>
      <c r="BI17" s="197">
        <v>1</v>
      </c>
      <c r="BJ17" s="198" t="s">
        <v>699</v>
      </c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596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61</v>
      </c>
      <c r="W18" s="249"/>
      <c r="X18" s="249"/>
      <c r="Y18" s="249"/>
      <c r="Z18" s="249"/>
      <c r="AA18" s="250"/>
      <c r="AB18" s="251" t="s">
        <v>597</v>
      </c>
      <c r="AC18" s="252"/>
      <c r="AD18" s="252"/>
      <c r="AE18" s="253"/>
      <c r="AF18" s="462"/>
      <c r="AG18" s="463"/>
      <c r="AH18" s="462"/>
      <c r="AI18" s="463"/>
      <c r="AJ18" s="462"/>
      <c r="AK18" s="463"/>
      <c r="AL18" s="462">
        <v>1</v>
      </c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11</v>
      </c>
      <c r="BI18" s="197"/>
      <c r="BJ18" s="198"/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/>
      <c r="M19" s="249"/>
      <c r="N19" s="249"/>
      <c r="O19" s="249"/>
      <c r="P19" s="249"/>
      <c r="Q19" s="249"/>
      <c r="R19" s="249"/>
      <c r="S19" s="249"/>
      <c r="T19" s="249"/>
      <c r="U19" s="250"/>
      <c r="V19" s="214"/>
      <c r="W19" s="249"/>
      <c r="X19" s="249"/>
      <c r="Y19" s="249"/>
      <c r="Z19" s="249"/>
      <c r="AA19" s="250"/>
      <c r="AB19" s="251"/>
      <c r="AC19" s="252"/>
      <c r="AD19" s="252"/>
      <c r="AE19" s="253"/>
      <c r="AF19" s="462"/>
      <c r="AG19" s="463"/>
      <c r="AH19" s="462"/>
      <c r="AI19" s="463"/>
      <c r="AJ19" s="462"/>
      <c r="AK19" s="463"/>
      <c r="AL19" s="462"/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0</v>
      </c>
      <c r="BI19" s="197"/>
      <c r="BJ19" s="198"/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/>
      <c r="M20" s="249"/>
      <c r="N20" s="249"/>
      <c r="O20" s="249"/>
      <c r="P20" s="249"/>
      <c r="Q20" s="249"/>
      <c r="R20" s="249"/>
      <c r="S20" s="249"/>
      <c r="T20" s="249"/>
      <c r="U20" s="250"/>
      <c r="V20" s="214"/>
      <c r="W20" s="249"/>
      <c r="X20" s="249"/>
      <c r="Y20" s="249"/>
      <c r="Z20" s="249"/>
      <c r="AA20" s="250"/>
      <c r="AB20" s="251"/>
      <c r="AC20" s="252"/>
      <c r="AD20" s="252"/>
      <c r="AE20" s="253"/>
      <c r="AF20" s="462"/>
      <c r="AG20" s="463"/>
      <c r="AH20" s="462"/>
      <c r="AI20" s="463"/>
      <c r="AJ20" s="462"/>
      <c r="AK20" s="463"/>
      <c r="AL20" s="462"/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0</v>
      </c>
      <c r="BI20" s="197"/>
      <c r="BJ20" s="198"/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/>
      <c r="M21" s="249"/>
      <c r="N21" s="249"/>
      <c r="O21" s="249"/>
      <c r="P21" s="249"/>
      <c r="Q21" s="249"/>
      <c r="R21" s="249"/>
      <c r="S21" s="249"/>
      <c r="T21" s="249"/>
      <c r="U21" s="250"/>
      <c r="V21" s="214"/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/>
      <c r="AK21" s="463"/>
      <c r="AL21" s="462"/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0</v>
      </c>
      <c r="BI21" s="197"/>
      <c r="BJ21" s="198"/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/>
      <c r="M22" s="249"/>
      <c r="N22" s="249"/>
      <c r="O22" s="249"/>
      <c r="P22" s="249"/>
      <c r="Q22" s="249"/>
      <c r="R22" s="249"/>
      <c r="S22" s="249"/>
      <c r="T22" s="249"/>
      <c r="U22" s="250"/>
      <c r="V22" s="214"/>
      <c r="W22" s="249"/>
      <c r="X22" s="249"/>
      <c r="Y22" s="249"/>
      <c r="Z22" s="249"/>
      <c r="AA22" s="250"/>
      <c r="AB22" s="251"/>
      <c r="AC22" s="252"/>
      <c r="AD22" s="252"/>
      <c r="AE22" s="253"/>
      <c r="AF22" s="462"/>
      <c r="AG22" s="463"/>
      <c r="AH22" s="462"/>
      <c r="AI22" s="463"/>
      <c r="AJ22" s="462"/>
      <c r="AK22" s="463"/>
      <c r="AL22" s="462"/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0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/>
      <c r="M23" s="249"/>
      <c r="N23" s="249"/>
      <c r="O23" s="249"/>
      <c r="P23" s="249"/>
      <c r="Q23" s="249"/>
      <c r="R23" s="249"/>
      <c r="S23" s="249"/>
      <c r="T23" s="249"/>
      <c r="U23" s="250"/>
      <c r="V23" s="214"/>
      <c r="W23" s="249"/>
      <c r="X23" s="249"/>
      <c r="Y23" s="249"/>
      <c r="Z23" s="249"/>
      <c r="AA23" s="250"/>
      <c r="AB23" s="251"/>
      <c r="AC23" s="252"/>
      <c r="AD23" s="252"/>
      <c r="AE23" s="253"/>
      <c r="AF23" s="462"/>
      <c r="AG23" s="463"/>
      <c r="AH23" s="462"/>
      <c r="AI23" s="463"/>
      <c r="AJ23" s="462"/>
      <c r="AK23" s="463"/>
      <c r="AL23" s="462"/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0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/>
      <c r="M24" s="249"/>
      <c r="N24" s="249"/>
      <c r="O24" s="249"/>
      <c r="P24" s="249"/>
      <c r="Q24" s="249"/>
      <c r="R24" s="249"/>
      <c r="S24" s="249"/>
      <c r="T24" s="249"/>
      <c r="U24" s="250"/>
      <c r="V24" s="214"/>
      <c r="W24" s="249"/>
      <c r="X24" s="249"/>
      <c r="Y24" s="249"/>
      <c r="Z24" s="249"/>
      <c r="AA24" s="250"/>
      <c r="AB24" s="251"/>
      <c r="AC24" s="252"/>
      <c r="AD24" s="252"/>
      <c r="AE24" s="253"/>
      <c r="AF24" s="462"/>
      <c r="AG24" s="463"/>
      <c r="AH24" s="462"/>
      <c r="AI24" s="463"/>
      <c r="AJ24" s="462"/>
      <c r="AK24" s="463"/>
      <c r="AL24" s="462"/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0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>
        <f>ROW()- 34</f>
        <v>1</v>
      </c>
      <c r="B35" s="214" t="s">
        <v>693</v>
      </c>
      <c r="C35" s="249"/>
      <c r="D35" s="249"/>
      <c r="E35" s="249"/>
      <c r="F35" s="249"/>
      <c r="G35" s="249"/>
      <c r="H35" s="249"/>
      <c r="I35" s="249"/>
      <c r="J35" s="249"/>
      <c r="K35" s="250"/>
      <c r="L35" s="214" t="s">
        <v>694</v>
      </c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 t="s">
        <v>695</v>
      </c>
      <c r="BJ35" s="194" t="s">
        <v>600</v>
      </c>
    </row>
    <row r="36" spans="1:62" s="75" customFormat="1" ht="14.1" customHeight="1">
      <c r="A36" s="157">
        <f>ROW()- 34</f>
        <v>2</v>
      </c>
      <c r="B36" s="214" t="s">
        <v>696</v>
      </c>
      <c r="C36" s="249"/>
      <c r="D36" s="249"/>
      <c r="E36" s="249"/>
      <c r="F36" s="249"/>
      <c r="G36" s="249"/>
      <c r="H36" s="249"/>
      <c r="I36" s="249"/>
      <c r="J36" s="249"/>
      <c r="K36" s="250"/>
      <c r="L36" s="214" t="s">
        <v>663</v>
      </c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 t="s">
        <v>602</v>
      </c>
      <c r="BJ36" s="194" t="s">
        <v>600</v>
      </c>
    </row>
    <row r="37" spans="1:62" s="75" customFormat="1" ht="14.1" customHeight="1">
      <c r="A37" s="157">
        <f t="shared" ref="A35:A39" si="2">IF(B37&lt;&gt;"",ROW()-34,"")</f>
        <v>3</v>
      </c>
      <c r="B37" s="214" t="s">
        <v>698</v>
      </c>
      <c r="C37" s="249"/>
      <c r="D37" s="249"/>
      <c r="E37" s="249"/>
      <c r="F37" s="249"/>
      <c r="G37" s="249"/>
      <c r="H37" s="249"/>
      <c r="I37" s="249"/>
      <c r="J37" s="249"/>
      <c r="K37" s="250"/>
      <c r="L37" s="214" t="s">
        <v>590</v>
      </c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/>
      <c r="BJ37" s="194" t="s">
        <v>625</v>
      </c>
    </row>
    <row r="38" spans="1:62" ht="14.1" customHeight="1">
      <c r="A38" s="157">
        <f t="shared" si="2"/>
        <v>4</v>
      </c>
      <c r="B38" s="214" t="s">
        <v>700</v>
      </c>
      <c r="C38" s="249"/>
      <c r="D38" s="249"/>
      <c r="E38" s="249"/>
      <c r="F38" s="249"/>
      <c r="G38" s="249"/>
      <c r="H38" s="249"/>
      <c r="I38" s="249"/>
      <c r="J38" s="249"/>
      <c r="K38" s="250"/>
      <c r="L38" s="214" t="s">
        <v>663</v>
      </c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572</v>
      </c>
      <c r="BG38" s="197"/>
      <c r="BH38" s="197"/>
      <c r="BI38" s="194"/>
      <c r="BJ38" s="194" t="s">
        <v>625</v>
      </c>
    </row>
    <row r="39" spans="1:62" ht="14.1" customHeight="1" thickBot="1">
      <c r="A39" s="158" t="str">
        <f t="shared" si="2"/>
        <v/>
      </c>
      <c r="B39" s="217"/>
      <c r="C39" s="307"/>
      <c r="D39" s="307"/>
      <c r="E39" s="307"/>
      <c r="F39" s="307"/>
      <c r="G39" s="307"/>
      <c r="H39" s="307"/>
      <c r="I39" s="307"/>
      <c r="J39" s="307"/>
      <c r="K39" s="308"/>
      <c r="L39" s="217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9"/>
      <c r="BF39" s="199" t="s">
        <v>577</v>
      </c>
      <c r="BG39" s="197"/>
      <c r="BH39" s="197"/>
      <c r="BI39" s="194"/>
      <c r="BJ39" s="194"/>
    </row>
    <row r="40" spans="1:62" ht="13.5" customHeight="1">
      <c r="BF40" s="3"/>
      <c r="BG40" s="3"/>
      <c r="BH40" s="3"/>
      <c r="BI40" s="3"/>
    </row>
    <row r="41" spans="1:62" ht="13.5" customHeight="1">
      <c r="BF41" s="3"/>
      <c r="BG41" s="3"/>
      <c r="BH41" s="3"/>
      <c r="BI41" s="3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58:61" ht="13.5" customHeight="1">
      <c r="BF49" s="3"/>
      <c r="BG49" s="3"/>
      <c r="BH49" s="3"/>
      <c r="BI49" s="3"/>
    </row>
  </sheetData>
  <mergeCells count="213">
    <mergeCell ref="AP30:BB30"/>
    <mergeCell ref="AP31:BB31"/>
    <mergeCell ref="AP24:BB24"/>
    <mergeCell ref="AP25:BB25"/>
    <mergeCell ref="AP26:BB26"/>
    <mergeCell ref="AP27:BB27"/>
    <mergeCell ref="AP28:BB28"/>
    <mergeCell ref="AP29:BB29"/>
    <mergeCell ref="B39:K39"/>
    <mergeCell ref="L39:BB39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38:K38"/>
    <mergeCell ref="L38:BB38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39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16 AB17:AE17 AB19:AE31 AB18:AE18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48" max="16383" man="1"/>
  </row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11"/>
  <dimension ref="A1:BJ49"/>
  <sheetViews>
    <sheetView showGridLines="0" zoomScaleNormal="100" workbookViewId="0">
      <selection sqref="A1:G1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701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702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663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591</v>
      </c>
      <c r="W16" s="249"/>
      <c r="X16" s="249"/>
      <c r="Y16" s="249"/>
      <c r="Z16" s="249"/>
      <c r="AA16" s="250"/>
      <c r="AB16" s="251"/>
      <c r="AC16" s="252"/>
      <c r="AD16" s="252"/>
      <c r="AE16" s="253"/>
      <c r="AF16" s="462">
        <v>1</v>
      </c>
      <c r="AG16" s="463"/>
      <c r="AH16" s="462"/>
      <c r="AI16" s="463"/>
      <c r="AJ16" s="462">
        <v>1</v>
      </c>
      <c r="AK16" s="463"/>
      <c r="AL16" s="462">
        <v>1</v>
      </c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7</v>
      </c>
      <c r="BI16" s="197">
        <v>1</v>
      </c>
      <c r="BJ16" s="198" t="s">
        <v>699</v>
      </c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628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629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>
        <v>2</v>
      </c>
      <c r="AG17" s="463"/>
      <c r="AH17" s="462"/>
      <c r="AI17" s="463"/>
      <c r="AJ17" s="462">
        <v>1</v>
      </c>
      <c r="AK17" s="463"/>
      <c r="AL17" s="462">
        <v>1</v>
      </c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11</v>
      </c>
      <c r="BI17" s="197">
        <v>1</v>
      </c>
      <c r="BJ17" s="198" t="s">
        <v>705</v>
      </c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596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61</v>
      </c>
      <c r="W18" s="249"/>
      <c r="X18" s="249"/>
      <c r="Y18" s="249"/>
      <c r="Z18" s="249"/>
      <c r="AA18" s="250"/>
      <c r="AB18" s="251" t="s">
        <v>597</v>
      </c>
      <c r="AC18" s="252"/>
      <c r="AD18" s="252"/>
      <c r="AE18" s="253"/>
      <c r="AF18" s="462"/>
      <c r="AG18" s="463"/>
      <c r="AH18" s="462"/>
      <c r="AI18" s="463"/>
      <c r="AJ18" s="462"/>
      <c r="AK18" s="463"/>
      <c r="AL18" s="462">
        <v>1</v>
      </c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11</v>
      </c>
      <c r="BI18" s="197"/>
      <c r="BJ18" s="198"/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/>
      <c r="M19" s="249"/>
      <c r="N19" s="249"/>
      <c r="O19" s="249"/>
      <c r="P19" s="249"/>
      <c r="Q19" s="249"/>
      <c r="R19" s="249"/>
      <c r="S19" s="249"/>
      <c r="T19" s="249"/>
      <c r="U19" s="250"/>
      <c r="V19" s="214"/>
      <c r="W19" s="249"/>
      <c r="X19" s="249"/>
      <c r="Y19" s="249"/>
      <c r="Z19" s="249"/>
      <c r="AA19" s="250"/>
      <c r="AB19" s="251"/>
      <c r="AC19" s="252"/>
      <c r="AD19" s="252"/>
      <c r="AE19" s="253"/>
      <c r="AF19" s="462"/>
      <c r="AG19" s="463"/>
      <c r="AH19" s="462"/>
      <c r="AI19" s="463"/>
      <c r="AJ19" s="462"/>
      <c r="AK19" s="463"/>
      <c r="AL19" s="462"/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0</v>
      </c>
      <c r="BI19" s="197"/>
      <c r="BJ19" s="198"/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/>
      <c r="M20" s="249"/>
      <c r="N20" s="249"/>
      <c r="O20" s="249"/>
      <c r="P20" s="249"/>
      <c r="Q20" s="249"/>
      <c r="R20" s="249"/>
      <c r="S20" s="249"/>
      <c r="T20" s="249"/>
      <c r="U20" s="250"/>
      <c r="V20" s="214"/>
      <c r="W20" s="249"/>
      <c r="X20" s="249"/>
      <c r="Y20" s="249"/>
      <c r="Z20" s="249"/>
      <c r="AA20" s="250"/>
      <c r="AB20" s="251"/>
      <c r="AC20" s="252"/>
      <c r="AD20" s="252"/>
      <c r="AE20" s="253"/>
      <c r="AF20" s="462"/>
      <c r="AG20" s="463"/>
      <c r="AH20" s="462"/>
      <c r="AI20" s="463"/>
      <c r="AJ20" s="462"/>
      <c r="AK20" s="463"/>
      <c r="AL20" s="462"/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0</v>
      </c>
      <c r="BI20" s="197"/>
      <c r="BJ20" s="198"/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/>
      <c r="M21" s="249"/>
      <c r="N21" s="249"/>
      <c r="O21" s="249"/>
      <c r="P21" s="249"/>
      <c r="Q21" s="249"/>
      <c r="R21" s="249"/>
      <c r="S21" s="249"/>
      <c r="T21" s="249"/>
      <c r="U21" s="250"/>
      <c r="V21" s="214"/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/>
      <c r="AK21" s="463"/>
      <c r="AL21" s="462"/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0</v>
      </c>
      <c r="BI21" s="197"/>
      <c r="BJ21" s="198"/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/>
      <c r="M22" s="249"/>
      <c r="N22" s="249"/>
      <c r="O22" s="249"/>
      <c r="P22" s="249"/>
      <c r="Q22" s="249"/>
      <c r="R22" s="249"/>
      <c r="S22" s="249"/>
      <c r="T22" s="249"/>
      <c r="U22" s="250"/>
      <c r="V22" s="214"/>
      <c r="W22" s="249"/>
      <c r="X22" s="249"/>
      <c r="Y22" s="249"/>
      <c r="Z22" s="249"/>
      <c r="AA22" s="250"/>
      <c r="AB22" s="251"/>
      <c r="AC22" s="252"/>
      <c r="AD22" s="252"/>
      <c r="AE22" s="253"/>
      <c r="AF22" s="462"/>
      <c r="AG22" s="463"/>
      <c r="AH22" s="462"/>
      <c r="AI22" s="463"/>
      <c r="AJ22" s="462"/>
      <c r="AK22" s="463"/>
      <c r="AL22" s="462"/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0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/>
      <c r="M23" s="249"/>
      <c r="N23" s="249"/>
      <c r="O23" s="249"/>
      <c r="P23" s="249"/>
      <c r="Q23" s="249"/>
      <c r="R23" s="249"/>
      <c r="S23" s="249"/>
      <c r="T23" s="249"/>
      <c r="U23" s="250"/>
      <c r="V23" s="214"/>
      <c r="W23" s="249"/>
      <c r="X23" s="249"/>
      <c r="Y23" s="249"/>
      <c r="Z23" s="249"/>
      <c r="AA23" s="250"/>
      <c r="AB23" s="251"/>
      <c r="AC23" s="252"/>
      <c r="AD23" s="252"/>
      <c r="AE23" s="253"/>
      <c r="AF23" s="462"/>
      <c r="AG23" s="463"/>
      <c r="AH23" s="462"/>
      <c r="AI23" s="463"/>
      <c r="AJ23" s="462"/>
      <c r="AK23" s="463"/>
      <c r="AL23" s="462"/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0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/>
      <c r="M24" s="249"/>
      <c r="N24" s="249"/>
      <c r="O24" s="249"/>
      <c r="P24" s="249"/>
      <c r="Q24" s="249"/>
      <c r="R24" s="249"/>
      <c r="S24" s="249"/>
      <c r="T24" s="249"/>
      <c r="U24" s="250"/>
      <c r="V24" s="214"/>
      <c r="W24" s="249"/>
      <c r="X24" s="249"/>
      <c r="Y24" s="249"/>
      <c r="Z24" s="249"/>
      <c r="AA24" s="250"/>
      <c r="AB24" s="251"/>
      <c r="AC24" s="252"/>
      <c r="AD24" s="252"/>
      <c r="AE24" s="253"/>
      <c r="AF24" s="462"/>
      <c r="AG24" s="463"/>
      <c r="AH24" s="462"/>
      <c r="AI24" s="463"/>
      <c r="AJ24" s="462"/>
      <c r="AK24" s="463"/>
      <c r="AL24" s="462"/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0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>
        <f>ROW()- 34</f>
        <v>1</v>
      </c>
      <c r="B35" s="214" t="s">
        <v>693</v>
      </c>
      <c r="C35" s="249"/>
      <c r="D35" s="249"/>
      <c r="E35" s="249"/>
      <c r="F35" s="249"/>
      <c r="G35" s="249"/>
      <c r="H35" s="249"/>
      <c r="I35" s="249"/>
      <c r="J35" s="249"/>
      <c r="K35" s="250"/>
      <c r="L35" s="214" t="s">
        <v>703</v>
      </c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 t="s">
        <v>695</v>
      </c>
      <c r="BJ35" s="194" t="s">
        <v>600</v>
      </c>
    </row>
    <row r="36" spans="1:62" s="75" customFormat="1" ht="14.1" customHeight="1">
      <c r="A36" s="157">
        <f>ROW()- 34</f>
        <v>2</v>
      </c>
      <c r="B36" s="214" t="s">
        <v>704</v>
      </c>
      <c r="C36" s="249"/>
      <c r="D36" s="249"/>
      <c r="E36" s="249"/>
      <c r="F36" s="249"/>
      <c r="G36" s="249"/>
      <c r="H36" s="249"/>
      <c r="I36" s="249"/>
      <c r="J36" s="249"/>
      <c r="K36" s="250"/>
      <c r="L36" s="214" t="s">
        <v>628</v>
      </c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 t="s">
        <v>602</v>
      </c>
      <c r="BJ36" s="194" t="s">
        <v>600</v>
      </c>
    </row>
    <row r="37" spans="1:62" s="75" customFormat="1" ht="14.1" customHeight="1">
      <c r="A37" s="157">
        <f t="shared" ref="A35:A39" si="2">IF(B37&lt;&gt;"",ROW()-34,"")</f>
        <v>3</v>
      </c>
      <c r="B37" s="214" t="s">
        <v>704</v>
      </c>
      <c r="C37" s="249"/>
      <c r="D37" s="249"/>
      <c r="E37" s="249"/>
      <c r="F37" s="249"/>
      <c r="G37" s="249"/>
      <c r="H37" s="249"/>
      <c r="I37" s="249"/>
      <c r="J37" s="249"/>
      <c r="K37" s="250"/>
      <c r="L37" s="214" t="s">
        <v>628</v>
      </c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/>
      <c r="BJ37" s="194" t="s">
        <v>625</v>
      </c>
    </row>
    <row r="38" spans="1:62" ht="14.1" customHeight="1">
      <c r="A38" s="157">
        <f t="shared" si="2"/>
        <v>4</v>
      </c>
      <c r="B38" s="214" t="s">
        <v>706</v>
      </c>
      <c r="C38" s="249"/>
      <c r="D38" s="249"/>
      <c r="E38" s="249"/>
      <c r="F38" s="249"/>
      <c r="G38" s="249"/>
      <c r="H38" s="249"/>
      <c r="I38" s="249"/>
      <c r="J38" s="249"/>
      <c r="K38" s="250"/>
      <c r="L38" s="214" t="s">
        <v>663</v>
      </c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572</v>
      </c>
      <c r="BG38" s="197"/>
      <c r="BH38" s="197"/>
      <c r="BI38" s="194"/>
      <c r="BJ38" s="194" t="s">
        <v>625</v>
      </c>
    </row>
    <row r="39" spans="1:62" ht="14.1" customHeight="1" thickBot="1">
      <c r="A39" s="158" t="str">
        <f t="shared" si="2"/>
        <v/>
      </c>
      <c r="B39" s="217"/>
      <c r="C39" s="307"/>
      <c r="D39" s="307"/>
      <c r="E39" s="307"/>
      <c r="F39" s="307"/>
      <c r="G39" s="307"/>
      <c r="H39" s="307"/>
      <c r="I39" s="307"/>
      <c r="J39" s="307"/>
      <c r="K39" s="308"/>
      <c r="L39" s="217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9"/>
      <c r="BF39" s="199" t="s">
        <v>577</v>
      </c>
      <c r="BG39" s="197"/>
      <c r="BH39" s="197"/>
      <c r="BI39" s="194"/>
      <c r="BJ39" s="194"/>
    </row>
    <row r="40" spans="1:62" ht="13.5" customHeight="1">
      <c r="BF40" s="3"/>
      <c r="BG40" s="3"/>
      <c r="BH40" s="3"/>
      <c r="BI40" s="3"/>
    </row>
    <row r="41" spans="1:62" ht="13.5" customHeight="1">
      <c r="BF41" s="3"/>
      <c r="BG41" s="3"/>
      <c r="BH41" s="3"/>
      <c r="BI41" s="3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58:61" ht="13.5" customHeight="1">
      <c r="BF49" s="3"/>
      <c r="BG49" s="3"/>
      <c r="BH49" s="3"/>
      <c r="BI49" s="3"/>
    </row>
  </sheetData>
  <mergeCells count="213">
    <mergeCell ref="AP30:BB30"/>
    <mergeCell ref="AP31:BB31"/>
    <mergeCell ref="AP24:BB24"/>
    <mergeCell ref="AP25:BB25"/>
    <mergeCell ref="AP26:BB26"/>
    <mergeCell ref="AP27:BB27"/>
    <mergeCell ref="AP28:BB28"/>
    <mergeCell ref="AP29:BB29"/>
    <mergeCell ref="B39:K39"/>
    <mergeCell ref="L39:BB39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38:K38"/>
    <mergeCell ref="L38:BB38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39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16 AB17:AE17 AB19:AE31 AB18:AE18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48" max="16383" man="1"/>
  </row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12"/>
  <dimension ref="A1:BJ49"/>
  <sheetViews>
    <sheetView showGridLines="0" zoomScaleNormal="100" workbookViewId="0">
      <selection sqref="A1:G1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707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708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 t="s">
        <v>605</v>
      </c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709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591</v>
      </c>
      <c r="W16" s="249"/>
      <c r="X16" s="249"/>
      <c r="Y16" s="249"/>
      <c r="Z16" s="249"/>
      <c r="AA16" s="250"/>
      <c r="AB16" s="251" t="s">
        <v>606</v>
      </c>
      <c r="AC16" s="252"/>
      <c r="AD16" s="252"/>
      <c r="AE16" s="253"/>
      <c r="AF16" s="462"/>
      <c r="AG16" s="463"/>
      <c r="AH16" s="462"/>
      <c r="AI16" s="463"/>
      <c r="AJ16" s="462"/>
      <c r="AK16" s="463"/>
      <c r="AL16" s="462"/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3</v>
      </c>
      <c r="BI16" s="197"/>
      <c r="BJ16" s="198"/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664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665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/>
      <c r="AG17" s="463"/>
      <c r="AH17" s="462"/>
      <c r="AI17" s="463"/>
      <c r="AJ17" s="462"/>
      <c r="AK17" s="463"/>
      <c r="AL17" s="462"/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5</v>
      </c>
      <c r="BI17" s="197"/>
      <c r="BJ17" s="198"/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666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57</v>
      </c>
      <c r="W18" s="249"/>
      <c r="X18" s="249"/>
      <c r="Y18" s="249"/>
      <c r="Z18" s="249"/>
      <c r="AA18" s="250"/>
      <c r="AB18" s="251"/>
      <c r="AC18" s="252"/>
      <c r="AD18" s="252"/>
      <c r="AE18" s="253"/>
      <c r="AF18" s="462"/>
      <c r="AG18" s="463"/>
      <c r="AH18" s="462"/>
      <c r="AI18" s="463"/>
      <c r="AJ18" s="462"/>
      <c r="AK18" s="463"/>
      <c r="AL18" s="462"/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11</v>
      </c>
      <c r="BI18" s="197"/>
      <c r="BJ18" s="198"/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 t="s">
        <v>627</v>
      </c>
      <c r="M19" s="249"/>
      <c r="N19" s="249"/>
      <c r="O19" s="249"/>
      <c r="P19" s="249"/>
      <c r="Q19" s="249"/>
      <c r="R19" s="249"/>
      <c r="S19" s="249"/>
      <c r="T19" s="249"/>
      <c r="U19" s="250"/>
      <c r="V19" s="214" t="s">
        <v>631</v>
      </c>
      <c r="W19" s="249"/>
      <c r="X19" s="249"/>
      <c r="Y19" s="249"/>
      <c r="Z19" s="249"/>
      <c r="AA19" s="250"/>
      <c r="AB19" s="251"/>
      <c r="AC19" s="252"/>
      <c r="AD19" s="252"/>
      <c r="AE19" s="253"/>
      <c r="AF19" s="462"/>
      <c r="AG19" s="463"/>
      <c r="AH19" s="462"/>
      <c r="AI19" s="463"/>
      <c r="AJ19" s="462"/>
      <c r="AK19" s="463"/>
      <c r="AL19" s="462">
        <v>1</v>
      </c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8</v>
      </c>
      <c r="BI19" s="197"/>
      <c r="BJ19" s="198"/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 t="s">
        <v>710</v>
      </c>
      <c r="M20" s="249"/>
      <c r="N20" s="249"/>
      <c r="O20" s="249"/>
      <c r="P20" s="249"/>
      <c r="Q20" s="249"/>
      <c r="R20" s="249"/>
      <c r="S20" s="249"/>
      <c r="T20" s="249"/>
      <c r="U20" s="250"/>
      <c r="V20" s="214" t="s">
        <v>674</v>
      </c>
      <c r="W20" s="249"/>
      <c r="X20" s="249"/>
      <c r="Y20" s="249"/>
      <c r="Z20" s="249"/>
      <c r="AA20" s="250"/>
      <c r="AB20" s="251" t="s">
        <v>675</v>
      </c>
      <c r="AC20" s="252"/>
      <c r="AD20" s="252"/>
      <c r="AE20" s="253"/>
      <c r="AF20" s="462"/>
      <c r="AG20" s="463"/>
      <c r="AH20" s="462"/>
      <c r="AI20" s="463"/>
      <c r="AJ20" s="462"/>
      <c r="AK20" s="463"/>
      <c r="AL20" s="462"/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5</v>
      </c>
      <c r="BI20" s="197"/>
      <c r="BJ20" s="198"/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 t="s">
        <v>676</v>
      </c>
      <c r="M21" s="249"/>
      <c r="N21" s="249"/>
      <c r="O21" s="249"/>
      <c r="P21" s="249"/>
      <c r="Q21" s="249"/>
      <c r="R21" s="249"/>
      <c r="S21" s="249"/>
      <c r="T21" s="249"/>
      <c r="U21" s="250"/>
      <c r="V21" s="214" t="s">
        <v>591</v>
      </c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/>
      <c r="AK21" s="463"/>
      <c r="AL21" s="462"/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6</v>
      </c>
      <c r="BI21" s="197"/>
      <c r="BJ21" s="198"/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 t="s">
        <v>680</v>
      </c>
      <c r="M22" s="249"/>
      <c r="N22" s="249"/>
      <c r="O22" s="249"/>
      <c r="P22" s="249"/>
      <c r="Q22" s="249"/>
      <c r="R22" s="249"/>
      <c r="S22" s="249"/>
      <c r="T22" s="249"/>
      <c r="U22" s="250"/>
      <c r="V22" s="214" t="s">
        <v>681</v>
      </c>
      <c r="W22" s="249"/>
      <c r="X22" s="249"/>
      <c r="Y22" s="249"/>
      <c r="Z22" s="249"/>
      <c r="AA22" s="250"/>
      <c r="AB22" s="251" t="s">
        <v>682</v>
      </c>
      <c r="AC22" s="252"/>
      <c r="AD22" s="252"/>
      <c r="AE22" s="253"/>
      <c r="AF22" s="462"/>
      <c r="AG22" s="463"/>
      <c r="AH22" s="462"/>
      <c r="AI22" s="463"/>
      <c r="AJ22" s="462"/>
      <c r="AK22" s="463"/>
      <c r="AL22" s="462"/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6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 t="s">
        <v>711</v>
      </c>
      <c r="M23" s="249"/>
      <c r="N23" s="249"/>
      <c r="O23" s="249"/>
      <c r="P23" s="249"/>
      <c r="Q23" s="249"/>
      <c r="R23" s="249"/>
      <c r="S23" s="249"/>
      <c r="T23" s="249"/>
      <c r="U23" s="250"/>
      <c r="V23" s="214" t="s">
        <v>57</v>
      </c>
      <c r="W23" s="249"/>
      <c r="X23" s="249"/>
      <c r="Y23" s="249"/>
      <c r="Z23" s="249"/>
      <c r="AA23" s="250"/>
      <c r="AB23" s="251"/>
      <c r="AC23" s="252"/>
      <c r="AD23" s="252"/>
      <c r="AE23" s="253"/>
      <c r="AF23" s="462"/>
      <c r="AG23" s="463"/>
      <c r="AH23" s="462"/>
      <c r="AI23" s="463"/>
      <c r="AJ23" s="462"/>
      <c r="AK23" s="463"/>
      <c r="AL23" s="462"/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6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/>
      <c r="M24" s="249"/>
      <c r="N24" s="249"/>
      <c r="O24" s="249"/>
      <c r="P24" s="249"/>
      <c r="Q24" s="249"/>
      <c r="R24" s="249"/>
      <c r="S24" s="249"/>
      <c r="T24" s="249"/>
      <c r="U24" s="250"/>
      <c r="V24" s="214"/>
      <c r="W24" s="249"/>
      <c r="X24" s="249"/>
      <c r="Y24" s="249"/>
      <c r="Z24" s="249"/>
      <c r="AA24" s="250"/>
      <c r="AB24" s="251"/>
      <c r="AC24" s="252"/>
      <c r="AD24" s="252"/>
      <c r="AE24" s="253"/>
      <c r="AF24" s="462"/>
      <c r="AG24" s="463"/>
      <c r="AH24" s="462"/>
      <c r="AI24" s="463"/>
      <c r="AJ24" s="462"/>
      <c r="AK24" s="463"/>
      <c r="AL24" s="462"/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0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 t="str">
        <f t="shared" ref="A35:A39" si="2">IF(B35&lt;&gt;"",ROW()-34,"")</f>
        <v/>
      </c>
      <c r="B35" s="214"/>
      <c r="C35" s="249"/>
      <c r="D35" s="249"/>
      <c r="E35" s="249"/>
      <c r="F35" s="249"/>
      <c r="G35" s="249"/>
      <c r="H35" s="249"/>
      <c r="I35" s="249"/>
      <c r="J35" s="249"/>
      <c r="K35" s="250"/>
      <c r="L35" s="214"/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/>
      <c r="BJ35" s="194"/>
    </row>
    <row r="36" spans="1:62" s="75" customFormat="1" ht="14.1" customHeight="1">
      <c r="A36" s="157" t="str">
        <f t="shared" si="2"/>
        <v/>
      </c>
      <c r="B36" s="214"/>
      <c r="C36" s="249"/>
      <c r="D36" s="249"/>
      <c r="E36" s="249"/>
      <c r="F36" s="249"/>
      <c r="G36" s="249"/>
      <c r="H36" s="249"/>
      <c r="I36" s="249"/>
      <c r="J36" s="249"/>
      <c r="K36" s="250"/>
      <c r="L36" s="214"/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/>
      <c r="BJ36" s="194"/>
    </row>
    <row r="37" spans="1:62" s="75" customFormat="1" ht="14.1" customHeight="1">
      <c r="A37" s="157" t="str">
        <f t="shared" si="2"/>
        <v/>
      </c>
      <c r="B37" s="214"/>
      <c r="C37" s="249"/>
      <c r="D37" s="249"/>
      <c r="E37" s="249"/>
      <c r="F37" s="249"/>
      <c r="G37" s="249"/>
      <c r="H37" s="249"/>
      <c r="I37" s="249"/>
      <c r="J37" s="249"/>
      <c r="K37" s="250"/>
      <c r="L37" s="214"/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/>
      <c r="BJ37" s="194"/>
    </row>
    <row r="38" spans="1:62" ht="14.1" customHeight="1">
      <c r="A38" s="157" t="str">
        <f t="shared" si="2"/>
        <v/>
      </c>
      <c r="B38" s="214"/>
      <c r="C38" s="249"/>
      <c r="D38" s="249"/>
      <c r="E38" s="249"/>
      <c r="F38" s="249"/>
      <c r="G38" s="249"/>
      <c r="H38" s="249"/>
      <c r="I38" s="249"/>
      <c r="J38" s="249"/>
      <c r="K38" s="250"/>
      <c r="L38" s="214"/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572</v>
      </c>
      <c r="BG38" s="197"/>
      <c r="BH38" s="197"/>
      <c r="BI38" s="194"/>
      <c r="BJ38" s="194"/>
    </row>
    <row r="39" spans="1:62" ht="14.1" customHeight="1" thickBot="1">
      <c r="A39" s="158" t="str">
        <f t="shared" si="2"/>
        <v/>
      </c>
      <c r="B39" s="217"/>
      <c r="C39" s="307"/>
      <c r="D39" s="307"/>
      <c r="E39" s="307"/>
      <c r="F39" s="307"/>
      <c r="G39" s="307"/>
      <c r="H39" s="307"/>
      <c r="I39" s="307"/>
      <c r="J39" s="307"/>
      <c r="K39" s="308"/>
      <c r="L39" s="217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9"/>
      <c r="BF39" s="199" t="s">
        <v>577</v>
      </c>
      <c r="BG39" s="197"/>
      <c r="BH39" s="197"/>
      <c r="BI39" s="194"/>
      <c r="BJ39" s="194"/>
    </row>
    <row r="40" spans="1:62" ht="13.5" customHeight="1">
      <c r="BF40" s="3"/>
      <c r="BG40" s="3"/>
      <c r="BH40" s="3"/>
      <c r="BI40" s="3"/>
    </row>
    <row r="41" spans="1:62" ht="13.5" customHeight="1">
      <c r="BF41" s="3"/>
      <c r="BG41" s="3"/>
      <c r="BH41" s="3"/>
      <c r="BI41" s="3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58:61" ht="13.5" customHeight="1">
      <c r="BF49" s="3"/>
      <c r="BG49" s="3"/>
      <c r="BH49" s="3"/>
      <c r="BI49" s="3"/>
    </row>
  </sheetData>
  <mergeCells count="213">
    <mergeCell ref="AP30:BB30"/>
    <mergeCell ref="AP31:BB31"/>
    <mergeCell ref="AP24:BB24"/>
    <mergeCell ref="AP25:BB25"/>
    <mergeCell ref="AP26:BB26"/>
    <mergeCell ref="AP27:BB27"/>
    <mergeCell ref="AP28:BB28"/>
    <mergeCell ref="AP29:BB29"/>
    <mergeCell ref="B39:K39"/>
    <mergeCell ref="L39:BB39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38:K38"/>
    <mergeCell ref="L38:BB38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39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16 AB17:AE17 AB18:AE18 AB19:AE19 AB20:AE20 AB21:AE21 AB22:AE22 AB24:AE31 AB23:AE23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48" max="16383" man="1"/>
  </row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13"/>
  <dimension ref="A1:BJ49"/>
  <sheetViews>
    <sheetView showGridLines="0" zoomScaleNormal="100" workbookViewId="0">
      <selection sqref="A1:G1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712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713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663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54</v>
      </c>
      <c r="W16" s="249"/>
      <c r="X16" s="249"/>
      <c r="Y16" s="249"/>
      <c r="Z16" s="249"/>
      <c r="AA16" s="250"/>
      <c r="AB16" s="251"/>
      <c r="AC16" s="252"/>
      <c r="AD16" s="252"/>
      <c r="AE16" s="253"/>
      <c r="AF16" s="462">
        <v>1</v>
      </c>
      <c r="AG16" s="463"/>
      <c r="AH16" s="462"/>
      <c r="AI16" s="463"/>
      <c r="AJ16" s="462"/>
      <c r="AK16" s="463"/>
      <c r="AL16" s="462">
        <v>1</v>
      </c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7</v>
      </c>
      <c r="BI16" s="197">
        <v>1</v>
      </c>
      <c r="BJ16" s="198"/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664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714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/>
      <c r="AG17" s="463"/>
      <c r="AH17" s="462"/>
      <c r="AI17" s="463"/>
      <c r="AJ17" s="462"/>
      <c r="AK17" s="463"/>
      <c r="AL17" s="462">
        <v>1</v>
      </c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5</v>
      </c>
      <c r="BI17" s="197">
        <v>1</v>
      </c>
      <c r="BJ17" s="198"/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666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57</v>
      </c>
      <c r="W18" s="249"/>
      <c r="X18" s="249"/>
      <c r="Y18" s="249"/>
      <c r="Z18" s="249"/>
      <c r="AA18" s="250"/>
      <c r="AB18" s="251"/>
      <c r="AC18" s="252"/>
      <c r="AD18" s="252"/>
      <c r="AE18" s="253"/>
      <c r="AF18" s="462"/>
      <c r="AG18" s="463"/>
      <c r="AH18" s="462"/>
      <c r="AI18" s="463"/>
      <c r="AJ18" s="462"/>
      <c r="AK18" s="463"/>
      <c r="AL18" s="462"/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11</v>
      </c>
      <c r="BI18" s="197">
        <v>1</v>
      </c>
      <c r="BJ18" s="198"/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/>
      <c r="M19" s="249"/>
      <c r="N19" s="249"/>
      <c r="O19" s="249"/>
      <c r="P19" s="249"/>
      <c r="Q19" s="249"/>
      <c r="R19" s="249"/>
      <c r="S19" s="249"/>
      <c r="T19" s="249"/>
      <c r="U19" s="250"/>
      <c r="V19" s="214"/>
      <c r="W19" s="249"/>
      <c r="X19" s="249"/>
      <c r="Y19" s="249"/>
      <c r="Z19" s="249"/>
      <c r="AA19" s="250"/>
      <c r="AB19" s="251"/>
      <c r="AC19" s="252"/>
      <c r="AD19" s="252"/>
      <c r="AE19" s="253"/>
      <c r="AF19" s="462"/>
      <c r="AG19" s="463"/>
      <c r="AH19" s="462"/>
      <c r="AI19" s="463"/>
      <c r="AJ19" s="462"/>
      <c r="AK19" s="463"/>
      <c r="AL19" s="462"/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0</v>
      </c>
      <c r="BI19" s="197"/>
      <c r="BJ19" s="198"/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/>
      <c r="M20" s="249"/>
      <c r="N20" s="249"/>
      <c r="O20" s="249"/>
      <c r="P20" s="249"/>
      <c r="Q20" s="249"/>
      <c r="R20" s="249"/>
      <c r="S20" s="249"/>
      <c r="T20" s="249"/>
      <c r="U20" s="250"/>
      <c r="V20" s="214"/>
      <c r="W20" s="249"/>
      <c r="X20" s="249"/>
      <c r="Y20" s="249"/>
      <c r="Z20" s="249"/>
      <c r="AA20" s="250"/>
      <c r="AB20" s="251"/>
      <c r="AC20" s="252"/>
      <c r="AD20" s="252"/>
      <c r="AE20" s="253"/>
      <c r="AF20" s="462"/>
      <c r="AG20" s="463"/>
      <c r="AH20" s="462"/>
      <c r="AI20" s="463"/>
      <c r="AJ20" s="462"/>
      <c r="AK20" s="463"/>
      <c r="AL20" s="462"/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0</v>
      </c>
      <c r="BI20" s="197"/>
      <c r="BJ20" s="198"/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/>
      <c r="M21" s="249"/>
      <c r="N21" s="249"/>
      <c r="O21" s="249"/>
      <c r="P21" s="249"/>
      <c r="Q21" s="249"/>
      <c r="R21" s="249"/>
      <c r="S21" s="249"/>
      <c r="T21" s="249"/>
      <c r="U21" s="250"/>
      <c r="V21" s="214"/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/>
      <c r="AK21" s="463"/>
      <c r="AL21" s="462"/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0</v>
      </c>
      <c r="BI21" s="197"/>
      <c r="BJ21" s="198"/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/>
      <c r="M22" s="249"/>
      <c r="N22" s="249"/>
      <c r="O22" s="249"/>
      <c r="P22" s="249"/>
      <c r="Q22" s="249"/>
      <c r="R22" s="249"/>
      <c r="S22" s="249"/>
      <c r="T22" s="249"/>
      <c r="U22" s="250"/>
      <c r="V22" s="214"/>
      <c r="W22" s="249"/>
      <c r="X22" s="249"/>
      <c r="Y22" s="249"/>
      <c r="Z22" s="249"/>
      <c r="AA22" s="250"/>
      <c r="AB22" s="251"/>
      <c r="AC22" s="252"/>
      <c r="AD22" s="252"/>
      <c r="AE22" s="253"/>
      <c r="AF22" s="462"/>
      <c r="AG22" s="463"/>
      <c r="AH22" s="462"/>
      <c r="AI22" s="463"/>
      <c r="AJ22" s="462"/>
      <c r="AK22" s="463"/>
      <c r="AL22" s="462"/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0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/>
      <c r="M23" s="249"/>
      <c r="N23" s="249"/>
      <c r="O23" s="249"/>
      <c r="P23" s="249"/>
      <c r="Q23" s="249"/>
      <c r="R23" s="249"/>
      <c r="S23" s="249"/>
      <c r="T23" s="249"/>
      <c r="U23" s="250"/>
      <c r="V23" s="214"/>
      <c r="W23" s="249"/>
      <c r="X23" s="249"/>
      <c r="Y23" s="249"/>
      <c r="Z23" s="249"/>
      <c r="AA23" s="250"/>
      <c r="AB23" s="251"/>
      <c r="AC23" s="252"/>
      <c r="AD23" s="252"/>
      <c r="AE23" s="253"/>
      <c r="AF23" s="462"/>
      <c r="AG23" s="463"/>
      <c r="AH23" s="462"/>
      <c r="AI23" s="463"/>
      <c r="AJ23" s="462"/>
      <c r="AK23" s="463"/>
      <c r="AL23" s="462"/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0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/>
      <c r="M24" s="249"/>
      <c r="N24" s="249"/>
      <c r="O24" s="249"/>
      <c r="P24" s="249"/>
      <c r="Q24" s="249"/>
      <c r="R24" s="249"/>
      <c r="S24" s="249"/>
      <c r="T24" s="249"/>
      <c r="U24" s="250"/>
      <c r="V24" s="214"/>
      <c r="W24" s="249"/>
      <c r="X24" s="249"/>
      <c r="Y24" s="249"/>
      <c r="Z24" s="249"/>
      <c r="AA24" s="250"/>
      <c r="AB24" s="251"/>
      <c r="AC24" s="252"/>
      <c r="AD24" s="252"/>
      <c r="AE24" s="253"/>
      <c r="AF24" s="462"/>
      <c r="AG24" s="463"/>
      <c r="AH24" s="462"/>
      <c r="AI24" s="463"/>
      <c r="AJ24" s="462"/>
      <c r="AK24" s="463"/>
      <c r="AL24" s="462"/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0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>
        <f>ROW()- 34</f>
        <v>1</v>
      </c>
      <c r="B35" s="214" t="s">
        <v>598</v>
      </c>
      <c r="C35" s="249"/>
      <c r="D35" s="249"/>
      <c r="E35" s="249"/>
      <c r="F35" s="249"/>
      <c r="G35" s="249"/>
      <c r="H35" s="249"/>
      <c r="I35" s="249"/>
      <c r="J35" s="249"/>
      <c r="K35" s="250"/>
      <c r="L35" s="214" t="s">
        <v>663</v>
      </c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 t="s">
        <v>599</v>
      </c>
      <c r="BJ35" s="194" t="s">
        <v>600</v>
      </c>
    </row>
    <row r="36" spans="1:62" s="75" customFormat="1" ht="14.1" customHeight="1">
      <c r="A36" s="157">
        <f>ROW()- 34</f>
        <v>2</v>
      </c>
      <c r="B36" s="214" t="s">
        <v>716</v>
      </c>
      <c r="C36" s="249"/>
      <c r="D36" s="249"/>
      <c r="E36" s="249"/>
      <c r="F36" s="249"/>
      <c r="G36" s="249"/>
      <c r="H36" s="249"/>
      <c r="I36" s="249"/>
      <c r="J36" s="249"/>
      <c r="K36" s="250"/>
      <c r="L36" s="214" t="s">
        <v>717</v>
      </c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 t="s">
        <v>718</v>
      </c>
      <c r="BJ36" s="194" t="s">
        <v>715</v>
      </c>
    </row>
    <row r="37" spans="1:62" s="75" customFormat="1" ht="14.1" customHeight="1">
      <c r="A37" s="157" t="str">
        <f t="shared" ref="A35:A39" si="2">IF(B37&lt;&gt;"",ROW()-34,"")</f>
        <v/>
      </c>
      <c r="B37" s="214"/>
      <c r="C37" s="249"/>
      <c r="D37" s="249"/>
      <c r="E37" s="249"/>
      <c r="F37" s="249"/>
      <c r="G37" s="249"/>
      <c r="H37" s="249"/>
      <c r="I37" s="249"/>
      <c r="J37" s="249"/>
      <c r="K37" s="250"/>
      <c r="L37" s="214"/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/>
      <c r="BJ37" s="194"/>
    </row>
    <row r="38" spans="1:62" ht="14.1" customHeight="1">
      <c r="A38" s="157" t="str">
        <f t="shared" si="2"/>
        <v/>
      </c>
      <c r="B38" s="214"/>
      <c r="C38" s="249"/>
      <c r="D38" s="249"/>
      <c r="E38" s="249"/>
      <c r="F38" s="249"/>
      <c r="G38" s="249"/>
      <c r="H38" s="249"/>
      <c r="I38" s="249"/>
      <c r="J38" s="249"/>
      <c r="K38" s="250"/>
      <c r="L38" s="214"/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572</v>
      </c>
      <c r="BG38" s="197"/>
      <c r="BH38" s="197"/>
      <c r="BI38" s="194"/>
      <c r="BJ38" s="194"/>
    </row>
    <row r="39" spans="1:62" ht="14.1" customHeight="1" thickBot="1">
      <c r="A39" s="158" t="str">
        <f t="shared" si="2"/>
        <v/>
      </c>
      <c r="B39" s="217"/>
      <c r="C39" s="307"/>
      <c r="D39" s="307"/>
      <c r="E39" s="307"/>
      <c r="F39" s="307"/>
      <c r="G39" s="307"/>
      <c r="H39" s="307"/>
      <c r="I39" s="307"/>
      <c r="J39" s="307"/>
      <c r="K39" s="308"/>
      <c r="L39" s="217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9"/>
      <c r="BF39" s="199" t="s">
        <v>577</v>
      </c>
      <c r="BG39" s="197"/>
      <c r="BH39" s="197"/>
      <c r="BI39" s="194"/>
      <c r="BJ39" s="194"/>
    </row>
    <row r="40" spans="1:62" ht="13.5" customHeight="1">
      <c r="BF40" s="3"/>
      <c r="BG40" s="3"/>
      <c r="BH40" s="3"/>
      <c r="BI40" s="3"/>
    </row>
    <row r="41" spans="1:62" ht="13.5" customHeight="1">
      <c r="BF41" s="3"/>
      <c r="BG41" s="3"/>
      <c r="BH41" s="3"/>
      <c r="BI41" s="3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58:61" ht="13.5" customHeight="1">
      <c r="BF49" s="3"/>
      <c r="BG49" s="3"/>
      <c r="BH49" s="3"/>
      <c r="BI49" s="3"/>
    </row>
  </sheetData>
  <mergeCells count="213">
    <mergeCell ref="AP30:BB30"/>
    <mergeCell ref="AP31:BB31"/>
    <mergeCell ref="AP24:BB24"/>
    <mergeCell ref="AP25:BB25"/>
    <mergeCell ref="AP26:BB26"/>
    <mergeCell ref="AP27:BB27"/>
    <mergeCell ref="AP28:BB28"/>
    <mergeCell ref="AP29:BB29"/>
    <mergeCell ref="B39:K39"/>
    <mergeCell ref="L39:BB39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38:K38"/>
    <mergeCell ref="L38:BB38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39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16 AB17:AE17 AB19:AE31 AB18:AE18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48" max="16383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14"/>
  <dimension ref="A1:BJ50"/>
  <sheetViews>
    <sheetView showGridLines="0" zoomScaleNormal="100" workbookViewId="0">
      <selection sqref="A1:G1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719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720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721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722</v>
      </c>
      <c r="W16" s="249"/>
      <c r="X16" s="249"/>
      <c r="Y16" s="249"/>
      <c r="Z16" s="249"/>
      <c r="AA16" s="250"/>
      <c r="AB16" s="251" t="s">
        <v>592</v>
      </c>
      <c r="AC16" s="252"/>
      <c r="AD16" s="252"/>
      <c r="AE16" s="253"/>
      <c r="AF16" s="462">
        <v>1</v>
      </c>
      <c r="AG16" s="463"/>
      <c r="AH16" s="462"/>
      <c r="AI16" s="463"/>
      <c r="AJ16" s="462"/>
      <c r="AK16" s="463"/>
      <c r="AL16" s="462">
        <v>1</v>
      </c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12</v>
      </c>
      <c r="BI16" s="197">
        <v>1</v>
      </c>
      <c r="BJ16" s="198"/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663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591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/>
      <c r="AG17" s="463"/>
      <c r="AH17" s="462"/>
      <c r="AI17" s="463"/>
      <c r="AJ17" s="462">
        <v>1</v>
      </c>
      <c r="AK17" s="463"/>
      <c r="AL17" s="462">
        <v>1</v>
      </c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7</v>
      </c>
      <c r="BI17" s="197">
        <v>1</v>
      </c>
      <c r="BJ17" s="198" t="s">
        <v>699</v>
      </c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639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629</v>
      </c>
      <c r="W18" s="249"/>
      <c r="X18" s="249"/>
      <c r="Y18" s="249"/>
      <c r="Z18" s="249"/>
      <c r="AA18" s="250"/>
      <c r="AB18" s="251"/>
      <c r="AC18" s="252"/>
      <c r="AD18" s="252"/>
      <c r="AE18" s="253"/>
      <c r="AF18" s="462"/>
      <c r="AG18" s="463"/>
      <c r="AH18" s="462"/>
      <c r="AI18" s="463"/>
      <c r="AJ18" s="462">
        <v>1</v>
      </c>
      <c r="AK18" s="463"/>
      <c r="AL18" s="462">
        <v>1</v>
      </c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8</v>
      </c>
      <c r="BI18" s="197">
        <v>1</v>
      </c>
      <c r="BJ18" s="198" t="s">
        <v>650</v>
      </c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 t="s">
        <v>596</v>
      </c>
      <c r="M19" s="249"/>
      <c r="N19" s="249"/>
      <c r="O19" s="249"/>
      <c r="P19" s="249"/>
      <c r="Q19" s="249"/>
      <c r="R19" s="249"/>
      <c r="S19" s="249"/>
      <c r="T19" s="249"/>
      <c r="U19" s="250"/>
      <c r="V19" s="214" t="s">
        <v>61</v>
      </c>
      <c r="W19" s="249"/>
      <c r="X19" s="249"/>
      <c r="Y19" s="249"/>
      <c r="Z19" s="249"/>
      <c r="AA19" s="250"/>
      <c r="AB19" s="251" t="s">
        <v>597</v>
      </c>
      <c r="AC19" s="252"/>
      <c r="AD19" s="252"/>
      <c r="AE19" s="253"/>
      <c r="AF19" s="462"/>
      <c r="AG19" s="463"/>
      <c r="AH19" s="462"/>
      <c r="AI19" s="463"/>
      <c r="AJ19" s="462"/>
      <c r="AK19" s="463"/>
      <c r="AL19" s="462">
        <v>1</v>
      </c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11</v>
      </c>
      <c r="BI19" s="197"/>
      <c r="BJ19" s="198"/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/>
      <c r="M20" s="249"/>
      <c r="N20" s="249"/>
      <c r="O20" s="249"/>
      <c r="P20" s="249"/>
      <c r="Q20" s="249"/>
      <c r="R20" s="249"/>
      <c r="S20" s="249"/>
      <c r="T20" s="249"/>
      <c r="U20" s="250"/>
      <c r="V20" s="214"/>
      <c r="W20" s="249"/>
      <c r="X20" s="249"/>
      <c r="Y20" s="249"/>
      <c r="Z20" s="249"/>
      <c r="AA20" s="250"/>
      <c r="AB20" s="251"/>
      <c r="AC20" s="252"/>
      <c r="AD20" s="252"/>
      <c r="AE20" s="253"/>
      <c r="AF20" s="462"/>
      <c r="AG20" s="463"/>
      <c r="AH20" s="462"/>
      <c r="AI20" s="463"/>
      <c r="AJ20" s="462"/>
      <c r="AK20" s="463"/>
      <c r="AL20" s="462"/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0</v>
      </c>
      <c r="BI20" s="197"/>
      <c r="BJ20" s="198"/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/>
      <c r="M21" s="249"/>
      <c r="N21" s="249"/>
      <c r="O21" s="249"/>
      <c r="P21" s="249"/>
      <c r="Q21" s="249"/>
      <c r="R21" s="249"/>
      <c r="S21" s="249"/>
      <c r="T21" s="249"/>
      <c r="U21" s="250"/>
      <c r="V21" s="214"/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/>
      <c r="AK21" s="463"/>
      <c r="AL21" s="462"/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0</v>
      </c>
      <c r="BI21" s="197"/>
      <c r="BJ21" s="198"/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/>
      <c r="M22" s="249"/>
      <c r="N22" s="249"/>
      <c r="O22" s="249"/>
      <c r="P22" s="249"/>
      <c r="Q22" s="249"/>
      <c r="R22" s="249"/>
      <c r="S22" s="249"/>
      <c r="T22" s="249"/>
      <c r="U22" s="250"/>
      <c r="V22" s="214"/>
      <c r="W22" s="249"/>
      <c r="X22" s="249"/>
      <c r="Y22" s="249"/>
      <c r="Z22" s="249"/>
      <c r="AA22" s="250"/>
      <c r="AB22" s="251"/>
      <c r="AC22" s="252"/>
      <c r="AD22" s="252"/>
      <c r="AE22" s="253"/>
      <c r="AF22" s="462"/>
      <c r="AG22" s="463"/>
      <c r="AH22" s="462"/>
      <c r="AI22" s="463"/>
      <c r="AJ22" s="462"/>
      <c r="AK22" s="463"/>
      <c r="AL22" s="462"/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0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/>
      <c r="M23" s="249"/>
      <c r="N23" s="249"/>
      <c r="O23" s="249"/>
      <c r="P23" s="249"/>
      <c r="Q23" s="249"/>
      <c r="R23" s="249"/>
      <c r="S23" s="249"/>
      <c r="T23" s="249"/>
      <c r="U23" s="250"/>
      <c r="V23" s="214"/>
      <c r="W23" s="249"/>
      <c r="X23" s="249"/>
      <c r="Y23" s="249"/>
      <c r="Z23" s="249"/>
      <c r="AA23" s="250"/>
      <c r="AB23" s="251"/>
      <c r="AC23" s="252"/>
      <c r="AD23" s="252"/>
      <c r="AE23" s="253"/>
      <c r="AF23" s="462"/>
      <c r="AG23" s="463"/>
      <c r="AH23" s="462"/>
      <c r="AI23" s="463"/>
      <c r="AJ23" s="462"/>
      <c r="AK23" s="463"/>
      <c r="AL23" s="462"/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0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/>
      <c r="M24" s="249"/>
      <c r="N24" s="249"/>
      <c r="O24" s="249"/>
      <c r="P24" s="249"/>
      <c r="Q24" s="249"/>
      <c r="R24" s="249"/>
      <c r="S24" s="249"/>
      <c r="T24" s="249"/>
      <c r="U24" s="250"/>
      <c r="V24" s="214"/>
      <c r="W24" s="249"/>
      <c r="X24" s="249"/>
      <c r="Y24" s="249"/>
      <c r="Z24" s="249"/>
      <c r="AA24" s="250"/>
      <c r="AB24" s="251"/>
      <c r="AC24" s="252"/>
      <c r="AD24" s="252"/>
      <c r="AE24" s="253"/>
      <c r="AF24" s="462"/>
      <c r="AG24" s="463"/>
      <c r="AH24" s="462"/>
      <c r="AI24" s="463"/>
      <c r="AJ24" s="462"/>
      <c r="AK24" s="463"/>
      <c r="AL24" s="462"/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0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>
        <f>ROW()- 34</f>
        <v>1</v>
      </c>
      <c r="B35" s="214" t="s">
        <v>598</v>
      </c>
      <c r="C35" s="249"/>
      <c r="D35" s="249"/>
      <c r="E35" s="249"/>
      <c r="F35" s="249"/>
      <c r="G35" s="249"/>
      <c r="H35" s="249"/>
      <c r="I35" s="249"/>
      <c r="J35" s="249"/>
      <c r="K35" s="250"/>
      <c r="L35" s="214" t="s">
        <v>721</v>
      </c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 t="s">
        <v>599</v>
      </c>
      <c r="BJ35" s="194" t="s">
        <v>600</v>
      </c>
    </row>
    <row r="36" spans="1:62" s="75" customFormat="1" ht="14.1" customHeight="1">
      <c r="A36" s="157">
        <f>ROW()- 34</f>
        <v>2</v>
      </c>
      <c r="B36" s="214" t="s">
        <v>696</v>
      </c>
      <c r="C36" s="249"/>
      <c r="D36" s="249"/>
      <c r="E36" s="249"/>
      <c r="F36" s="249"/>
      <c r="G36" s="249"/>
      <c r="H36" s="249"/>
      <c r="I36" s="249"/>
      <c r="J36" s="249"/>
      <c r="K36" s="250"/>
      <c r="L36" s="214" t="s">
        <v>663</v>
      </c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 t="s">
        <v>602</v>
      </c>
      <c r="BJ36" s="194" t="s">
        <v>600</v>
      </c>
    </row>
    <row r="37" spans="1:62" s="75" customFormat="1" ht="14.1" customHeight="1">
      <c r="A37" s="157">
        <f>ROW()- 34</f>
        <v>3</v>
      </c>
      <c r="B37" s="214" t="s">
        <v>723</v>
      </c>
      <c r="C37" s="249"/>
      <c r="D37" s="249"/>
      <c r="E37" s="249"/>
      <c r="F37" s="249"/>
      <c r="G37" s="249"/>
      <c r="H37" s="249"/>
      <c r="I37" s="249"/>
      <c r="J37" s="249"/>
      <c r="K37" s="250"/>
      <c r="L37" s="214" t="s">
        <v>724</v>
      </c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 t="s">
        <v>718</v>
      </c>
      <c r="BJ37" s="194" t="s">
        <v>600</v>
      </c>
    </row>
    <row r="38" spans="1:62" ht="14.1" customHeight="1">
      <c r="A38" s="157">
        <f t="shared" ref="A38" si="2">IF(B38&lt;&gt;"",ROW()-34,"")</f>
        <v>4</v>
      </c>
      <c r="B38" s="214" t="s">
        <v>725</v>
      </c>
      <c r="C38" s="249"/>
      <c r="D38" s="249"/>
      <c r="E38" s="249"/>
      <c r="F38" s="249"/>
      <c r="G38" s="249"/>
      <c r="H38" s="249"/>
      <c r="I38" s="249"/>
      <c r="J38" s="249"/>
      <c r="K38" s="250"/>
      <c r="L38" s="214" t="s">
        <v>663</v>
      </c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622</v>
      </c>
      <c r="BG38" s="197"/>
      <c r="BH38" s="197"/>
      <c r="BI38" s="194"/>
      <c r="BJ38" s="194" t="s">
        <v>625</v>
      </c>
    </row>
    <row r="39" spans="1:62" ht="14.1" customHeight="1">
      <c r="A39" s="157">
        <f t="shared" ref="A35:A40" si="3">IF(B39&lt;&gt;"",ROW()-34,"")</f>
        <v>5</v>
      </c>
      <c r="B39" s="214" t="s">
        <v>726</v>
      </c>
      <c r="C39" s="249"/>
      <c r="D39" s="249"/>
      <c r="E39" s="249"/>
      <c r="F39" s="249"/>
      <c r="G39" s="249"/>
      <c r="H39" s="249"/>
      <c r="I39" s="249"/>
      <c r="J39" s="249"/>
      <c r="K39" s="250"/>
      <c r="L39" s="214" t="s">
        <v>639</v>
      </c>
      <c r="M39" s="215"/>
      <c r="N39" s="215"/>
      <c r="O39" s="215"/>
      <c r="P39" s="215"/>
      <c r="Q39" s="215"/>
      <c r="R39" s="215"/>
      <c r="S39" s="215"/>
      <c r="T39" s="215"/>
      <c r="U39" s="215"/>
      <c r="V39" s="215"/>
      <c r="W39" s="215"/>
      <c r="X39" s="215"/>
      <c r="Y39" s="215"/>
      <c r="Z39" s="215"/>
      <c r="AA39" s="215"/>
      <c r="AB39" s="215"/>
      <c r="AC39" s="215"/>
      <c r="AD39" s="215"/>
      <c r="AE39" s="215"/>
      <c r="AF39" s="215"/>
      <c r="AG39" s="215"/>
      <c r="AH39" s="215"/>
      <c r="AI39" s="215"/>
      <c r="AJ39" s="215"/>
      <c r="AK39" s="215"/>
      <c r="AL39" s="215"/>
      <c r="AM39" s="215"/>
      <c r="AN39" s="215"/>
      <c r="AO39" s="215"/>
      <c r="AP39" s="215"/>
      <c r="AQ39" s="215"/>
      <c r="AR39" s="215"/>
      <c r="AS39" s="215"/>
      <c r="AT39" s="215"/>
      <c r="AU39" s="215"/>
      <c r="AV39" s="215"/>
      <c r="AW39" s="215"/>
      <c r="AX39" s="215"/>
      <c r="AY39" s="215"/>
      <c r="AZ39" s="215"/>
      <c r="BA39" s="215"/>
      <c r="BB39" s="216"/>
      <c r="BF39" s="199" t="s">
        <v>572</v>
      </c>
      <c r="BG39" s="197"/>
      <c r="BH39" s="197"/>
      <c r="BI39" s="194"/>
      <c r="BJ39" s="194" t="s">
        <v>625</v>
      </c>
    </row>
    <row r="40" spans="1:62" ht="14.1" customHeight="1" thickBot="1">
      <c r="A40" s="158" t="str">
        <f t="shared" si="3"/>
        <v/>
      </c>
      <c r="B40" s="217"/>
      <c r="C40" s="307"/>
      <c r="D40" s="307"/>
      <c r="E40" s="307"/>
      <c r="F40" s="307"/>
      <c r="G40" s="307"/>
      <c r="H40" s="307"/>
      <c r="I40" s="307"/>
      <c r="J40" s="307"/>
      <c r="K40" s="308"/>
      <c r="L40" s="217"/>
      <c r="M40" s="218"/>
      <c r="N40" s="218"/>
      <c r="O40" s="218"/>
      <c r="P40" s="218"/>
      <c r="Q40" s="218"/>
      <c r="R40" s="218"/>
      <c r="S40" s="218"/>
      <c r="T40" s="218"/>
      <c r="U40" s="218"/>
      <c r="V40" s="218"/>
      <c r="W40" s="218"/>
      <c r="X40" s="218"/>
      <c r="Y40" s="218"/>
      <c r="Z40" s="218"/>
      <c r="AA40" s="218"/>
      <c r="AB40" s="218"/>
      <c r="AC40" s="218"/>
      <c r="AD40" s="218"/>
      <c r="AE40" s="218"/>
      <c r="AF40" s="218"/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18"/>
      <c r="AU40" s="218"/>
      <c r="AV40" s="218"/>
      <c r="AW40" s="218"/>
      <c r="AX40" s="218"/>
      <c r="AY40" s="218"/>
      <c r="AZ40" s="218"/>
      <c r="BA40" s="218"/>
      <c r="BB40" s="219"/>
      <c r="BF40" s="199" t="s">
        <v>577</v>
      </c>
      <c r="BG40" s="197"/>
      <c r="BH40" s="197"/>
      <c r="BI40" s="194"/>
      <c r="BJ40" s="194"/>
    </row>
    <row r="41" spans="1:62" ht="13.5" customHeight="1">
      <c r="BF41" s="3"/>
      <c r="BG41" s="3"/>
      <c r="BH41" s="3"/>
      <c r="BI41" s="3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1:61" ht="13.5" customHeight="1">
      <c r="BF49" s="3"/>
      <c r="BG49" s="3"/>
      <c r="BH49" s="3"/>
      <c r="BI49" s="3"/>
    </row>
    <row r="50" spans="1:61" s="196" customFormat="1" ht="13.5" customHeight="1">
      <c r="A50" s="78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/>
      <c r="BD50"/>
      <c r="BE50" s="78"/>
      <c r="BF50" s="3"/>
      <c r="BG50" s="3"/>
      <c r="BH50" s="3"/>
      <c r="BI50" s="3"/>
    </row>
  </sheetData>
  <mergeCells count="215">
    <mergeCell ref="AP30:BB30"/>
    <mergeCell ref="AP31:BB31"/>
    <mergeCell ref="B38:K38"/>
    <mergeCell ref="L38:BB38"/>
    <mergeCell ref="AP24:BB24"/>
    <mergeCell ref="AP25:BB25"/>
    <mergeCell ref="AP26:BB26"/>
    <mergeCell ref="AP27:BB27"/>
    <mergeCell ref="AP28:BB28"/>
    <mergeCell ref="AP29:BB29"/>
    <mergeCell ref="B40:K40"/>
    <mergeCell ref="L40:BB40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39:K39"/>
    <mergeCell ref="L39:BB39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40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31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49" max="16383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15"/>
  <dimension ref="A1:BJ49"/>
  <sheetViews>
    <sheetView showGridLines="0" zoomScaleNormal="100" workbookViewId="0">
      <selection sqref="A1:G1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727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728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669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629</v>
      </c>
      <c r="W16" s="249"/>
      <c r="X16" s="249"/>
      <c r="Y16" s="249"/>
      <c r="Z16" s="249"/>
      <c r="AA16" s="250"/>
      <c r="AB16" s="251" t="s">
        <v>592</v>
      </c>
      <c r="AC16" s="252"/>
      <c r="AD16" s="252"/>
      <c r="AE16" s="253"/>
      <c r="AF16" s="462">
        <v>1</v>
      </c>
      <c r="AG16" s="463"/>
      <c r="AH16" s="462"/>
      <c r="AI16" s="463"/>
      <c r="AJ16" s="462"/>
      <c r="AK16" s="463"/>
      <c r="AL16" s="462">
        <v>1</v>
      </c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11</v>
      </c>
      <c r="BI16" s="197">
        <v>1</v>
      </c>
      <c r="BJ16" s="198"/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630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729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/>
      <c r="AG17" s="463"/>
      <c r="AH17" s="462"/>
      <c r="AI17" s="463"/>
      <c r="AJ17" s="462"/>
      <c r="AK17" s="463"/>
      <c r="AL17" s="462">
        <v>1</v>
      </c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4</v>
      </c>
      <c r="BI17" s="197"/>
      <c r="BJ17" s="198"/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596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61</v>
      </c>
      <c r="W18" s="249"/>
      <c r="X18" s="249"/>
      <c r="Y18" s="249"/>
      <c r="Z18" s="249"/>
      <c r="AA18" s="250"/>
      <c r="AB18" s="251" t="s">
        <v>597</v>
      </c>
      <c r="AC18" s="252"/>
      <c r="AD18" s="252"/>
      <c r="AE18" s="253"/>
      <c r="AF18" s="462"/>
      <c r="AG18" s="463"/>
      <c r="AH18" s="462"/>
      <c r="AI18" s="463"/>
      <c r="AJ18" s="462"/>
      <c r="AK18" s="463"/>
      <c r="AL18" s="462">
        <v>1</v>
      </c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11</v>
      </c>
      <c r="BI18" s="197"/>
      <c r="BJ18" s="198"/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/>
      <c r="M19" s="249"/>
      <c r="N19" s="249"/>
      <c r="O19" s="249"/>
      <c r="P19" s="249"/>
      <c r="Q19" s="249"/>
      <c r="R19" s="249"/>
      <c r="S19" s="249"/>
      <c r="T19" s="249"/>
      <c r="U19" s="250"/>
      <c r="V19" s="214"/>
      <c r="W19" s="249"/>
      <c r="X19" s="249"/>
      <c r="Y19" s="249"/>
      <c r="Z19" s="249"/>
      <c r="AA19" s="250"/>
      <c r="AB19" s="251"/>
      <c r="AC19" s="252"/>
      <c r="AD19" s="252"/>
      <c r="AE19" s="253"/>
      <c r="AF19" s="462"/>
      <c r="AG19" s="463"/>
      <c r="AH19" s="462"/>
      <c r="AI19" s="463"/>
      <c r="AJ19" s="462"/>
      <c r="AK19" s="463"/>
      <c r="AL19" s="462"/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0</v>
      </c>
      <c r="BI19" s="197"/>
      <c r="BJ19" s="198"/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/>
      <c r="M20" s="249"/>
      <c r="N20" s="249"/>
      <c r="O20" s="249"/>
      <c r="P20" s="249"/>
      <c r="Q20" s="249"/>
      <c r="R20" s="249"/>
      <c r="S20" s="249"/>
      <c r="T20" s="249"/>
      <c r="U20" s="250"/>
      <c r="V20" s="214"/>
      <c r="W20" s="249"/>
      <c r="X20" s="249"/>
      <c r="Y20" s="249"/>
      <c r="Z20" s="249"/>
      <c r="AA20" s="250"/>
      <c r="AB20" s="251"/>
      <c r="AC20" s="252"/>
      <c r="AD20" s="252"/>
      <c r="AE20" s="253"/>
      <c r="AF20" s="462"/>
      <c r="AG20" s="463"/>
      <c r="AH20" s="462"/>
      <c r="AI20" s="463"/>
      <c r="AJ20" s="462"/>
      <c r="AK20" s="463"/>
      <c r="AL20" s="462"/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0</v>
      </c>
      <c r="BI20" s="197"/>
      <c r="BJ20" s="198"/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/>
      <c r="M21" s="249"/>
      <c r="N21" s="249"/>
      <c r="O21" s="249"/>
      <c r="P21" s="249"/>
      <c r="Q21" s="249"/>
      <c r="R21" s="249"/>
      <c r="S21" s="249"/>
      <c r="T21" s="249"/>
      <c r="U21" s="250"/>
      <c r="V21" s="214"/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/>
      <c r="AK21" s="463"/>
      <c r="AL21" s="462"/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0</v>
      </c>
      <c r="BI21" s="197"/>
      <c r="BJ21" s="198"/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/>
      <c r="M22" s="249"/>
      <c r="N22" s="249"/>
      <c r="O22" s="249"/>
      <c r="P22" s="249"/>
      <c r="Q22" s="249"/>
      <c r="R22" s="249"/>
      <c r="S22" s="249"/>
      <c r="T22" s="249"/>
      <c r="U22" s="250"/>
      <c r="V22" s="214"/>
      <c r="W22" s="249"/>
      <c r="X22" s="249"/>
      <c r="Y22" s="249"/>
      <c r="Z22" s="249"/>
      <c r="AA22" s="250"/>
      <c r="AB22" s="251"/>
      <c r="AC22" s="252"/>
      <c r="AD22" s="252"/>
      <c r="AE22" s="253"/>
      <c r="AF22" s="462"/>
      <c r="AG22" s="463"/>
      <c r="AH22" s="462"/>
      <c r="AI22" s="463"/>
      <c r="AJ22" s="462"/>
      <c r="AK22" s="463"/>
      <c r="AL22" s="462"/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0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/>
      <c r="M23" s="249"/>
      <c r="N23" s="249"/>
      <c r="O23" s="249"/>
      <c r="P23" s="249"/>
      <c r="Q23" s="249"/>
      <c r="R23" s="249"/>
      <c r="S23" s="249"/>
      <c r="T23" s="249"/>
      <c r="U23" s="250"/>
      <c r="V23" s="214"/>
      <c r="W23" s="249"/>
      <c r="X23" s="249"/>
      <c r="Y23" s="249"/>
      <c r="Z23" s="249"/>
      <c r="AA23" s="250"/>
      <c r="AB23" s="251"/>
      <c r="AC23" s="252"/>
      <c r="AD23" s="252"/>
      <c r="AE23" s="253"/>
      <c r="AF23" s="462"/>
      <c r="AG23" s="463"/>
      <c r="AH23" s="462"/>
      <c r="AI23" s="463"/>
      <c r="AJ23" s="462"/>
      <c r="AK23" s="463"/>
      <c r="AL23" s="462"/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0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/>
      <c r="M24" s="249"/>
      <c r="N24" s="249"/>
      <c r="O24" s="249"/>
      <c r="P24" s="249"/>
      <c r="Q24" s="249"/>
      <c r="R24" s="249"/>
      <c r="S24" s="249"/>
      <c r="T24" s="249"/>
      <c r="U24" s="250"/>
      <c r="V24" s="214"/>
      <c r="W24" s="249"/>
      <c r="X24" s="249"/>
      <c r="Y24" s="249"/>
      <c r="Z24" s="249"/>
      <c r="AA24" s="250"/>
      <c r="AB24" s="251"/>
      <c r="AC24" s="252"/>
      <c r="AD24" s="252"/>
      <c r="AE24" s="253"/>
      <c r="AF24" s="462"/>
      <c r="AG24" s="463"/>
      <c r="AH24" s="462"/>
      <c r="AI24" s="463"/>
      <c r="AJ24" s="462"/>
      <c r="AK24" s="463"/>
      <c r="AL24" s="462"/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0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>
        <f>ROW()- 34</f>
        <v>1</v>
      </c>
      <c r="B35" s="214" t="s">
        <v>598</v>
      </c>
      <c r="C35" s="249"/>
      <c r="D35" s="249"/>
      <c r="E35" s="249"/>
      <c r="F35" s="249"/>
      <c r="G35" s="249"/>
      <c r="H35" s="249"/>
      <c r="I35" s="249"/>
      <c r="J35" s="249"/>
      <c r="K35" s="250"/>
      <c r="L35" s="214" t="s">
        <v>669</v>
      </c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 t="s">
        <v>599</v>
      </c>
      <c r="BJ35" s="194" t="s">
        <v>600</v>
      </c>
    </row>
    <row r="36" spans="1:62" s="75" customFormat="1" ht="14.1" customHeight="1">
      <c r="A36" s="157" t="str">
        <f t="shared" ref="A35:A39" si="2">IF(B36&lt;&gt;"",ROW()-34,"")</f>
        <v/>
      </c>
      <c r="B36" s="214"/>
      <c r="C36" s="249"/>
      <c r="D36" s="249"/>
      <c r="E36" s="249"/>
      <c r="F36" s="249"/>
      <c r="G36" s="249"/>
      <c r="H36" s="249"/>
      <c r="I36" s="249"/>
      <c r="J36" s="249"/>
      <c r="K36" s="250"/>
      <c r="L36" s="214"/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/>
      <c r="BJ36" s="194"/>
    </row>
    <row r="37" spans="1:62" s="75" customFormat="1" ht="14.1" customHeight="1">
      <c r="A37" s="157" t="str">
        <f t="shared" si="2"/>
        <v/>
      </c>
      <c r="B37" s="214"/>
      <c r="C37" s="249"/>
      <c r="D37" s="249"/>
      <c r="E37" s="249"/>
      <c r="F37" s="249"/>
      <c r="G37" s="249"/>
      <c r="H37" s="249"/>
      <c r="I37" s="249"/>
      <c r="J37" s="249"/>
      <c r="K37" s="250"/>
      <c r="L37" s="214"/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/>
      <c r="BJ37" s="194"/>
    </row>
    <row r="38" spans="1:62" ht="14.1" customHeight="1">
      <c r="A38" s="157" t="str">
        <f t="shared" si="2"/>
        <v/>
      </c>
      <c r="B38" s="214"/>
      <c r="C38" s="249"/>
      <c r="D38" s="249"/>
      <c r="E38" s="249"/>
      <c r="F38" s="249"/>
      <c r="G38" s="249"/>
      <c r="H38" s="249"/>
      <c r="I38" s="249"/>
      <c r="J38" s="249"/>
      <c r="K38" s="250"/>
      <c r="L38" s="214"/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572</v>
      </c>
      <c r="BG38" s="197"/>
      <c r="BH38" s="197"/>
      <c r="BI38" s="194"/>
      <c r="BJ38" s="194"/>
    </row>
    <row r="39" spans="1:62" ht="14.1" customHeight="1" thickBot="1">
      <c r="A39" s="158" t="str">
        <f t="shared" si="2"/>
        <v/>
      </c>
      <c r="B39" s="217"/>
      <c r="C39" s="307"/>
      <c r="D39" s="307"/>
      <c r="E39" s="307"/>
      <c r="F39" s="307"/>
      <c r="G39" s="307"/>
      <c r="H39" s="307"/>
      <c r="I39" s="307"/>
      <c r="J39" s="307"/>
      <c r="K39" s="308"/>
      <c r="L39" s="217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9"/>
      <c r="BF39" s="199" t="s">
        <v>577</v>
      </c>
      <c r="BG39" s="197"/>
      <c r="BH39" s="197"/>
      <c r="BI39" s="194"/>
      <c r="BJ39" s="194"/>
    </row>
    <row r="40" spans="1:62" ht="13.5" customHeight="1">
      <c r="BF40" s="3"/>
      <c r="BG40" s="3"/>
      <c r="BH40" s="3"/>
      <c r="BI40" s="3"/>
    </row>
    <row r="41" spans="1:62" ht="13.5" customHeight="1">
      <c r="BF41" s="3"/>
      <c r="BG41" s="3"/>
      <c r="BH41" s="3"/>
      <c r="BI41" s="3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58:61" ht="13.5" customHeight="1">
      <c r="BF49" s="3"/>
      <c r="BG49" s="3"/>
      <c r="BH49" s="3"/>
      <c r="BI49" s="3"/>
    </row>
  </sheetData>
  <mergeCells count="213">
    <mergeCell ref="AP30:BB30"/>
    <mergeCell ref="AP31:BB31"/>
    <mergeCell ref="AP24:BB24"/>
    <mergeCell ref="AP25:BB25"/>
    <mergeCell ref="AP26:BB26"/>
    <mergeCell ref="AP27:BB27"/>
    <mergeCell ref="AP28:BB28"/>
    <mergeCell ref="AP29:BB29"/>
    <mergeCell ref="B39:K39"/>
    <mergeCell ref="L39:BB39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38:K38"/>
    <mergeCell ref="L38:BB38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39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16 AB17:AE17 AB19:AE31 AB18:AE18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48" max="16383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16"/>
  <dimension ref="A1:BJ49"/>
  <sheetViews>
    <sheetView showGridLines="0" zoomScaleNormal="100" workbookViewId="0">
      <selection sqref="A1:G1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730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731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 t="s">
        <v>605</v>
      </c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709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591</v>
      </c>
      <c r="W16" s="249"/>
      <c r="X16" s="249"/>
      <c r="Y16" s="249"/>
      <c r="Z16" s="249"/>
      <c r="AA16" s="250"/>
      <c r="AB16" s="251" t="s">
        <v>606</v>
      </c>
      <c r="AC16" s="252"/>
      <c r="AD16" s="252"/>
      <c r="AE16" s="253"/>
      <c r="AF16" s="462"/>
      <c r="AG16" s="463"/>
      <c r="AH16" s="462"/>
      <c r="AI16" s="463"/>
      <c r="AJ16" s="462"/>
      <c r="AK16" s="463"/>
      <c r="AL16" s="462"/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3</v>
      </c>
      <c r="BI16" s="197"/>
      <c r="BJ16" s="198"/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664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665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/>
      <c r="AG17" s="463"/>
      <c r="AH17" s="462"/>
      <c r="AI17" s="463"/>
      <c r="AJ17" s="462"/>
      <c r="AK17" s="463"/>
      <c r="AL17" s="462"/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5</v>
      </c>
      <c r="BI17" s="197"/>
      <c r="BJ17" s="198"/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666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57</v>
      </c>
      <c r="W18" s="249"/>
      <c r="X18" s="249"/>
      <c r="Y18" s="249"/>
      <c r="Z18" s="249"/>
      <c r="AA18" s="250"/>
      <c r="AB18" s="251"/>
      <c r="AC18" s="252"/>
      <c r="AD18" s="252"/>
      <c r="AE18" s="253"/>
      <c r="AF18" s="462"/>
      <c r="AG18" s="463"/>
      <c r="AH18" s="462"/>
      <c r="AI18" s="463"/>
      <c r="AJ18" s="462"/>
      <c r="AK18" s="463"/>
      <c r="AL18" s="462"/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11</v>
      </c>
      <c r="BI18" s="197"/>
      <c r="BJ18" s="198"/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 t="s">
        <v>627</v>
      </c>
      <c r="M19" s="249"/>
      <c r="N19" s="249"/>
      <c r="O19" s="249"/>
      <c r="P19" s="249"/>
      <c r="Q19" s="249"/>
      <c r="R19" s="249"/>
      <c r="S19" s="249"/>
      <c r="T19" s="249"/>
      <c r="U19" s="250"/>
      <c r="V19" s="214" t="s">
        <v>631</v>
      </c>
      <c r="W19" s="249"/>
      <c r="X19" s="249"/>
      <c r="Y19" s="249"/>
      <c r="Z19" s="249"/>
      <c r="AA19" s="250"/>
      <c r="AB19" s="251"/>
      <c r="AC19" s="252"/>
      <c r="AD19" s="252"/>
      <c r="AE19" s="253"/>
      <c r="AF19" s="462"/>
      <c r="AG19" s="463"/>
      <c r="AH19" s="462"/>
      <c r="AI19" s="463"/>
      <c r="AJ19" s="462"/>
      <c r="AK19" s="463"/>
      <c r="AL19" s="462">
        <v>1</v>
      </c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8</v>
      </c>
      <c r="BI19" s="197"/>
      <c r="BJ19" s="198"/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 t="s">
        <v>710</v>
      </c>
      <c r="M20" s="249"/>
      <c r="N20" s="249"/>
      <c r="O20" s="249"/>
      <c r="P20" s="249"/>
      <c r="Q20" s="249"/>
      <c r="R20" s="249"/>
      <c r="S20" s="249"/>
      <c r="T20" s="249"/>
      <c r="U20" s="250"/>
      <c r="V20" s="214" t="s">
        <v>674</v>
      </c>
      <c r="W20" s="249"/>
      <c r="X20" s="249"/>
      <c r="Y20" s="249"/>
      <c r="Z20" s="249"/>
      <c r="AA20" s="250"/>
      <c r="AB20" s="251" t="s">
        <v>675</v>
      </c>
      <c r="AC20" s="252"/>
      <c r="AD20" s="252"/>
      <c r="AE20" s="253"/>
      <c r="AF20" s="462"/>
      <c r="AG20" s="463"/>
      <c r="AH20" s="462"/>
      <c r="AI20" s="463"/>
      <c r="AJ20" s="462"/>
      <c r="AK20" s="463"/>
      <c r="AL20" s="462"/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5</v>
      </c>
      <c r="BI20" s="197"/>
      <c r="BJ20" s="198"/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 t="s">
        <v>676</v>
      </c>
      <c r="M21" s="249"/>
      <c r="N21" s="249"/>
      <c r="O21" s="249"/>
      <c r="P21" s="249"/>
      <c r="Q21" s="249"/>
      <c r="R21" s="249"/>
      <c r="S21" s="249"/>
      <c r="T21" s="249"/>
      <c r="U21" s="250"/>
      <c r="V21" s="214" t="s">
        <v>591</v>
      </c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/>
      <c r="AK21" s="463"/>
      <c r="AL21" s="462"/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6</v>
      </c>
      <c r="BI21" s="197"/>
      <c r="BJ21" s="198"/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 t="s">
        <v>680</v>
      </c>
      <c r="M22" s="249"/>
      <c r="N22" s="249"/>
      <c r="O22" s="249"/>
      <c r="P22" s="249"/>
      <c r="Q22" s="249"/>
      <c r="R22" s="249"/>
      <c r="S22" s="249"/>
      <c r="T22" s="249"/>
      <c r="U22" s="250"/>
      <c r="V22" s="214" t="s">
        <v>681</v>
      </c>
      <c r="W22" s="249"/>
      <c r="X22" s="249"/>
      <c r="Y22" s="249"/>
      <c r="Z22" s="249"/>
      <c r="AA22" s="250"/>
      <c r="AB22" s="251" t="s">
        <v>682</v>
      </c>
      <c r="AC22" s="252"/>
      <c r="AD22" s="252"/>
      <c r="AE22" s="253"/>
      <c r="AF22" s="462"/>
      <c r="AG22" s="463"/>
      <c r="AH22" s="462"/>
      <c r="AI22" s="463"/>
      <c r="AJ22" s="462"/>
      <c r="AK22" s="463"/>
      <c r="AL22" s="462"/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6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 t="s">
        <v>711</v>
      </c>
      <c r="M23" s="249"/>
      <c r="N23" s="249"/>
      <c r="O23" s="249"/>
      <c r="P23" s="249"/>
      <c r="Q23" s="249"/>
      <c r="R23" s="249"/>
      <c r="S23" s="249"/>
      <c r="T23" s="249"/>
      <c r="U23" s="250"/>
      <c r="V23" s="214" t="s">
        <v>57</v>
      </c>
      <c r="W23" s="249"/>
      <c r="X23" s="249"/>
      <c r="Y23" s="249"/>
      <c r="Z23" s="249"/>
      <c r="AA23" s="250"/>
      <c r="AB23" s="251"/>
      <c r="AC23" s="252"/>
      <c r="AD23" s="252"/>
      <c r="AE23" s="253"/>
      <c r="AF23" s="462"/>
      <c r="AG23" s="463"/>
      <c r="AH23" s="462"/>
      <c r="AI23" s="463"/>
      <c r="AJ23" s="462"/>
      <c r="AK23" s="463"/>
      <c r="AL23" s="462"/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6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/>
      <c r="M24" s="249"/>
      <c r="N24" s="249"/>
      <c r="O24" s="249"/>
      <c r="P24" s="249"/>
      <c r="Q24" s="249"/>
      <c r="R24" s="249"/>
      <c r="S24" s="249"/>
      <c r="T24" s="249"/>
      <c r="U24" s="250"/>
      <c r="V24" s="214"/>
      <c r="W24" s="249"/>
      <c r="X24" s="249"/>
      <c r="Y24" s="249"/>
      <c r="Z24" s="249"/>
      <c r="AA24" s="250"/>
      <c r="AB24" s="251"/>
      <c r="AC24" s="252"/>
      <c r="AD24" s="252"/>
      <c r="AE24" s="253"/>
      <c r="AF24" s="462"/>
      <c r="AG24" s="463"/>
      <c r="AH24" s="462"/>
      <c r="AI24" s="463"/>
      <c r="AJ24" s="462"/>
      <c r="AK24" s="463"/>
      <c r="AL24" s="462"/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0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 t="str">
        <f t="shared" ref="A35:A39" si="2">IF(B35&lt;&gt;"",ROW()-34,"")</f>
        <v/>
      </c>
      <c r="B35" s="214"/>
      <c r="C35" s="249"/>
      <c r="D35" s="249"/>
      <c r="E35" s="249"/>
      <c r="F35" s="249"/>
      <c r="G35" s="249"/>
      <c r="H35" s="249"/>
      <c r="I35" s="249"/>
      <c r="J35" s="249"/>
      <c r="K35" s="250"/>
      <c r="L35" s="214"/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/>
      <c r="BJ35" s="194"/>
    </row>
    <row r="36" spans="1:62" s="75" customFormat="1" ht="14.1" customHeight="1">
      <c r="A36" s="157" t="str">
        <f t="shared" si="2"/>
        <v/>
      </c>
      <c r="B36" s="214"/>
      <c r="C36" s="249"/>
      <c r="D36" s="249"/>
      <c r="E36" s="249"/>
      <c r="F36" s="249"/>
      <c r="G36" s="249"/>
      <c r="H36" s="249"/>
      <c r="I36" s="249"/>
      <c r="J36" s="249"/>
      <c r="K36" s="250"/>
      <c r="L36" s="214"/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/>
      <c r="BJ36" s="194"/>
    </row>
    <row r="37" spans="1:62" s="75" customFormat="1" ht="14.1" customHeight="1">
      <c r="A37" s="157" t="str">
        <f t="shared" si="2"/>
        <v/>
      </c>
      <c r="B37" s="214"/>
      <c r="C37" s="249"/>
      <c r="D37" s="249"/>
      <c r="E37" s="249"/>
      <c r="F37" s="249"/>
      <c r="G37" s="249"/>
      <c r="H37" s="249"/>
      <c r="I37" s="249"/>
      <c r="J37" s="249"/>
      <c r="K37" s="250"/>
      <c r="L37" s="214"/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/>
      <c r="BJ37" s="194"/>
    </row>
    <row r="38" spans="1:62" ht="14.1" customHeight="1">
      <c r="A38" s="157" t="str">
        <f t="shared" si="2"/>
        <v/>
      </c>
      <c r="B38" s="214"/>
      <c r="C38" s="249"/>
      <c r="D38" s="249"/>
      <c r="E38" s="249"/>
      <c r="F38" s="249"/>
      <c r="G38" s="249"/>
      <c r="H38" s="249"/>
      <c r="I38" s="249"/>
      <c r="J38" s="249"/>
      <c r="K38" s="250"/>
      <c r="L38" s="214"/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572</v>
      </c>
      <c r="BG38" s="197"/>
      <c r="BH38" s="197"/>
      <c r="BI38" s="194"/>
      <c r="BJ38" s="194"/>
    </row>
    <row r="39" spans="1:62" ht="14.1" customHeight="1" thickBot="1">
      <c r="A39" s="158" t="str">
        <f t="shared" si="2"/>
        <v/>
      </c>
      <c r="B39" s="217"/>
      <c r="C39" s="307"/>
      <c r="D39" s="307"/>
      <c r="E39" s="307"/>
      <c r="F39" s="307"/>
      <c r="G39" s="307"/>
      <c r="H39" s="307"/>
      <c r="I39" s="307"/>
      <c r="J39" s="307"/>
      <c r="K39" s="308"/>
      <c r="L39" s="217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9"/>
      <c r="BF39" s="199" t="s">
        <v>577</v>
      </c>
      <c r="BG39" s="197"/>
      <c r="BH39" s="197"/>
      <c r="BI39" s="194"/>
      <c r="BJ39" s="194"/>
    </row>
    <row r="40" spans="1:62" ht="13.5" customHeight="1">
      <c r="BF40" s="3"/>
      <c r="BG40" s="3"/>
      <c r="BH40" s="3"/>
      <c r="BI40" s="3"/>
    </row>
    <row r="41" spans="1:62" ht="13.5" customHeight="1">
      <c r="BF41" s="3"/>
      <c r="BG41" s="3"/>
      <c r="BH41" s="3"/>
      <c r="BI41" s="3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58:61" ht="13.5" customHeight="1">
      <c r="BF49" s="3"/>
      <c r="BG49" s="3"/>
      <c r="BH49" s="3"/>
      <c r="BI49" s="3"/>
    </row>
  </sheetData>
  <mergeCells count="213">
    <mergeCell ref="AP30:BB30"/>
    <mergeCell ref="AP31:BB31"/>
    <mergeCell ref="AP24:BB24"/>
    <mergeCell ref="AP25:BB25"/>
    <mergeCell ref="AP26:BB26"/>
    <mergeCell ref="AP27:BB27"/>
    <mergeCell ref="AP28:BB28"/>
    <mergeCell ref="AP29:BB29"/>
    <mergeCell ref="B39:K39"/>
    <mergeCell ref="L39:BB39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38:K38"/>
    <mergeCell ref="L38:BB38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39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16 AB17:AE17 AB18:AE18 AB19:AE19 AB20:AE20 AB21:AE21 AB22:AE22 AB24:AE31 AB23:AE23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48" max="16383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17"/>
  <dimension ref="A1:BJ51"/>
  <sheetViews>
    <sheetView showGridLines="0" zoomScaleNormal="100" workbookViewId="0">
      <selection sqref="A1:G1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732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733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734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591</v>
      </c>
      <c r="W16" s="249"/>
      <c r="X16" s="249"/>
      <c r="Y16" s="249"/>
      <c r="Z16" s="249"/>
      <c r="AA16" s="250"/>
      <c r="AB16" s="251" t="s">
        <v>592</v>
      </c>
      <c r="AC16" s="252"/>
      <c r="AD16" s="252"/>
      <c r="AE16" s="253"/>
      <c r="AF16" s="462">
        <v>1</v>
      </c>
      <c r="AG16" s="463"/>
      <c r="AH16" s="462"/>
      <c r="AI16" s="463"/>
      <c r="AJ16" s="462"/>
      <c r="AK16" s="463"/>
      <c r="AL16" s="462">
        <v>1</v>
      </c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10</v>
      </c>
      <c r="BI16" s="197">
        <v>1</v>
      </c>
      <c r="BJ16" s="198"/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638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591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/>
      <c r="AG17" s="463"/>
      <c r="AH17" s="462"/>
      <c r="AI17" s="463"/>
      <c r="AJ17" s="462">
        <v>1</v>
      </c>
      <c r="AK17" s="463"/>
      <c r="AL17" s="462">
        <v>1</v>
      </c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11</v>
      </c>
      <c r="BI17" s="197">
        <v>1</v>
      </c>
      <c r="BJ17" s="198" t="s">
        <v>742</v>
      </c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735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629</v>
      </c>
      <c r="W18" s="249"/>
      <c r="X18" s="249"/>
      <c r="Y18" s="249"/>
      <c r="Z18" s="249"/>
      <c r="AA18" s="250"/>
      <c r="AB18" s="251"/>
      <c r="AC18" s="252"/>
      <c r="AD18" s="252"/>
      <c r="AE18" s="253"/>
      <c r="AF18" s="462"/>
      <c r="AG18" s="463"/>
      <c r="AH18" s="462"/>
      <c r="AI18" s="463"/>
      <c r="AJ18" s="462">
        <v>1</v>
      </c>
      <c r="AK18" s="463"/>
      <c r="AL18" s="462">
        <v>1</v>
      </c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8</v>
      </c>
      <c r="BI18" s="197">
        <v>1</v>
      </c>
      <c r="BJ18" s="198" t="s">
        <v>745</v>
      </c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 t="s">
        <v>736</v>
      </c>
      <c r="M19" s="249"/>
      <c r="N19" s="249"/>
      <c r="O19" s="249"/>
      <c r="P19" s="249"/>
      <c r="Q19" s="249"/>
      <c r="R19" s="249"/>
      <c r="S19" s="249"/>
      <c r="T19" s="249"/>
      <c r="U19" s="250"/>
      <c r="V19" s="214" t="s">
        <v>68</v>
      </c>
      <c r="W19" s="249"/>
      <c r="X19" s="249"/>
      <c r="Y19" s="249"/>
      <c r="Z19" s="249"/>
      <c r="AA19" s="250"/>
      <c r="AB19" s="251"/>
      <c r="AC19" s="252"/>
      <c r="AD19" s="252"/>
      <c r="AE19" s="253"/>
      <c r="AF19" s="462"/>
      <c r="AG19" s="463"/>
      <c r="AH19" s="462"/>
      <c r="AI19" s="463"/>
      <c r="AJ19" s="462">
        <v>1</v>
      </c>
      <c r="AK19" s="463"/>
      <c r="AL19" s="462"/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9</v>
      </c>
      <c r="BI19" s="197">
        <v>1</v>
      </c>
      <c r="BJ19" s="198" t="s">
        <v>744</v>
      </c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 t="s">
        <v>737</v>
      </c>
      <c r="M20" s="249"/>
      <c r="N20" s="249"/>
      <c r="O20" s="249"/>
      <c r="P20" s="249"/>
      <c r="Q20" s="249"/>
      <c r="R20" s="249"/>
      <c r="S20" s="249"/>
      <c r="T20" s="249"/>
      <c r="U20" s="250"/>
      <c r="V20" s="214" t="s">
        <v>678</v>
      </c>
      <c r="W20" s="249"/>
      <c r="X20" s="249"/>
      <c r="Y20" s="249"/>
      <c r="Z20" s="249"/>
      <c r="AA20" s="250"/>
      <c r="AB20" s="251"/>
      <c r="AC20" s="252"/>
      <c r="AD20" s="252"/>
      <c r="AE20" s="253"/>
      <c r="AF20" s="462"/>
      <c r="AG20" s="463"/>
      <c r="AH20" s="462"/>
      <c r="AI20" s="463"/>
      <c r="AJ20" s="462"/>
      <c r="AK20" s="463"/>
      <c r="AL20" s="462">
        <v>1</v>
      </c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6</v>
      </c>
      <c r="BI20" s="197"/>
      <c r="BJ20" s="198"/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 t="s">
        <v>738</v>
      </c>
      <c r="M21" s="249"/>
      <c r="N21" s="249"/>
      <c r="O21" s="249"/>
      <c r="P21" s="249"/>
      <c r="Q21" s="249"/>
      <c r="R21" s="249"/>
      <c r="S21" s="249"/>
      <c r="T21" s="249"/>
      <c r="U21" s="250"/>
      <c r="V21" s="214" t="s">
        <v>126</v>
      </c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/>
      <c r="AK21" s="463"/>
      <c r="AL21" s="462">
        <v>1</v>
      </c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12</v>
      </c>
      <c r="BI21" s="197"/>
      <c r="BJ21" s="198"/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 t="s">
        <v>596</v>
      </c>
      <c r="M22" s="249"/>
      <c r="N22" s="249"/>
      <c r="O22" s="249"/>
      <c r="P22" s="249"/>
      <c r="Q22" s="249"/>
      <c r="R22" s="249"/>
      <c r="S22" s="249"/>
      <c r="T22" s="249"/>
      <c r="U22" s="250"/>
      <c r="V22" s="214" t="s">
        <v>61</v>
      </c>
      <c r="W22" s="249"/>
      <c r="X22" s="249"/>
      <c r="Y22" s="249"/>
      <c r="Z22" s="249"/>
      <c r="AA22" s="250"/>
      <c r="AB22" s="251" t="s">
        <v>597</v>
      </c>
      <c r="AC22" s="252"/>
      <c r="AD22" s="252"/>
      <c r="AE22" s="253"/>
      <c r="AF22" s="462"/>
      <c r="AG22" s="463"/>
      <c r="AH22" s="462"/>
      <c r="AI22" s="463"/>
      <c r="AJ22" s="462"/>
      <c r="AK22" s="463"/>
      <c r="AL22" s="462"/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11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/>
      <c r="M23" s="249"/>
      <c r="N23" s="249"/>
      <c r="O23" s="249"/>
      <c r="P23" s="249"/>
      <c r="Q23" s="249"/>
      <c r="R23" s="249"/>
      <c r="S23" s="249"/>
      <c r="T23" s="249"/>
      <c r="U23" s="250"/>
      <c r="V23" s="214"/>
      <c r="W23" s="249"/>
      <c r="X23" s="249"/>
      <c r="Y23" s="249"/>
      <c r="Z23" s="249"/>
      <c r="AA23" s="250"/>
      <c r="AB23" s="251"/>
      <c r="AC23" s="252"/>
      <c r="AD23" s="252"/>
      <c r="AE23" s="253"/>
      <c r="AF23" s="462"/>
      <c r="AG23" s="463"/>
      <c r="AH23" s="462"/>
      <c r="AI23" s="463"/>
      <c r="AJ23" s="462"/>
      <c r="AK23" s="463"/>
      <c r="AL23" s="462"/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0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/>
      <c r="M24" s="249"/>
      <c r="N24" s="249"/>
      <c r="O24" s="249"/>
      <c r="P24" s="249"/>
      <c r="Q24" s="249"/>
      <c r="R24" s="249"/>
      <c r="S24" s="249"/>
      <c r="T24" s="249"/>
      <c r="U24" s="250"/>
      <c r="V24" s="214"/>
      <c r="W24" s="249"/>
      <c r="X24" s="249"/>
      <c r="Y24" s="249"/>
      <c r="Z24" s="249"/>
      <c r="AA24" s="250"/>
      <c r="AB24" s="251"/>
      <c r="AC24" s="252"/>
      <c r="AD24" s="252"/>
      <c r="AE24" s="253"/>
      <c r="AF24" s="462"/>
      <c r="AG24" s="463"/>
      <c r="AH24" s="462"/>
      <c r="AI24" s="463"/>
      <c r="AJ24" s="462"/>
      <c r="AK24" s="463"/>
      <c r="AL24" s="462"/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0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>
        <f>ROW()- 34</f>
        <v>1</v>
      </c>
      <c r="B35" s="214" t="s">
        <v>598</v>
      </c>
      <c r="C35" s="249"/>
      <c r="D35" s="249"/>
      <c r="E35" s="249"/>
      <c r="F35" s="249"/>
      <c r="G35" s="249"/>
      <c r="H35" s="249"/>
      <c r="I35" s="249"/>
      <c r="J35" s="249"/>
      <c r="K35" s="250"/>
      <c r="L35" s="214" t="s">
        <v>734</v>
      </c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 t="s">
        <v>599</v>
      </c>
      <c r="BJ35" s="194" t="s">
        <v>600</v>
      </c>
    </row>
    <row r="36" spans="1:62" s="75" customFormat="1" ht="14.1" customHeight="1">
      <c r="A36" s="157">
        <f>ROW()- 34</f>
        <v>2</v>
      </c>
      <c r="B36" s="214" t="s">
        <v>739</v>
      </c>
      <c r="C36" s="249"/>
      <c r="D36" s="249"/>
      <c r="E36" s="249"/>
      <c r="F36" s="249"/>
      <c r="G36" s="249"/>
      <c r="H36" s="249"/>
      <c r="I36" s="249"/>
      <c r="J36" s="249"/>
      <c r="K36" s="250"/>
      <c r="L36" s="214" t="s">
        <v>735</v>
      </c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 t="s">
        <v>602</v>
      </c>
      <c r="BJ36" s="194" t="s">
        <v>600</v>
      </c>
    </row>
    <row r="37" spans="1:62" s="75" customFormat="1" ht="14.1" customHeight="1">
      <c r="A37" s="157">
        <f>ROW()- 34</f>
        <v>3</v>
      </c>
      <c r="B37" s="214" t="s">
        <v>740</v>
      </c>
      <c r="C37" s="249"/>
      <c r="D37" s="249"/>
      <c r="E37" s="249"/>
      <c r="F37" s="249"/>
      <c r="G37" s="249"/>
      <c r="H37" s="249"/>
      <c r="I37" s="249"/>
      <c r="J37" s="249"/>
      <c r="K37" s="250"/>
      <c r="L37" s="214" t="s">
        <v>638</v>
      </c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 t="s">
        <v>602</v>
      </c>
      <c r="BJ37" s="194" t="s">
        <v>600</v>
      </c>
    </row>
    <row r="38" spans="1:62" ht="14.1" customHeight="1">
      <c r="A38" s="157">
        <f>ROW()- 34</f>
        <v>4</v>
      </c>
      <c r="B38" s="214" t="s">
        <v>741</v>
      </c>
      <c r="C38" s="249"/>
      <c r="D38" s="249"/>
      <c r="E38" s="249"/>
      <c r="F38" s="249"/>
      <c r="G38" s="249"/>
      <c r="H38" s="249"/>
      <c r="I38" s="249"/>
      <c r="J38" s="249"/>
      <c r="K38" s="250"/>
      <c r="L38" s="214" t="s">
        <v>736</v>
      </c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622</v>
      </c>
      <c r="BG38" s="197"/>
      <c r="BH38" s="197"/>
      <c r="BI38" s="194" t="s">
        <v>602</v>
      </c>
      <c r="BJ38" s="194" t="s">
        <v>600</v>
      </c>
    </row>
    <row r="39" spans="1:62" ht="14.1" customHeight="1">
      <c r="A39" s="157">
        <f t="shared" ref="A39" si="2">IF(B39&lt;&gt;"",ROW()-34,"")</f>
        <v>5</v>
      </c>
      <c r="B39" s="214" t="s">
        <v>743</v>
      </c>
      <c r="C39" s="249"/>
      <c r="D39" s="249"/>
      <c r="E39" s="249"/>
      <c r="F39" s="249"/>
      <c r="G39" s="249"/>
      <c r="H39" s="249"/>
      <c r="I39" s="249"/>
      <c r="J39" s="249"/>
      <c r="K39" s="250"/>
      <c r="L39" s="214" t="s">
        <v>638</v>
      </c>
      <c r="M39" s="215"/>
      <c r="N39" s="215"/>
      <c r="O39" s="215"/>
      <c r="P39" s="215"/>
      <c r="Q39" s="215"/>
      <c r="R39" s="215"/>
      <c r="S39" s="215"/>
      <c r="T39" s="215"/>
      <c r="U39" s="215"/>
      <c r="V39" s="215"/>
      <c r="W39" s="215"/>
      <c r="X39" s="215"/>
      <c r="Y39" s="215"/>
      <c r="Z39" s="215"/>
      <c r="AA39" s="215"/>
      <c r="AB39" s="215"/>
      <c r="AC39" s="215"/>
      <c r="AD39" s="215"/>
      <c r="AE39" s="215"/>
      <c r="AF39" s="215"/>
      <c r="AG39" s="215"/>
      <c r="AH39" s="215"/>
      <c r="AI39" s="215"/>
      <c r="AJ39" s="215"/>
      <c r="AK39" s="215"/>
      <c r="AL39" s="215"/>
      <c r="AM39" s="215"/>
      <c r="AN39" s="215"/>
      <c r="AO39" s="215"/>
      <c r="AP39" s="215"/>
      <c r="AQ39" s="215"/>
      <c r="AR39" s="215"/>
      <c r="AS39" s="215"/>
      <c r="AT39" s="215"/>
      <c r="AU39" s="215"/>
      <c r="AV39" s="215"/>
      <c r="AW39" s="215"/>
      <c r="AX39" s="215"/>
      <c r="AY39" s="215"/>
      <c r="AZ39" s="215"/>
      <c r="BA39" s="215"/>
      <c r="BB39" s="216"/>
      <c r="BF39" s="199" t="s">
        <v>622</v>
      </c>
      <c r="BG39" s="197"/>
      <c r="BH39" s="197"/>
      <c r="BI39" s="194"/>
      <c r="BJ39" s="194" t="s">
        <v>625</v>
      </c>
    </row>
    <row r="40" spans="1:62" ht="14.1" customHeight="1">
      <c r="A40" s="157">
        <f t="shared" ref="A35:A41" si="3">IF(B40&lt;&gt;"",ROW()-34,"")</f>
        <v>6</v>
      </c>
      <c r="B40" s="214" t="s">
        <v>741</v>
      </c>
      <c r="C40" s="249"/>
      <c r="D40" s="249"/>
      <c r="E40" s="249"/>
      <c r="F40" s="249"/>
      <c r="G40" s="249"/>
      <c r="H40" s="249"/>
      <c r="I40" s="249"/>
      <c r="J40" s="249"/>
      <c r="K40" s="250"/>
      <c r="L40" s="214" t="s">
        <v>736</v>
      </c>
      <c r="M40" s="215"/>
      <c r="N40" s="215"/>
      <c r="O40" s="215"/>
      <c r="P40" s="215"/>
      <c r="Q40" s="215"/>
      <c r="R40" s="215"/>
      <c r="S40" s="215"/>
      <c r="T40" s="215"/>
      <c r="U40" s="215"/>
      <c r="V40" s="215"/>
      <c r="W40" s="215"/>
      <c r="X40" s="215"/>
      <c r="Y40" s="215"/>
      <c r="Z40" s="215"/>
      <c r="AA40" s="215"/>
      <c r="AB40" s="215"/>
      <c r="AC40" s="215"/>
      <c r="AD40" s="215"/>
      <c r="AE40" s="215"/>
      <c r="AF40" s="215"/>
      <c r="AG40" s="215"/>
      <c r="AH40" s="215"/>
      <c r="AI40" s="215"/>
      <c r="AJ40" s="215"/>
      <c r="AK40" s="215"/>
      <c r="AL40" s="215"/>
      <c r="AM40" s="215"/>
      <c r="AN40" s="215"/>
      <c r="AO40" s="215"/>
      <c r="AP40" s="215"/>
      <c r="AQ40" s="215"/>
      <c r="AR40" s="215"/>
      <c r="AS40" s="215"/>
      <c r="AT40" s="215"/>
      <c r="AU40" s="215"/>
      <c r="AV40" s="215"/>
      <c r="AW40" s="215"/>
      <c r="AX40" s="215"/>
      <c r="AY40" s="215"/>
      <c r="AZ40" s="215"/>
      <c r="BA40" s="215"/>
      <c r="BB40" s="216"/>
      <c r="BF40" s="199" t="s">
        <v>572</v>
      </c>
      <c r="BG40" s="197"/>
      <c r="BH40" s="197"/>
      <c r="BI40" s="194"/>
      <c r="BJ40" s="194" t="s">
        <v>625</v>
      </c>
    </row>
    <row r="41" spans="1:62" ht="14.1" customHeight="1" thickBot="1">
      <c r="A41" s="158">
        <f t="shared" si="3"/>
        <v>7</v>
      </c>
      <c r="B41" s="217" t="s">
        <v>746</v>
      </c>
      <c r="C41" s="307"/>
      <c r="D41" s="307"/>
      <c r="E41" s="307"/>
      <c r="F41" s="307"/>
      <c r="G41" s="307"/>
      <c r="H41" s="307"/>
      <c r="I41" s="307"/>
      <c r="J41" s="307"/>
      <c r="K41" s="308"/>
      <c r="L41" s="217" t="s">
        <v>735</v>
      </c>
      <c r="M41" s="218"/>
      <c r="N41" s="218"/>
      <c r="O41" s="218"/>
      <c r="P41" s="218"/>
      <c r="Q41" s="218"/>
      <c r="R41" s="218"/>
      <c r="S41" s="218"/>
      <c r="T41" s="218"/>
      <c r="U41" s="218"/>
      <c r="V41" s="218"/>
      <c r="W41" s="218"/>
      <c r="X41" s="218"/>
      <c r="Y41" s="218"/>
      <c r="Z41" s="218"/>
      <c r="AA41" s="218"/>
      <c r="AB41" s="218"/>
      <c r="AC41" s="218"/>
      <c r="AD41" s="218"/>
      <c r="AE41" s="218"/>
      <c r="AF41" s="218"/>
      <c r="AG41" s="218"/>
      <c r="AH41" s="218"/>
      <c r="AI41" s="218"/>
      <c r="AJ41" s="218"/>
      <c r="AK41" s="218"/>
      <c r="AL41" s="218"/>
      <c r="AM41" s="218"/>
      <c r="AN41" s="218"/>
      <c r="AO41" s="218"/>
      <c r="AP41" s="218"/>
      <c r="AQ41" s="218"/>
      <c r="AR41" s="218"/>
      <c r="AS41" s="218"/>
      <c r="AT41" s="218"/>
      <c r="AU41" s="218"/>
      <c r="AV41" s="218"/>
      <c r="AW41" s="218"/>
      <c r="AX41" s="218"/>
      <c r="AY41" s="218"/>
      <c r="AZ41" s="218"/>
      <c r="BA41" s="218"/>
      <c r="BB41" s="219"/>
      <c r="BF41" s="199" t="s">
        <v>577</v>
      </c>
      <c r="BG41" s="197"/>
      <c r="BH41" s="197"/>
      <c r="BI41" s="194"/>
      <c r="BJ41" s="194" t="s">
        <v>625</v>
      </c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1:61" ht="13.5" customHeight="1">
      <c r="BF49" s="3"/>
      <c r="BG49" s="3"/>
      <c r="BH49" s="3"/>
      <c r="BI49" s="3"/>
    </row>
    <row r="50" spans="1:61" ht="13.5" customHeight="1">
      <c r="BF50" s="3"/>
      <c r="BG50" s="3"/>
      <c r="BH50" s="3"/>
      <c r="BI50" s="3"/>
    </row>
    <row r="51" spans="1:61" s="196" customFormat="1" ht="13.5" customHeight="1">
      <c r="A51" s="78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  <c r="AF51" s="78"/>
      <c r="AG51" s="78"/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  <c r="AW51" s="78"/>
      <c r="AX51" s="78"/>
      <c r="AY51" s="78"/>
      <c r="AZ51" s="78"/>
      <c r="BA51" s="78"/>
      <c r="BB51" s="78"/>
      <c r="BC51"/>
      <c r="BD51"/>
      <c r="BE51" s="78"/>
      <c r="BF51" s="3"/>
      <c r="BG51" s="3"/>
      <c r="BH51" s="3"/>
      <c r="BI51" s="3"/>
    </row>
  </sheetData>
  <mergeCells count="217">
    <mergeCell ref="AP30:BB30"/>
    <mergeCell ref="AP31:BB31"/>
    <mergeCell ref="B38:K38"/>
    <mergeCell ref="L38:BB38"/>
    <mergeCell ref="B39:K39"/>
    <mergeCell ref="L39:BB39"/>
    <mergeCell ref="AP24:BB24"/>
    <mergeCell ref="AP25:BB25"/>
    <mergeCell ref="AP26:BB26"/>
    <mergeCell ref="AP27:BB27"/>
    <mergeCell ref="AP28:BB28"/>
    <mergeCell ref="AP29:BB29"/>
    <mergeCell ref="B41:K41"/>
    <mergeCell ref="L41:BB41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40:K40"/>
    <mergeCell ref="L40:BB40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41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31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50" max="16383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18"/>
  <dimension ref="A1:BJ52"/>
  <sheetViews>
    <sheetView showGridLines="0" zoomScaleNormal="100" workbookViewId="0">
      <selection sqref="A1:G1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747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748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736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68</v>
      </c>
      <c r="W16" s="249"/>
      <c r="X16" s="249"/>
      <c r="Y16" s="249"/>
      <c r="Z16" s="249"/>
      <c r="AA16" s="250"/>
      <c r="AB16" s="251" t="s">
        <v>592</v>
      </c>
      <c r="AC16" s="252"/>
      <c r="AD16" s="252"/>
      <c r="AE16" s="253"/>
      <c r="AF16" s="462">
        <v>1</v>
      </c>
      <c r="AG16" s="463"/>
      <c r="AH16" s="462"/>
      <c r="AI16" s="463"/>
      <c r="AJ16" s="462"/>
      <c r="AK16" s="463"/>
      <c r="AL16" s="462">
        <v>1</v>
      </c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9</v>
      </c>
      <c r="BI16" s="197">
        <v>1</v>
      </c>
      <c r="BJ16" s="198"/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749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126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/>
      <c r="AG17" s="463"/>
      <c r="AH17" s="462"/>
      <c r="AI17" s="463"/>
      <c r="AJ17" s="462"/>
      <c r="AK17" s="463"/>
      <c r="AL17" s="462">
        <v>1</v>
      </c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11</v>
      </c>
      <c r="BI17" s="197">
        <v>1</v>
      </c>
      <c r="BJ17" s="198"/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721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722</v>
      </c>
      <c r="W18" s="249"/>
      <c r="X18" s="249"/>
      <c r="Y18" s="249"/>
      <c r="Z18" s="249"/>
      <c r="AA18" s="250"/>
      <c r="AB18" s="251"/>
      <c r="AC18" s="252"/>
      <c r="AD18" s="252"/>
      <c r="AE18" s="253"/>
      <c r="AF18" s="462"/>
      <c r="AG18" s="463"/>
      <c r="AH18" s="462"/>
      <c r="AI18" s="463"/>
      <c r="AJ18" s="462">
        <v>1</v>
      </c>
      <c r="AK18" s="463"/>
      <c r="AL18" s="462">
        <v>1</v>
      </c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12</v>
      </c>
      <c r="BI18" s="197">
        <v>1</v>
      </c>
      <c r="BJ18" s="198" t="s">
        <v>755</v>
      </c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 t="s">
        <v>638</v>
      </c>
      <c r="M19" s="249"/>
      <c r="N19" s="249"/>
      <c r="O19" s="249"/>
      <c r="P19" s="249"/>
      <c r="Q19" s="249"/>
      <c r="R19" s="249"/>
      <c r="S19" s="249"/>
      <c r="T19" s="249"/>
      <c r="U19" s="250"/>
      <c r="V19" s="214" t="s">
        <v>591</v>
      </c>
      <c r="W19" s="249"/>
      <c r="X19" s="249"/>
      <c r="Y19" s="249"/>
      <c r="Z19" s="249"/>
      <c r="AA19" s="250"/>
      <c r="AB19" s="251"/>
      <c r="AC19" s="252"/>
      <c r="AD19" s="252"/>
      <c r="AE19" s="253"/>
      <c r="AF19" s="462"/>
      <c r="AG19" s="463"/>
      <c r="AH19" s="462"/>
      <c r="AI19" s="463"/>
      <c r="AJ19" s="462">
        <v>1</v>
      </c>
      <c r="AK19" s="463"/>
      <c r="AL19" s="462">
        <v>1</v>
      </c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11</v>
      </c>
      <c r="BI19" s="197">
        <v>1</v>
      </c>
      <c r="BJ19" s="198" t="s">
        <v>742</v>
      </c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 t="s">
        <v>750</v>
      </c>
      <c r="M20" s="249"/>
      <c r="N20" s="249"/>
      <c r="O20" s="249"/>
      <c r="P20" s="249"/>
      <c r="Q20" s="249"/>
      <c r="R20" s="249"/>
      <c r="S20" s="249"/>
      <c r="T20" s="249"/>
      <c r="U20" s="250"/>
      <c r="V20" s="214" t="s">
        <v>126</v>
      </c>
      <c r="W20" s="249"/>
      <c r="X20" s="249"/>
      <c r="Y20" s="249"/>
      <c r="Z20" s="249"/>
      <c r="AA20" s="250"/>
      <c r="AB20" s="251"/>
      <c r="AC20" s="252"/>
      <c r="AD20" s="252"/>
      <c r="AE20" s="253"/>
      <c r="AF20" s="462"/>
      <c r="AG20" s="463"/>
      <c r="AH20" s="462"/>
      <c r="AI20" s="463"/>
      <c r="AJ20" s="462"/>
      <c r="AK20" s="463"/>
      <c r="AL20" s="462"/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11</v>
      </c>
      <c r="BI20" s="197"/>
      <c r="BJ20" s="198"/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 t="s">
        <v>735</v>
      </c>
      <c r="M21" s="249"/>
      <c r="N21" s="249"/>
      <c r="O21" s="249"/>
      <c r="P21" s="249"/>
      <c r="Q21" s="249"/>
      <c r="R21" s="249"/>
      <c r="S21" s="249"/>
      <c r="T21" s="249"/>
      <c r="U21" s="250"/>
      <c r="V21" s="214" t="s">
        <v>629</v>
      </c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>
        <v>1</v>
      </c>
      <c r="AK21" s="463"/>
      <c r="AL21" s="462">
        <v>1</v>
      </c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8</v>
      </c>
      <c r="BI21" s="197">
        <v>1</v>
      </c>
      <c r="BJ21" s="198" t="s">
        <v>745</v>
      </c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 t="s">
        <v>596</v>
      </c>
      <c r="M22" s="249"/>
      <c r="N22" s="249"/>
      <c r="O22" s="249"/>
      <c r="P22" s="249"/>
      <c r="Q22" s="249"/>
      <c r="R22" s="249"/>
      <c r="S22" s="249"/>
      <c r="T22" s="249"/>
      <c r="U22" s="250"/>
      <c r="V22" s="214" t="s">
        <v>61</v>
      </c>
      <c r="W22" s="249"/>
      <c r="X22" s="249"/>
      <c r="Y22" s="249"/>
      <c r="Z22" s="249"/>
      <c r="AA22" s="250"/>
      <c r="AB22" s="251" t="s">
        <v>597</v>
      </c>
      <c r="AC22" s="252"/>
      <c r="AD22" s="252"/>
      <c r="AE22" s="253"/>
      <c r="AF22" s="462"/>
      <c r="AG22" s="463"/>
      <c r="AH22" s="462"/>
      <c r="AI22" s="463"/>
      <c r="AJ22" s="462"/>
      <c r="AK22" s="463"/>
      <c r="AL22" s="462">
        <v>1</v>
      </c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11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/>
      <c r="M23" s="249"/>
      <c r="N23" s="249"/>
      <c r="O23" s="249"/>
      <c r="P23" s="249"/>
      <c r="Q23" s="249"/>
      <c r="R23" s="249"/>
      <c r="S23" s="249"/>
      <c r="T23" s="249"/>
      <c r="U23" s="250"/>
      <c r="V23" s="214"/>
      <c r="W23" s="249"/>
      <c r="X23" s="249"/>
      <c r="Y23" s="249"/>
      <c r="Z23" s="249"/>
      <c r="AA23" s="250"/>
      <c r="AB23" s="251"/>
      <c r="AC23" s="252"/>
      <c r="AD23" s="252"/>
      <c r="AE23" s="253"/>
      <c r="AF23" s="462"/>
      <c r="AG23" s="463"/>
      <c r="AH23" s="462"/>
      <c r="AI23" s="463"/>
      <c r="AJ23" s="462"/>
      <c r="AK23" s="463"/>
      <c r="AL23" s="462"/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0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/>
      <c r="M24" s="249"/>
      <c r="N24" s="249"/>
      <c r="O24" s="249"/>
      <c r="P24" s="249"/>
      <c r="Q24" s="249"/>
      <c r="R24" s="249"/>
      <c r="S24" s="249"/>
      <c r="T24" s="249"/>
      <c r="U24" s="250"/>
      <c r="V24" s="214"/>
      <c r="W24" s="249"/>
      <c r="X24" s="249"/>
      <c r="Y24" s="249"/>
      <c r="Z24" s="249"/>
      <c r="AA24" s="250"/>
      <c r="AB24" s="251"/>
      <c r="AC24" s="252"/>
      <c r="AD24" s="252"/>
      <c r="AE24" s="253"/>
      <c r="AF24" s="462"/>
      <c r="AG24" s="463"/>
      <c r="AH24" s="462"/>
      <c r="AI24" s="463"/>
      <c r="AJ24" s="462"/>
      <c r="AK24" s="463"/>
      <c r="AL24" s="462"/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0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>
        <f>ROW()- 34</f>
        <v>1</v>
      </c>
      <c r="B35" s="214" t="s">
        <v>598</v>
      </c>
      <c r="C35" s="249"/>
      <c r="D35" s="249"/>
      <c r="E35" s="249"/>
      <c r="F35" s="249"/>
      <c r="G35" s="249"/>
      <c r="H35" s="249"/>
      <c r="I35" s="249"/>
      <c r="J35" s="249"/>
      <c r="K35" s="250"/>
      <c r="L35" s="214" t="s">
        <v>736</v>
      </c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 t="s">
        <v>599</v>
      </c>
      <c r="BJ35" s="194" t="s">
        <v>600</v>
      </c>
    </row>
    <row r="36" spans="1:62" s="75" customFormat="1" ht="14.1" customHeight="1">
      <c r="A36" s="157">
        <f>ROW()- 34</f>
        <v>2</v>
      </c>
      <c r="B36" s="214" t="s">
        <v>751</v>
      </c>
      <c r="C36" s="249"/>
      <c r="D36" s="249"/>
      <c r="E36" s="249"/>
      <c r="F36" s="249"/>
      <c r="G36" s="249"/>
      <c r="H36" s="249"/>
      <c r="I36" s="249"/>
      <c r="J36" s="249"/>
      <c r="K36" s="250"/>
      <c r="L36" s="214" t="s">
        <v>752</v>
      </c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 t="s">
        <v>695</v>
      </c>
      <c r="BJ36" s="194" t="s">
        <v>600</v>
      </c>
    </row>
    <row r="37" spans="1:62" s="75" customFormat="1" ht="14.1" customHeight="1">
      <c r="A37" s="157">
        <f>ROW()- 34</f>
        <v>3</v>
      </c>
      <c r="B37" s="214" t="s">
        <v>753</v>
      </c>
      <c r="C37" s="249"/>
      <c r="D37" s="249"/>
      <c r="E37" s="249"/>
      <c r="F37" s="249"/>
      <c r="G37" s="249"/>
      <c r="H37" s="249"/>
      <c r="I37" s="249"/>
      <c r="J37" s="249"/>
      <c r="K37" s="250"/>
      <c r="L37" s="214" t="s">
        <v>721</v>
      </c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 t="s">
        <v>602</v>
      </c>
      <c r="BJ37" s="194" t="s">
        <v>600</v>
      </c>
    </row>
    <row r="38" spans="1:62" ht="14.1" customHeight="1">
      <c r="A38" s="157">
        <f>ROW()- 34</f>
        <v>4</v>
      </c>
      <c r="B38" s="214" t="s">
        <v>740</v>
      </c>
      <c r="C38" s="249"/>
      <c r="D38" s="249"/>
      <c r="E38" s="249"/>
      <c r="F38" s="249"/>
      <c r="G38" s="249"/>
      <c r="H38" s="249"/>
      <c r="I38" s="249"/>
      <c r="J38" s="249"/>
      <c r="K38" s="250"/>
      <c r="L38" s="214" t="s">
        <v>638</v>
      </c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622</v>
      </c>
      <c r="BG38" s="197"/>
      <c r="BH38" s="197"/>
      <c r="BI38" s="194" t="s">
        <v>602</v>
      </c>
      <c r="BJ38" s="194" t="s">
        <v>600</v>
      </c>
    </row>
    <row r="39" spans="1:62" ht="14.1" customHeight="1">
      <c r="A39" s="157">
        <f>ROW()- 34</f>
        <v>5</v>
      </c>
      <c r="B39" s="214" t="s">
        <v>739</v>
      </c>
      <c r="C39" s="249"/>
      <c r="D39" s="249"/>
      <c r="E39" s="249"/>
      <c r="F39" s="249"/>
      <c r="G39" s="249"/>
      <c r="H39" s="249"/>
      <c r="I39" s="249"/>
      <c r="J39" s="249"/>
      <c r="K39" s="250"/>
      <c r="L39" s="214" t="s">
        <v>735</v>
      </c>
      <c r="M39" s="215"/>
      <c r="N39" s="215"/>
      <c r="O39" s="215"/>
      <c r="P39" s="215"/>
      <c r="Q39" s="215"/>
      <c r="R39" s="215"/>
      <c r="S39" s="215"/>
      <c r="T39" s="215"/>
      <c r="U39" s="215"/>
      <c r="V39" s="215"/>
      <c r="W39" s="215"/>
      <c r="X39" s="215"/>
      <c r="Y39" s="215"/>
      <c r="Z39" s="215"/>
      <c r="AA39" s="215"/>
      <c r="AB39" s="215"/>
      <c r="AC39" s="215"/>
      <c r="AD39" s="215"/>
      <c r="AE39" s="215"/>
      <c r="AF39" s="215"/>
      <c r="AG39" s="215"/>
      <c r="AH39" s="215"/>
      <c r="AI39" s="215"/>
      <c r="AJ39" s="215"/>
      <c r="AK39" s="215"/>
      <c r="AL39" s="215"/>
      <c r="AM39" s="215"/>
      <c r="AN39" s="215"/>
      <c r="AO39" s="215"/>
      <c r="AP39" s="215"/>
      <c r="AQ39" s="215"/>
      <c r="AR39" s="215"/>
      <c r="AS39" s="215"/>
      <c r="AT39" s="215"/>
      <c r="AU39" s="215"/>
      <c r="AV39" s="215"/>
      <c r="AW39" s="215"/>
      <c r="AX39" s="215"/>
      <c r="AY39" s="215"/>
      <c r="AZ39" s="215"/>
      <c r="BA39" s="215"/>
      <c r="BB39" s="216"/>
      <c r="BF39" s="199" t="s">
        <v>622</v>
      </c>
      <c r="BG39" s="197"/>
      <c r="BH39" s="197"/>
      <c r="BI39" s="194" t="s">
        <v>602</v>
      </c>
      <c r="BJ39" s="194" t="s">
        <v>600</v>
      </c>
    </row>
    <row r="40" spans="1:62" ht="14.1" customHeight="1">
      <c r="A40" s="157">
        <f t="shared" ref="A40" si="2">IF(B40&lt;&gt;"",ROW()-34,"")</f>
        <v>6</v>
      </c>
      <c r="B40" s="214" t="s">
        <v>754</v>
      </c>
      <c r="C40" s="249"/>
      <c r="D40" s="249"/>
      <c r="E40" s="249"/>
      <c r="F40" s="249"/>
      <c r="G40" s="249"/>
      <c r="H40" s="249"/>
      <c r="I40" s="249"/>
      <c r="J40" s="249"/>
      <c r="K40" s="250"/>
      <c r="L40" s="214" t="s">
        <v>638</v>
      </c>
      <c r="M40" s="215"/>
      <c r="N40" s="215"/>
      <c r="O40" s="215"/>
      <c r="P40" s="215"/>
      <c r="Q40" s="215"/>
      <c r="R40" s="215"/>
      <c r="S40" s="215"/>
      <c r="T40" s="215"/>
      <c r="U40" s="215"/>
      <c r="V40" s="215"/>
      <c r="W40" s="215"/>
      <c r="X40" s="215"/>
      <c r="Y40" s="215"/>
      <c r="Z40" s="215"/>
      <c r="AA40" s="215"/>
      <c r="AB40" s="215"/>
      <c r="AC40" s="215"/>
      <c r="AD40" s="215"/>
      <c r="AE40" s="215"/>
      <c r="AF40" s="215"/>
      <c r="AG40" s="215"/>
      <c r="AH40" s="215"/>
      <c r="AI40" s="215"/>
      <c r="AJ40" s="215"/>
      <c r="AK40" s="215"/>
      <c r="AL40" s="215"/>
      <c r="AM40" s="215"/>
      <c r="AN40" s="215"/>
      <c r="AO40" s="215"/>
      <c r="AP40" s="215"/>
      <c r="AQ40" s="215"/>
      <c r="AR40" s="215"/>
      <c r="AS40" s="215"/>
      <c r="AT40" s="215"/>
      <c r="AU40" s="215"/>
      <c r="AV40" s="215"/>
      <c r="AW40" s="215"/>
      <c r="AX40" s="215"/>
      <c r="AY40" s="215"/>
      <c r="AZ40" s="215"/>
      <c r="BA40" s="215"/>
      <c r="BB40" s="216"/>
      <c r="BF40" s="199" t="s">
        <v>622</v>
      </c>
      <c r="BG40" s="197"/>
      <c r="BH40" s="197"/>
      <c r="BI40" s="194"/>
      <c r="BJ40" s="194" t="s">
        <v>625</v>
      </c>
    </row>
    <row r="41" spans="1:62" ht="14.1" customHeight="1">
      <c r="A41" s="157">
        <f t="shared" ref="A35:A42" si="3">IF(B41&lt;&gt;"",ROW()-34,"")</f>
        <v>7</v>
      </c>
      <c r="B41" s="214" t="s">
        <v>756</v>
      </c>
      <c r="C41" s="249"/>
      <c r="D41" s="249"/>
      <c r="E41" s="249"/>
      <c r="F41" s="249"/>
      <c r="G41" s="249"/>
      <c r="H41" s="249"/>
      <c r="I41" s="249"/>
      <c r="J41" s="249"/>
      <c r="K41" s="250"/>
      <c r="L41" s="214" t="s">
        <v>721</v>
      </c>
      <c r="M41" s="215"/>
      <c r="N41" s="215"/>
      <c r="O41" s="215"/>
      <c r="P41" s="215"/>
      <c r="Q41" s="215"/>
      <c r="R41" s="215"/>
      <c r="S41" s="215"/>
      <c r="T41" s="215"/>
      <c r="U41" s="215"/>
      <c r="V41" s="215"/>
      <c r="W41" s="215"/>
      <c r="X41" s="215"/>
      <c r="Y41" s="215"/>
      <c r="Z41" s="215"/>
      <c r="AA41" s="215"/>
      <c r="AB41" s="215"/>
      <c r="AC41" s="215"/>
      <c r="AD41" s="215"/>
      <c r="AE41" s="215"/>
      <c r="AF41" s="215"/>
      <c r="AG41" s="215"/>
      <c r="AH41" s="215"/>
      <c r="AI41" s="215"/>
      <c r="AJ41" s="215"/>
      <c r="AK41" s="215"/>
      <c r="AL41" s="215"/>
      <c r="AM41" s="215"/>
      <c r="AN41" s="215"/>
      <c r="AO41" s="215"/>
      <c r="AP41" s="215"/>
      <c r="AQ41" s="215"/>
      <c r="AR41" s="215"/>
      <c r="AS41" s="215"/>
      <c r="AT41" s="215"/>
      <c r="AU41" s="215"/>
      <c r="AV41" s="215"/>
      <c r="AW41" s="215"/>
      <c r="AX41" s="215"/>
      <c r="AY41" s="215"/>
      <c r="AZ41" s="215"/>
      <c r="BA41" s="215"/>
      <c r="BB41" s="216"/>
      <c r="BF41" s="199" t="s">
        <v>572</v>
      </c>
      <c r="BG41" s="197"/>
      <c r="BH41" s="197"/>
      <c r="BI41" s="194"/>
      <c r="BJ41" s="194" t="s">
        <v>625</v>
      </c>
    </row>
    <row r="42" spans="1:62" ht="14.1" customHeight="1" thickBot="1">
      <c r="A42" s="158">
        <f t="shared" si="3"/>
        <v>8</v>
      </c>
      <c r="B42" s="217" t="s">
        <v>757</v>
      </c>
      <c r="C42" s="307"/>
      <c r="D42" s="307"/>
      <c r="E42" s="307"/>
      <c r="F42" s="307"/>
      <c r="G42" s="307"/>
      <c r="H42" s="307"/>
      <c r="I42" s="307"/>
      <c r="J42" s="307"/>
      <c r="K42" s="308"/>
      <c r="L42" s="217" t="s">
        <v>735</v>
      </c>
      <c r="M42" s="218"/>
      <c r="N42" s="218"/>
      <c r="O42" s="218"/>
      <c r="P42" s="218"/>
      <c r="Q42" s="218"/>
      <c r="R42" s="218"/>
      <c r="S42" s="218"/>
      <c r="T42" s="218"/>
      <c r="U42" s="218"/>
      <c r="V42" s="218"/>
      <c r="W42" s="218"/>
      <c r="X42" s="218"/>
      <c r="Y42" s="218"/>
      <c r="Z42" s="218"/>
      <c r="AA42" s="218"/>
      <c r="AB42" s="218"/>
      <c r="AC42" s="218"/>
      <c r="AD42" s="218"/>
      <c r="AE42" s="218"/>
      <c r="AF42" s="218"/>
      <c r="AG42" s="218"/>
      <c r="AH42" s="218"/>
      <c r="AI42" s="218"/>
      <c r="AJ42" s="218"/>
      <c r="AK42" s="218"/>
      <c r="AL42" s="218"/>
      <c r="AM42" s="218"/>
      <c r="AN42" s="218"/>
      <c r="AO42" s="218"/>
      <c r="AP42" s="218"/>
      <c r="AQ42" s="218"/>
      <c r="AR42" s="218"/>
      <c r="AS42" s="218"/>
      <c r="AT42" s="218"/>
      <c r="AU42" s="218"/>
      <c r="AV42" s="218"/>
      <c r="AW42" s="218"/>
      <c r="AX42" s="218"/>
      <c r="AY42" s="218"/>
      <c r="AZ42" s="218"/>
      <c r="BA42" s="218"/>
      <c r="BB42" s="219"/>
      <c r="BF42" s="199" t="s">
        <v>577</v>
      </c>
      <c r="BG42" s="197"/>
      <c r="BH42" s="197"/>
      <c r="BI42" s="194"/>
      <c r="BJ42" s="194" t="s">
        <v>625</v>
      </c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1:61" ht="13.5" customHeight="1">
      <c r="BF49" s="3"/>
      <c r="BG49" s="3"/>
      <c r="BH49" s="3"/>
      <c r="BI49" s="3"/>
    </row>
    <row r="50" spans="1:61" ht="13.5" customHeight="1">
      <c r="BF50" s="3"/>
      <c r="BG50" s="3"/>
      <c r="BH50" s="3"/>
      <c r="BI50" s="3"/>
    </row>
    <row r="51" spans="1:61" ht="13.5" customHeight="1">
      <c r="BF51" s="3"/>
      <c r="BG51" s="3"/>
      <c r="BH51" s="3"/>
      <c r="BI51" s="3"/>
    </row>
    <row r="52" spans="1:61" s="196" customFormat="1" ht="13.5" customHeight="1">
      <c r="A52" s="78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F52" s="78"/>
      <c r="AG52" s="78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  <c r="AZ52" s="78"/>
      <c r="BA52" s="78"/>
      <c r="BB52" s="78"/>
      <c r="BC52"/>
      <c r="BD52"/>
      <c r="BE52" s="78"/>
      <c r="BF52" s="3"/>
      <c r="BG52" s="3"/>
      <c r="BH52" s="3"/>
      <c r="BI52" s="3"/>
    </row>
  </sheetData>
  <mergeCells count="219">
    <mergeCell ref="AP30:BB30"/>
    <mergeCell ref="AP31:BB31"/>
    <mergeCell ref="B38:K38"/>
    <mergeCell ref="L38:BB38"/>
    <mergeCell ref="B39:K39"/>
    <mergeCell ref="L39:BB39"/>
    <mergeCell ref="AP24:BB24"/>
    <mergeCell ref="AP25:BB25"/>
    <mergeCell ref="AP26:BB26"/>
    <mergeCell ref="AP27:BB27"/>
    <mergeCell ref="AP28:BB28"/>
    <mergeCell ref="AP29:BB29"/>
    <mergeCell ref="B42:K42"/>
    <mergeCell ref="L42:BB42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41:K41"/>
    <mergeCell ref="L41:BB41"/>
    <mergeCell ref="B40:K40"/>
    <mergeCell ref="L40:BB40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42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31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51" max="16383" man="1"/>
  </row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19"/>
  <dimension ref="A1:BJ49"/>
  <sheetViews>
    <sheetView showGridLines="0" zoomScaleNormal="100" workbookViewId="0">
      <selection sqref="A1:G1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758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759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 t="s">
        <v>605</v>
      </c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627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631</v>
      </c>
      <c r="W16" s="249"/>
      <c r="X16" s="249"/>
      <c r="Y16" s="249"/>
      <c r="Z16" s="249"/>
      <c r="AA16" s="250"/>
      <c r="AB16" s="251"/>
      <c r="AC16" s="252"/>
      <c r="AD16" s="252"/>
      <c r="AE16" s="253"/>
      <c r="AF16" s="462"/>
      <c r="AG16" s="463"/>
      <c r="AH16" s="462"/>
      <c r="AI16" s="463"/>
      <c r="AJ16" s="462"/>
      <c r="AK16" s="463"/>
      <c r="AL16" s="462">
        <v>1</v>
      </c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8</v>
      </c>
      <c r="BI16" s="197"/>
      <c r="BJ16" s="198"/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760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761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/>
      <c r="AG17" s="463"/>
      <c r="AH17" s="462"/>
      <c r="AI17" s="463"/>
      <c r="AJ17" s="462"/>
      <c r="AK17" s="463"/>
      <c r="AL17" s="462"/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11</v>
      </c>
      <c r="BI17" s="197"/>
      <c r="BJ17" s="198"/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/>
      <c r="M18" s="249"/>
      <c r="N18" s="249"/>
      <c r="O18" s="249"/>
      <c r="P18" s="249"/>
      <c r="Q18" s="249"/>
      <c r="R18" s="249"/>
      <c r="S18" s="249"/>
      <c r="T18" s="249"/>
      <c r="U18" s="250"/>
      <c r="V18" s="214"/>
      <c r="W18" s="249"/>
      <c r="X18" s="249"/>
      <c r="Y18" s="249"/>
      <c r="Z18" s="249"/>
      <c r="AA18" s="250"/>
      <c r="AB18" s="251"/>
      <c r="AC18" s="252"/>
      <c r="AD18" s="252"/>
      <c r="AE18" s="253"/>
      <c r="AF18" s="462"/>
      <c r="AG18" s="463"/>
      <c r="AH18" s="462"/>
      <c r="AI18" s="463"/>
      <c r="AJ18" s="462"/>
      <c r="AK18" s="463"/>
      <c r="AL18" s="462"/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0</v>
      </c>
      <c r="BI18" s="197"/>
      <c r="BJ18" s="198"/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/>
      <c r="M19" s="249"/>
      <c r="N19" s="249"/>
      <c r="O19" s="249"/>
      <c r="P19" s="249"/>
      <c r="Q19" s="249"/>
      <c r="R19" s="249"/>
      <c r="S19" s="249"/>
      <c r="T19" s="249"/>
      <c r="U19" s="250"/>
      <c r="V19" s="214"/>
      <c r="W19" s="249"/>
      <c r="X19" s="249"/>
      <c r="Y19" s="249"/>
      <c r="Z19" s="249"/>
      <c r="AA19" s="250"/>
      <c r="AB19" s="251"/>
      <c r="AC19" s="252"/>
      <c r="AD19" s="252"/>
      <c r="AE19" s="253"/>
      <c r="AF19" s="462"/>
      <c r="AG19" s="463"/>
      <c r="AH19" s="462"/>
      <c r="AI19" s="463"/>
      <c r="AJ19" s="462"/>
      <c r="AK19" s="463"/>
      <c r="AL19" s="462"/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0</v>
      </c>
      <c r="BI19" s="197"/>
      <c r="BJ19" s="198"/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/>
      <c r="M20" s="249"/>
      <c r="N20" s="249"/>
      <c r="O20" s="249"/>
      <c r="P20" s="249"/>
      <c r="Q20" s="249"/>
      <c r="R20" s="249"/>
      <c r="S20" s="249"/>
      <c r="T20" s="249"/>
      <c r="U20" s="250"/>
      <c r="V20" s="214"/>
      <c r="W20" s="249"/>
      <c r="X20" s="249"/>
      <c r="Y20" s="249"/>
      <c r="Z20" s="249"/>
      <c r="AA20" s="250"/>
      <c r="AB20" s="251"/>
      <c r="AC20" s="252"/>
      <c r="AD20" s="252"/>
      <c r="AE20" s="253"/>
      <c r="AF20" s="462"/>
      <c r="AG20" s="463"/>
      <c r="AH20" s="462"/>
      <c r="AI20" s="463"/>
      <c r="AJ20" s="462"/>
      <c r="AK20" s="463"/>
      <c r="AL20" s="462"/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0</v>
      </c>
      <c r="BI20" s="197"/>
      <c r="BJ20" s="198"/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/>
      <c r="M21" s="249"/>
      <c r="N21" s="249"/>
      <c r="O21" s="249"/>
      <c r="P21" s="249"/>
      <c r="Q21" s="249"/>
      <c r="R21" s="249"/>
      <c r="S21" s="249"/>
      <c r="T21" s="249"/>
      <c r="U21" s="250"/>
      <c r="V21" s="214"/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/>
      <c r="AK21" s="463"/>
      <c r="AL21" s="462"/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0</v>
      </c>
      <c r="BI21" s="197"/>
      <c r="BJ21" s="198"/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/>
      <c r="M22" s="249"/>
      <c r="N22" s="249"/>
      <c r="O22" s="249"/>
      <c r="P22" s="249"/>
      <c r="Q22" s="249"/>
      <c r="R22" s="249"/>
      <c r="S22" s="249"/>
      <c r="T22" s="249"/>
      <c r="U22" s="250"/>
      <c r="V22" s="214"/>
      <c r="W22" s="249"/>
      <c r="X22" s="249"/>
      <c r="Y22" s="249"/>
      <c r="Z22" s="249"/>
      <c r="AA22" s="250"/>
      <c r="AB22" s="251"/>
      <c r="AC22" s="252"/>
      <c r="AD22" s="252"/>
      <c r="AE22" s="253"/>
      <c r="AF22" s="462"/>
      <c r="AG22" s="463"/>
      <c r="AH22" s="462"/>
      <c r="AI22" s="463"/>
      <c r="AJ22" s="462"/>
      <c r="AK22" s="463"/>
      <c r="AL22" s="462"/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0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/>
      <c r="M23" s="249"/>
      <c r="N23" s="249"/>
      <c r="O23" s="249"/>
      <c r="P23" s="249"/>
      <c r="Q23" s="249"/>
      <c r="R23" s="249"/>
      <c r="S23" s="249"/>
      <c r="T23" s="249"/>
      <c r="U23" s="250"/>
      <c r="V23" s="214"/>
      <c r="W23" s="249"/>
      <c r="X23" s="249"/>
      <c r="Y23" s="249"/>
      <c r="Z23" s="249"/>
      <c r="AA23" s="250"/>
      <c r="AB23" s="251"/>
      <c r="AC23" s="252"/>
      <c r="AD23" s="252"/>
      <c r="AE23" s="253"/>
      <c r="AF23" s="462"/>
      <c r="AG23" s="463"/>
      <c r="AH23" s="462"/>
      <c r="AI23" s="463"/>
      <c r="AJ23" s="462"/>
      <c r="AK23" s="463"/>
      <c r="AL23" s="462"/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0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/>
      <c r="M24" s="249"/>
      <c r="N24" s="249"/>
      <c r="O24" s="249"/>
      <c r="P24" s="249"/>
      <c r="Q24" s="249"/>
      <c r="R24" s="249"/>
      <c r="S24" s="249"/>
      <c r="T24" s="249"/>
      <c r="U24" s="250"/>
      <c r="V24" s="214"/>
      <c r="W24" s="249"/>
      <c r="X24" s="249"/>
      <c r="Y24" s="249"/>
      <c r="Z24" s="249"/>
      <c r="AA24" s="250"/>
      <c r="AB24" s="251"/>
      <c r="AC24" s="252"/>
      <c r="AD24" s="252"/>
      <c r="AE24" s="253"/>
      <c r="AF24" s="462"/>
      <c r="AG24" s="463"/>
      <c r="AH24" s="462"/>
      <c r="AI24" s="463"/>
      <c r="AJ24" s="462"/>
      <c r="AK24" s="463"/>
      <c r="AL24" s="462"/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0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 t="str">
        <f t="shared" ref="A35:A39" si="2">IF(B35&lt;&gt;"",ROW()-34,"")</f>
        <v/>
      </c>
      <c r="B35" s="214"/>
      <c r="C35" s="249"/>
      <c r="D35" s="249"/>
      <c r="E35" s="249"/>
      <c r="F35" s="249"/>
      <c r="G35" s="249"/>
      <c r="H35" s="249"/>
      <c r="I35" s="249"/>
      <c r="J35" s="249"/>
      <c r="K35" s="250"/>
      <c r="L35" s="214"/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/>
      <c r="BJ35" s="194"/>
    </row>
    <row r="36" spans="1:62" s="75" customFormat="1" ht="14.1" customHeight="1">
      <c r="A36" s="157" t="str">
        <f t="shared" si="2"/>
        <v/>
      </c>
      <c r="B36" s="214"/>
      <c r="C36" s="249"/>
      <c r="D36" s="249"/>
      <c r="E36" s="249"/>
      <c r="F36" s="249"/>
      <c r="G36" s="249"/>
      <c r="H36" s="249"/>
      <c r="I36" s="249"/>
      <c r="J36" s="249"/>
      <c r="K36" s="250"/>
      <c r="L36" s="214"/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/>
      <c r="BJ36" s="194"/>
    </row>
    <row r="37" spans="1:62" s="75" customFormat="1" ht="14.1" customHeight="1">
      <c r="A37" s="157" t="str">
        <f t="shared" si="2"/>
        <v/>
      </c>
      <c r="B37" s="214"/>
      <c r="C37" s="249"/>
      <c r="D37" s="249"/>
      <c r="E37" s="249"/>
      <c r="F37" s="249"/>
      <c r="G37" s="249"/>
      <c r="H37" s="249"/>
      <c r="I37" s="249"/>
      <c r="J37" s="249"/>
      <c r="K37" s="250"/>
      <c r="L37" s="214"/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/>
      <c r="BJ37" s="194"/>
    </row>
    <row r="38" spans="1:62" ht="14.1" customHeight="1">
      <c r="A38" s="157" t="str">
        <f t="shared" si="2"/>
        <v/>
      </c>
      <c r="B38" s="214"/>
      <c r="C38" s="249"/>
      <c r="D38" s="249"/>
      <c r="E38" s="249"/>
      <c r="F38" s="249"/>
      <c r="G38" s="249"/>
      <c r="H38" s="249"/>
      <c r="I38" s="249"/>
      <c r="J38" s="249"/>
      <c r="K38" s="250"/>
      <c r="L38" s="214"/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572</v>
      </c>
      <c r="BG38" s="197"/>
      <c r="BH38" s="197"/>
      <c r="BI38" s="194"/>
      <c r="BJ38" s="194"/>
    </row>
    <row r="39" spans="1:62" ht="14.1" customHeight="1" thickBot="1">
      <c r="A39" s="158" t="str">
        <f t="shared" si="2"/>
        <v/>
      </c>
      <c r="B39" s="217"/>
      <c r="C39" s="307"/>
      <c r="D39" s="307"/>
      <c r="E39" s="307"/>
      <c r="F39" s="307"/>
      <c r="G39" s="307"/>
      <c r="H39" s="307"/>
      <c r="I39" s="307"/>
      <c r="J39" s="307"/>
      <c r="K39" s="308"/>
      <c r="L39" s="217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9"/>
      <c r="BF39" s="199" t="s">
        <v>577</v>
      </c>
      <c r="BG39" s="197"/>
      <c r="BH39" s="197"/>
      <c r="BI39" s="194"/>
      <c r="BJ39" s="194"/>
    </row>
    <row r="40" spans="1:62" ht="13.5" customHeight="1">
      <c r="BF40" s="3"/>
      <c r="BG40" s="3"/>
      <c r="BH40" s="3"/>
      <c r="BI40" s="3"/>
    </row>
    <row r="41" spans="1:62" ht="13.5" customHeight="1">
      <c r="BF41" s="3"/>
      <c r="BG41" s="3"/>
      <c r="BH41" s="3"/>
      <c r="BI41" s="3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58:61" ht="13.5" customHeight="1">
      <c r="BF49" s="3"/>
      <c r="BG49" s="3"/>
      <c r="BH49" s="3"/>
      <c r="BI49" s="3"/>
    </row>
  </sheetData>
  <mergeCells count="213">
    <mergeCell ref="AP30:BB30"/>
    <mergeCell ref="AP31:BB31"/>
    <mergeCell ref="AP24:BB24"/>
    <mergeCell ref="AP25:BB25"/>
    <mergeCell ref="AP26:BB26"/>
    <mergeCell ref="AP27:BB27"/>
    <mergeCell ref="AP28:BB28"/>
    <mergeCell ref="AP29:BB29"/>
    <mergeCell ref="B39:K39"/>
    <mergeCell ref="L39:BB39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38:K38"/>
    <mergeCell ref="L38:BB38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39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16 AB18:AE31 AB17:AE17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48" max="16383" man="1"/>
  </rowBreak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20"/>
  <dimension ref="A1:BJ49"/>
  <sheetViews>
    <sheetView showGridLines="0" zoomScaleNormal="100" workbookViewId="0">
      <selection sqref="A1:G1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762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763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 t="s">
        <v>605</v>
      </c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764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765</v>
      </c>
      <c r="W16" s="249"/>
      <c r="X16" s="249"/>
      <c r="Y16" s="249"/>
      <c r="Z16" s="249"/>
      <c r="AA16" s="250"/>
      <c r="AB16" s="251"/>
      <c r="AC16" s="252"/>
      <c r="AD16" s="252"/>
      <c r="AE16" s="253"/>
      <c r="AF16" s="462"/>
      <c r="AG16" s="463"/>
      <c r="AH16" s="462"/>
      <c r="AI16" s="463"/>
      <c r="AJ16" s="462"/>
      <c r="AK16" s="463"/>
      <c r="AL16" s="462"/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5</v>
      </c>
      <c r="BI16" s="197"/>
      <c r="BJ16" s="198"/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766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655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/>
      <c r="AG17" s="463"/>
      <c r="AH17" s="462"/>
      <c r="AI17" s="463"/>
      <c r="AJ17" s="462"/>
      <c r="AK17" s="463"/>
      <c r="AL17" s="462"/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7</v>
      </c>
      <c r="BI17" s="197"/>
      <c r="BJ17" s="198"/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760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761</v>
      </c>
      <c r="W18" s="249"/>
      <c r="X18" s="249"/>
      <c r="Y18" s="249"/>
      <c r="Z18" s="249"/>
      <c r="AA18" s="250"/>
      <c r="AB18" s="251"/>
      <c r="AC18" s="252"/>
      <c r="AD18" s="252"/>
      <c r="AE18" s="253"/>
      <c r="AF18" s="462"/>
      <c r="AG18" s="463"/>
      <c r="AH18" s="462"/>
      <c r="AI18" s="463"/>
      <c r="AJ18" s="462"/>
      <c r="AK18" s="463"/>
      <c r="AL18" s="462"/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11</v>
      </c>
      <c r="BI18" s="197"/>
      <c r="BJ18" s="198"/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/>
      <c r="M19" s="249"/>
      <c r="N19" s="249"/>
      <c r="O19" s="249"/>
      <c r="P19" s="249"/>
      <c r="Q19" s="249"/>
      <c r="R19" s="249"/>
      <c r="S19" s="249"/>
      <c r="T19" s="249"/>
      <c r="U19" s="250"/>
      <c r="V19" s="214"/>
      <c r="W19" s="249"/>
      <c r="X19" s="249"/>
      <c r="Y19" s="249"/>
      <c r="Z19" s="249"/>
      <c r="AA19" s="250"/>
      <c r="AB19" s="251"/>
      <c r="AC19" s="252"/>
      <c r="AD19" s="252"/>
      <c r="AE19" s="253"/>
      <c r="AF19" s="462"/>
      <c r="AG19" s="463"/>
      <c r="AH19" s="462"/>
      <c r="AI19" s="463"/>
      <c r="AJ19" s="462"/>
      <c r="AK19" s="463"/>
      <c r="AL19" s="462"/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0</v>
      </c>
      <c r="BI19" s="197"/>
      <c r="BJ19" s="198"/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/>
      <c r="M20" s="249"/>
      <c r="N20" s="249"/>
      <c r="O20" s="249"/>
      <c r="P20" s="249"/>
      <c r="Q20" s="249"/>
      <c r="R20" s="249"/>
      <c r="S20" s="249"/>
      <c r="T20" s="249"/>
      <c r="U20" s="250"/>
      <c r="V20" s="214"/>
      <c r="W20" s="249"/>
      <c r="X20" s="249"/>
      <c r="Y20" s="249"/>
      <c r="Z20" s="249"/>
      <c r="AA20" s="250"/>
      <c r="AB20" s="251"/>
      <c r="AC20" s="252"/>
      <c r="AD20" s="252"/>
      <c r="AE20" s="253"/>
      <c r="AF20" s="462"/>
      <c r="AG20" s="463"/>
      <c r="AH20" s="462"/>
      <c r="AI20" s="463"/>
      <c r="AJ20" s="462"/>
      <c r="AK20" s="463"/>
      <c r="AL20" s="462"/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0</v>
      </c>
      <c r="BI20" s="197"/>
      <c r="BJ20" s="198"/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/>
      <c r="M21" s="249"/>
      <c r="N21" s="249"/>
      <c r="O21" s="249"/>
      <c r="P21" s="249"/>
      <c r="Q21" s="249"/>
      <c r="R21" s="249"/>
      <c r="S21" s="249"/>
      <c r="T21" s="249"/>
      <c r="U21" s="250"/>
      <c r="V21" s="214"/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/>
      <c r="AK21" s="463"/>
      <c r="AL21" s="462"/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0</v>
      </c>
      <c r="BI21" s="197"/>
      <c r="BJ21" s="198"/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/>
      <c r="M22" s="249"/>
      <c r="N22" s="249"/>
      <c r="O22" s="249"/>
      <c r="P22" s="249"/>
      <c r="Q22" s="249"/>
      <c r="R22" s="249"/>
      <c r="S22" s="249"/>
      <c r="T22" s="249"/>
      <c r="U22" s="250"/>
      <c r="V22" s="214"/>
      <c r="W22" s="249"/>
      <c r="X22" s="249"/>
      <c r="Y22" s="249"/>
      <c r="Z22" s="249"/>
      <c r="AA22" s="250"/>
      <c r="AB22" s="251"/>
      <c r="AC22" s="252"/>
      <c r="AD22" s="252"/>
      <c r="AE22" s="253"/>
      <c r="AF22" s="462"/>
      <c r="AG22" s="463"/>
      <c r="AH22" s="462"/>
      <c r="AI22" s="463"/>
      <c r="AJ22" s="462"/>
      <c r="AK22" s="463"/>
      <c r="AL22" s="462"/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0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/>
      <c r="M23" s="249"/>
      <c r="N23" s="249"/>
      <c r="O23" s="249"/>
      <c r="P23" s="249"/>
      <c r="Q23" s="249"/>
      <c r="R23" s="249"/>
      <c r="S23" s="249"/>
      <c r="T23" s="249"/>
      <c r="U23" s="250"/>
      <c r="V23" s="214"/>
      <c r="W23" s="249"/>
      <c r="X23" s="249"/>
      <c r="Y23" s="249"/>
      <c r="Z23" s="249"/>
      <c r="AA23" s="250"/>
      <c r="AB23" s="251"/>
      <c r="AC23" s="252"/>
      <c r="AD23" s="252"/>
      <c r="AE23" s="253"/>
      <c r="AF23" s="462"/>
      <c r="AG23" s="463"/>
      <c r="AH23" s="462"/>
      <c r="AI23" s="463"/>
      <c r="AJ23" s="462"/>
      <c r="AK23" s="463"/>
      <c r="AL23" s="462"/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0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/>
      <c r="M24" s="249"/>
      <c r="N24" s="249"/>
      <c r="O24" s="249"/>
      <c r="P24" s="249"/>
      <c r="Q24" s="249"/>
      <c r="R24" s="249"/>
      <c r="S24" s="249"/>
      <c r="T24" s="249"/>
      <c r="U24" s="250"/>
      <c r="V24" s="214"/>
      <c r="W24" s="249"/>
      <c r="X24" s="249"/>
      <c r="Y24" s="249"/>
      <c r="Z24" s="249"/>
      <c r="AA24" s="250"/>
      <c r="AB24" s="251"/>
      <c r="AC24" s="252"/>
      <c r="AD24" s="252"/>
      <c r="AE24" s="253"/>
      <c r="AF24" s="462"/>
      <c r="AG24" s="463"/>
      <c r="AH24" s="462"/>
      <c r="AI24" s="463"/>
      <c r="AJ24" s="462"/>
      <c r="AK24" s="463"/>
      <c r="AL24" s="462"/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0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 t="str">
        <f t="shared" ref="A35:A39" si="2">IF(B35&lt;&gt;"",ROW()-34,"")</f>
        <v/>
      </c>
      <c r="B35" s="214"/>
      <c r="C35" s="249"/>
      <c r="D35" s="249"/>
      <c r="E35" s="249"/>
      <c r="F35" s="249"/>
      <c r="G35" s="249"/>
      <c r="H35" s="249"/>
      <c r="I35" s="249"/>
      <c r="J35" s="249"/>
      <c r="K35" s="250"/>
      <c r="L35" s="214"/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/>
      <c r="BJ35" s="194"/>
    </row>
    <row r="36" spans="1:62" s="75" customFormat="1" ht="14.1" customHeight="1">
      <c r="A36" s="157" t="str">
        <f t="shared" si="2"/>
        <v/>
      </c>
      <c r="B36" s="214"/>
      <c r="C36" s="249"/>
      <c r="D36" s="249"/>
      <c r="E36" s="249"/>
      <c r="F36" s="249"/>
      <c r="G36" s="249"/>
      <c r="H36" s="249"/>
      <c r="I36" s="249"/>
      <c r="J36" s="249"/>
      <c r="K36" s="250"/>
      <c r="L36" s="214"/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/>
      <c r="BJ36" s="194"/>
    </row>
    <row r="37" spans="1:62" s="75" customFormat="1" ht="14.1" customHeight="1">
      <c r="A37" s="157" t="str">
        <f t="shared" si="2"/>
        <v/>
      </c>
      <c r="B37" s="214"/>
      <c r="C37" s="249"/>
      <c r="D37" s="249"/>
      <c r="E37" s="249"/>
      <c r="F37" s="249"/>
      <c r="G37" s="249"/>
      <c r="H37" s="249"/>
      <c r="I37" s="249"/>
      <c r="J37" s="249"/>
      <c r="K37" s="250"/>
      <c r="L37" s="214"/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/>
      <c r="BJ37" s="194"/>
    </row>
    <row r="38" spans="1:62" ht="14.1" customHeight="1">
      <c r="A38" s="157" t="str">
        <f t="shared" si="2"/>
        <v/>
      </c>
      <c r="B38" s="214"/>
      <c r="C38" s="249"/>
      <c r="D38" s="249"/>
      <c r="E38" s="249"/>
      <c r="F38" s="249"/>
      <c r="G38" s="249"/>
      <c r="H38" s="249"/>
      <c r="I38" s="249"/>
      <c r="J38" s="249"/>
      <c r="K38" s="250"/>
      <c r="L38" s="214"/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572</v>
      </c>
      <c r="BG38" s="197"/>
      <c r="BH38" s="197"/>
      <c r="BI38" s="194"/>
      <c r="BJ38" s="194"/>
    </row>
    <row r="39" spans="1:62" ht="14.1" customHeight="1" thickBot="1">
      <c r="A39" s="158" t="str">
        <f t="shared" si="2"/>
        <v/>
      </c>
      <c r="B39" s="217"/>
      <c r="C39" s="307"/>
      <c r="D39" s="307"/>
      <c r="E39" s="307"/>
      <c r="F39" s="307"/>
      <c r="G39" s="307"/>
      <c r="H39" s="307"/>
      <c r="I39" s="307"/>
      <c r="J39" s="307"/>
      <c r="K39" s="308"/>
      <c r="L39" s="217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9"/>
      <c r="BF39" s="199" t="s">
        <v>577</v>
      </c>
      <c r="BG39" s="197"/>
      <c r="BH39" s="197"/>
      <c r="BI39" s="194"/>
      <c r="BJ39" s="194"/>
    </row>
    <row r="40" spans="1:62" ht="13.5" customHeight="1">
      <c r="BF40" s="3"/>
      <c r="BG40" s="3"/>
      <c r="BH40" s="3"/>
      <c r="BI40" s="3"/>
    </row>
    <row r="41" spans="1:62" ht="13.5" customHeight="1">
      <c r="BF41" s="3"/>
      <c r="BG41" s="3"/>
      <c r="BH41" s="3"/>
      <c r="BI41" s="3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58:61" ht="13.5" customHeight="1">
      <c r="BF49" s="3"/>
      <c r="BG49" s="3"/>
      <c r="BH49" s="3"/>
      <c r="BI49" s="3"/>
    </row>
  </sheetData>
  <mergeCells count="213">
    <mergeCell ref="AP30:BB30"/>
    <mergeCell ref="AP31:BB31"/>
    <mergeCell ref="AP24:BB24"/>
    <mergeCell ref="AP25:BB25"/>
    <mergeCell ref="AP26:BB26"/>
    <mergeCell ref="AP27:BB27"/>
    <mergeCell ref="AP28:BB28"/>
    <mergeCell ref="AP29:BB29"/>
    <mergeCell ref="B39:K39"/>
    <mergeCell ref="L39:BB39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38:K38"/>
    <mergeCell ref="L38:BB38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39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16 AB17:AE17 AB19:AE31 AB18:AE18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48" max="16383" man="1"/>
  </row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21"/>
  <dimension ref="A1:BJ50"/>
  <sheetViews>
    <sheetView showGridLines="0" zoomScaleNormal="100" workbookViewId="0">
      <selection sqref="A1:G1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767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768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735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629</v>
      </c>
      <c r="W16" s="249"/>
      <c r="X16" s="249"/>
      <c r="Y16" s="249"/>
      <c r="Z16" s="249"/>
      <c r="AA16" s="250"/>
      <c r="AB16" s="251" t="s">
        <v>592</v>
      </c>
      <c r="AC16" s="252"/>
      <c r="AD16" s="252"/>
      <c r="AE16" s="253"/>
      <c r="AF16" s="462">
        <v>1</v>
      </c>
      <c r="AG16" s="463"/>
      <c r="AH16" s="462"/>
      <c r="AI16" s="463"/>
      <c r="AJ16" s="462"/>
      <c r="AK16" s="463"/>
      <c r="AL16" s="462">
        <v>1</v>
      </c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8</v>
      </c>
      <c r="BI16" s="197">
        <v>1</v>
      </c>
      <c r="BJ16" s="198"/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593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594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/>
      <c r="AG17" s="463"/>
      <c r="AH17" s="462"/>
      <c r="AI17" s="463"/>
      <c r="AJ17" s="462"/>
      <c r="AK17" s="463"/>
      <c r="AL17" s="462">
        <v>1</v>
      </c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10</v>
      </c>
      <c r="BI17" s="197"/>
      <c r="BJ17" s="198"/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595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594</v>
      </c>
      <c r="W18" s="249"/>
      <c r="X18" s="249"/>
      <c r="Y18" s="249"/>
      <c r="Z18" s="249"/>
      <c r="AA18" s="250"/>
      <c r="AB18" s="251"/>
      <c r="AC18" s="252"/>
      <c r="AD18" s="252"/>
      <c r="AE18" s="253"/>
      <c r="AF18" s="462"/>
      <c r="AG18" s="463"/>
      <c r="AH18" s="462"/>
      <c r="AI18" s="463"/>
      <c r="AJ18" s="462"/>
      <c r="AK18" s="463"/>
      <c r="AL18" s="462">
        <v>1</v>
      </c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9</v>
      </c>
      <c r="BI18" s="197"/>
      <c r="BJ18" s="198"/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 t="s">
        <v>610</v>
      </c>
      <c r="M19" s="249"/>
      <c r="N19" s="249"/>
      <c r="O19" s="249"/>
      <c r="P19" s="249"/>
      <c r="Q19" s="249"/>
      <c r="R19" s="249"/>
      <c r="S19" s="249"/>
      <c r="T19" s="249"/>
      <c r="U19" s="250"/>
      <c r="V19" s="214" t="s">
        <v>591</v>
      </c>
      <c r="W19" s="249"/>
      <c r="X19" s="249"/>
      <c r="Y19" s="249"/>
      <c r="Z19" s="249"/>
      <c r="AA19" s="250"/>
      <c r="AB19" s="251"/>
      <c r="AC19" s="252"/>
      <c r="AD19" s="252"/>
      <c r="AE19" s="253"/>
      <c r="AF19" s="462"/>
      <c r="AG19" s="463"/>
      <c r="AH19" s="462"/>
      <c r="AI19" s="463"/>
      <c r="AJ19" s="462">
        <v>1</v>
      </c>
      <c r="AK19" s="463"/>
      <c r="AL19" s="462">
        <v>1</v>
      </c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10</v>
      </c>
      <c r="BI19" s="197">
        <v>1</v>
      </c>
      <c r="BJ19" s="198" t="s">
        <v>648</v>
      </c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 t="s">
        <v>769</v>
      </c>
      <c r="M20" s="249"/>
      <c r="N20" s="249"/>
      <c r="O20" s="249"/>
      <c r="P20" s="249"/>
      <c r="Q20" s="249"/>
      <c r="R20" s="249"/>
      <c r="S20" s="249"/>
      <c r="T20" s="249"/>
      <c r="U20" s="250"/>
      <c r="V20" s="214" t="s">
        <v>770</v>
      </c>
      <c r="W20" s="249"/>
      <c r="X20" s="249"/>
      <c r="Y20" s="249"/>
      <c r="Z20" s="249"/>
      <c r="AA20" s="250"/>
      <c r="AB20" s="251"/>
      <c r="AC20" s="252"/>
      <c r="AD20" s="252"/>
      <c r="AE20" s="253"/>
      <c r="AF20" s="462"/>
      <c r="AG20" s="463"/>
      <c r="AH20" s="462"/>
      <c r="AI20" s="463"/>
      <c r="AJ20" s="462"/>
      <c r="AK20" s="463"/>
      <c r="AL20" s="462"/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7</v>
      </c>
      <c r="BI20" s="197"/>
      <c r="BJ20" s="198"/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 t="s">
        <v>640</v>
      </c>
      <c r="M21" s="249"/>
      <c r="N21" s="249"/>
      <c r="O21" s="249"/>
      <c r="P21" s="249"/>
      <c r="Q21" s="249"/>
      <c r="R21" s="249"/>
      <c r="S21" s="249"/>
      <c r="T21" s="249"/>
      <c r="U21" s="250"/>
      <c r="V21" s="214" t="s">
        <v>567</v>
      </c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/>
      <c r="AK21" s="463"/>
      <c r="AL21" s="462"/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5</v>
      </c>
      <c r="BI21" s="197"/>
      <c r="BJ21" s="198"/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 t="s">
        <v>639</v>
      </c>
      <c r="M22" s="249"/>
      <c r="N22" s="249"/>
      <c r="O22" s="249"/>
      <c r="P22" s="249"/>
      <c r="Q22" s="249"/>
      <c r="R22" s="249"/>
      <c r="S22" s="249"/>
      <c r="T22" s="249"/>
      <c r="U22" s="250"/>
      <c r="V22" s="214" t="s">
        <v>629</v>
      </c>
      <c r="W22" s="249"/>
      <c r="X22" s="249"/>
      <c r="Y22" s="249"/>
      <c r="Z22" s="249"/>
      <c r="AA22" s="250"/>
      <c r="AB22" s="251"/>
      <c r="AC22" s="252"/>
      <c r="AD22" s="252"/>
      <c r="AE22" s="253"/>
      <c r="AF22" s="462"/>
      <c r="AG22" s="463"/>
      <c r="AH22" s="462"/>
      <c r="AI22" s="463"/>
      <c r="AJ22" s="462">
        <v>1</v>
      </c>
      <c r="AK22" s="463"/>
      <c r="AL22" s="462">
        <v>1</v>
      </c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8</v>
      </c>
      <c r="BI22" s="197">
        <v>1</v>
      </c>
      <c r="BJ22" s="198" t="s">
        <v>650</v>
      </c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 t="s">
        <v>641</v>
      </c>
      <c r="M23" s="249"/>
      <c r="N23" s="249"/>
      <c r="O23" s="249"/>
      <c r="P23" s="249"/>
      <c r="Q23" s="249"/>
      <c r="R23" s="249"/>
      <c r="S23" s="249"/>
      <c r="T23" s="249"/>
      <c r="U23" s="250"/>
      <c r="V23" s="214" t="s">
        <v>642</v>
      </c>
      <c r="W23" s="249"/>
      <c r="X23" s="249"/>
      <c r="Y23" s="249"/>
      <c r="Z23" s="249"/>
      <c r="AA23" s="250"/>
      <c r="AB23" s="251" t="s">
        <v>643</v>
      </c>
      <c r="AC23" s="252"/>
      <c r="AD23" s="252"/>
      <c r="AE23" s="253"/>
      <c r="AF23" s="462"/>
      <c r="AG23" s="463"/>
      <c r="AH23" s="462"/>
      <c r="AI23" s="463"/>
      <c r="AJ23" s="462"/>
      <c r="AK23" s="463"/>
      <c r="AL23" s="462">
        <v>1</v>
      </c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6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 t="s">
        <v>771</v>
      </c>
      <c r="M24" s="249"/>
      <c r="N24" s="249"/>
      <c r="O24" s="249"/>
      <c r="P24" s="249"/>
      <c r="Q24" s="249"/>
      <c r="R24" s="249"/>
      <c r="S24" s="249"/>
      <c r="T24" s="249"/>
      <c r="U24" s="250"/>
      <c r="V24" s="214" t="s">
        <v>772</v>
      </c>
      <c r="W24" s="249"/>
      <c r="X24" s="249"/>
      <c r="Y24" s="249"/>
      <c r="Z24" s="249"/>
      <c r="AA24" s="250"/>
      <c r="AB24" s="251"/>
      <c r="AC24" s="252"/>
      <c r="AD24" s="252"/>
      <c r="AE24" s="253"/>
      <c r="AF24" s="462"/>
      <c r="AG24" s="463"/>
      <c r="AH24" s="462"/>
      <c r="AI24" s="463"/>
      <c r="AJ24" s="462"/>
      <c r="AK24" s="463"/>
      <c r="AL24" s="462">
        <v>1</v>
      </c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8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 t="s">
        <v>773</v>
      </c>
      <c r="M25" s="249"/>
      <c r="N25" s="249"/>
      <c r="O25" s="249"/>
      <c r="P25" s="249"/>
      <c r="Q25" s="249"/>
      <c r="R25" s="249"/>
      <c r="S25" s="249"/>
      <c r="T25" s="249"/>
      <c r="U25" s="250"/>
      <c r="V25" s="214" t="s">
        <v>774</v>
      </c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8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 t="s">
        <v>596</v>
      </c>
      <c r="M26" s="249"/>
      <c r="N26" s="249"/>
      <c r="O26" s="249"/>
      <c r="P26" s="249"/>
      <c r="Q26" s="249"/>
      <c r="R26" s="249"/>
      <c r="S26" s="249"/>
      <c r="T26" s="249"/>
      <c r="U26" s="250"/>
      <c r="V26" s="214" t="s">
        <v>61</v>
      </c>
      <c r="W26" s="249"/>
      <c r="X26" s="249"/>
      <c r="Y26" s="249"/>
      <c r="Z26" s="249"/>
      <c r="AA26" s="250"/>
      <c r="AB26" s="251" t="s">
        <v>597</v>
      </c>
      <c r="AC26" s="252"/>
      <c r="AD26" s="252"/>
      <c r="AE26" s="253"/>
      <c r="AF26" s="462"/>
      <c r="AG26" s="463"/>
      <c r="AH26" s="462"/>
      <c r="AI26" s="463"/>
      <c r="AJ26" s="462"/>
      <c r="AK26" s="463"/>
      <c r="AL26" s="462">
        <v>1</v>
      </c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11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>
        <f>ROW()- 34</f>
        <v>1</v>
      </c>
      <c r="B35" s="214" t="s">
        <v>598</v>
      </c>
      <c r="C35" s="249"/>
      <c r="D35" s="249"/>
      <c r="E35" s="249"/>
      <c r="F35" s="249"/>
      <c r="G35" s="249"/>
      <c r="H35" s="249"/>
      <c r="I35" s="249"/>
      <c r="J35" s="249"/>
      <c r="K35" s="250"/>
      <c r="L35" s="214" t="s">
        <v>735</v>
      </c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 t="s">
        <v>599</v>
      </c>
      <c r="BJ35" s="194" t="s">
        <v>600</v>
      </c>
    </row>
    <row r="36" spans="1:62" s="75" customFormat="1" ht="14.1" customHeight="1">
      <c r="A36" s="157">
        <f>ROW()- 34</f>
        <v>2</v>
      </c>
      <c r="B36" s="214" t="s">
        <v>645</v>
      </c>
      <c r="C36" s="249"/>
      <c r="D36" s="249"/>
      <c r="E36" s="249"/>
      <c r="F36" s="249"/>
      <c r="G36" s="249"/>
      <c r="H36" s="249"/>
      <c r="I36" s="249"/>
      <c r="J36" s="249"/>
      <c r="K36" s="250"/>
      <c r="L36" s="214" t="s">
        <v>639</v>
      </c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 t="s">
        <v>602</v>
      </c>
      <c r="BJ36" s="194" t="s">
        <v>600</v>
      </c>
    </row>
    <row r="37" spans="1:62" s="75" customFormat="1" ht="14.1" customHeight="1">
      <c r="A37" s="157">
        <f>ROW()- 34</f>
        <v>3</v>
      </c>
      <c r="B37" s="214" t="s">
        <v>646</v>
      </c>
      <c r="C37" s="249"/>
      <c r="D37" s="249"/>
      <c r="E37" s="249"/>
      <c r="F37" s="249"/>
      <c r="G37" s="249"/>
      <c r="H37" s="249"/>
      <c r="I37" s="249"/>
      <c r="J37" s="249"/>
      <c r="K37" s="250"/>
      <c r="L37" s="214" t="s">
        <v>610</v>
      </c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 t="s">
        <v>602</v>
      </c>
      <c r="BJ37" s="194" t="s">
        <v>600</v>
      </c>
    </row>
    <row r="38" spans="1:62" ht="14.1" customHeight="1">
      <c r="A38" s="157">
        <f t="shared" ref="A38" si="2">IF(B38&lt;&gt;"",ROW()-34,"")</f>
        <v>4</v>
      </c>
      <c r="B38" s="214" t="s">
        <v>775</v>
      </c>
      <c r="C38" s="249"/>
      <c r="D38" s="249"/>
      <c r="E38" s="249"/>
      <c r="F38" s="249"/>
      <c r="G38" s="249"/>
      <c r="H38" s="249"/>
      <c r="I38" s="249"/>
      <c r="J38" s="249"/>
      <c r="K38" s="250"/>
      <c r="L38" s="214" t="s">
        <v>610</v>
      </c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622</v>
      </c>
      <c r="BG38" s="197"/>
      <c r="BH38" s="197"/>
      <c r="BI38" s="194"/>
      <c r="BJ38" s="194" t="s">
        <v>625</v>
      </c>
    </row>
    <row r="39" spans="1:62" ht="14.1" customHeight="1">
      <c r="A39" s="157">
        <f t="shared" ref="A35:A40" si="3">IF(B39&lt;&gt;"",ROW()-34,"")</f>
        <v>5</v>
      </c>
      <c r="B39" s="214" t="s">
        <v>776</v>
      </c>
      <c r="C39" s="249"/>
      <c r="D39" s="249"/>
      <c r="E39" s="249"/>
      <c r="F39" s="249"/>
      <c r="G39" s="249"/>
      <c r="H39" s="249"/>
      <c r="I39" s="249"/>
      <c r="J39" s="249"/>
      <c r="K39" s="250"/>
      <c r="L39" s="214" t="s">
        <v>639</v>
      </c>
      <c r="M39" s="215"/>
      <c r="N39" s="215"/>
      <c r="O39" s="215"/>
      <c r="P39" s="215"/>
      <c r="Q39" s="215"/>
      <c r="R39" s="215"/>
      <c r="S39" s="215"/>
      <c r="T39" s="215"/>
      <c r="U39" s="215"/>
      <c r="V39" s="215"/>
      <c r="W39" s="215"/>
      <c r="X39" s="215"/>
      <c r="Y39" s="215"/>
      <c r="Z39" s="215"/>
      <c r="AA39" s="215"/>
      <c r="AB39" s="215"/>
      <c r="AC39" s="215"/>
      <c r="AD39" s="215"/>
      <c r="AE39" s="215"/>
      <c r="AF39" s="215"/>
      <c r="AG39" s="215"/>
      <c r="AH39" s="215"/>
      <c r="AI39" s="215"/>
      <c r="AJ39" s="215"/>
      <c r="AK39" s="215"/>
      <c r="AL39" s="215"/>
      <c r="AM39" s="215"/>
      <c r="AN39" s="215"/>
      <c r="AO39" s="215"/>
      <c r="AP39" s="215"/>
      <c r="AQ39" s="215"/>
      <c r="AR39" s="215"/>
      <c r="AS39" s="215"/>
      <c r="AT39" s="215"/>
      <c r="AU39" s="215"/>
      <c r="AV39" s="215"/>
      <c r="AW39" s="215"/>
      <c r="AX39" s="215"/>
      <c r="AY39" s="215"/>
      <c r="AZ39" s="215"/>
      <c r="BA39" s="215"/>
      <c r="BB39" s="216"/>
      <c r="BF39" s="199" t="s">
        <v>572</v>
      </c>
      <c r="BG39" s="197"/>
      <c r="BH39" s="197"/>
      <c r="BI39" s="194"/>
      <c r="BJ39" s="194" t="s">
        <v>625</v>
      </c>
    </row>
    <row r="40" spans="1:62" ht="14.1" customHeight="1" thickBot="1">
      <c r="A40" s="158" t="str">
        <f t="shared" si="3"/>
        <v/>
      </c>
      <c r="B40" s="217"/>
      <c r="C40" s="307"/>
      <c r="D40" s="307"/>
      <c r="E40" s="307"/>
      <c r="F40" s="307"/>
      <c r="G40" s="307"/>
      <c r="H40" s="307"/>
      <c r="I40" s="307"/>
      <c r="J40" s="307"/>
      <c r="K40" s="308"/>
      <c r="L40" s="217"/>
      <c r="M40" s="218"/>
      <c r="N40" s="218"/>
      <c r="O40" s="218"/>
      <c r="P40" s="218"/>
      <c r="Q40" s="218"/>
      <c r="R40" s="218"/>
      <c r="S40" s="218"/>
      <c r="T40" s="218"/>
      <c r="U40" s="218"/>
      <c r="V40" s="218"/>
      <c r="W40" s="218"/>
      <c r="X40" s="218"/>
      <c r="Y40" s="218"/>
      <c r="Z40" s="218"/>
      <c r="AA40" s="218"/>
      <c r="AB40" s="218"/>
      <c r="AC40" s="218"/>
      <c r="AD40" s="218"/>
      <c r="AE40" s="218"/>
      <c r="AF40" s="218"/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18"/>
      <c r="AU40" s="218"/>
      <c r="AV40" s="218"/>
      <c r="AW40" s="218"/>
      <c r="AX40" s="218"/>
      <c r="AY40" s="218"/>
      <c r="AZ40" s="218"/>
      <c r="BA40" s="218"/>
      <c r="BB40" s="219"/>
      <c r="BF40" s="199" t="s">
        <v>577</v>
      </c>
      <c r="BG40" s="197"/>
      <c r="BH40" s="197"/>
      <c r="BI40" s="194"/>
      <c r="BJ40" s="194"/>
    </row>
    <row r="41" spans="1:62" ht="13.5" customHeight="1">
      <c r="BF41" s="3"/>
      <c r="BG41" s="3"/>
      <c r="BH41" s="3"/>
      <c r="BI41" s="3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1:61" ht="13.5" customHeight="1">
      <c r="BF49" s="3"/>
      <c r="BG49" s="3"/>
      <c r="BH49" s="3"/>
      <c r="BI49" s="3"/>
    </row>
    <row r="50" spans="1:61" s="196" customFormat="1" ht="13.5" customHeight="1">
      <c r="A50" s="78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/>
      <c r="BD50"/>
      <c r="BE50" s="78"/>
      <c r="BF50" s="3"/>
      <c r="BG50" s="3"/>
      <c r="BH50" s="3"/>
      <c r="BI50" s="3"/>
    </row>
  </sheetData>
  <mergeCells count="215">
    <mergeCell ref="AP30:BB30"/>
    <mergeCell ref="AP31:BB31"/>
    <mergeCell ref="B38:K38"/>
    <mergeCell ref="L38:BB38"/>
    <mergeCell ref="AP24:BB24"/>
    <mergeCell ref="AP25:BB25"/>
    <mergeCell ref="AP26:BB26"/>
    <mergeCell ref="AP27:BB27"/>
    <mergeCell ref="AP28:BB28"/>
    <mergeCell ref="AP29:BB29"/>
    <mergeCell ref="B40:K40"/>
    <mergeCell ref="L40:BB40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39:K39"/>
    <mergeCell ref="L39:BB39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40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31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49" max="16383" man="1"/>
  </row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22"/>
  <dimension ref="A1:BJ49"/>
  <sheetViews>
    <sheetView showGridLines="0" zoomScaleNormal="100" workbookViewId="0">
      <selection sqref="A1:G1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777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778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 t="s">
        <v>605</v>
      </c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654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629</v>
      </c>
      <c r="W16" s="249"/>
      <c r="X16" s="249"/>
      <c r="Y16" s="249"/>
      <c r="Z16" s="249"/>
      <c r="AA16" s="250"/>
      <c r="AB16" s="251" t="s">
        <v>606</v>
      </c>
      <c r="AC16" s="252"/>
      <c r="AD16" s="252"/>
      <c r="AE16" s="253"/>
      <c r="AF16" s="462"/>
      <c r="AG16" s="463"/>
      <c r="AH16" s="462"/>
      <c r="AI16" s="463"/>
      <c r="AJ16" s="462"/>
      <c r="AK16" s="463"/>
      <c r="AL16" s="462">
        <v>1</v>
      </c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2</v>
      </c>
      <c r="BI16" s="197"/>
      <c r="BJ16" s="198"/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630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655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/>
      <c r="AG17" s="463"/>
      <c r="AH17" s="462"/>
      <c r="AI17" s="463"/>
      <c r="AJ17" s="462"/>
      <c r="AK17" s="463"/>
      <c r="AL17" s="462"/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4</v>
      </c>
      <c r="BI17" s="197"/>
      <c r="BJ17" s="198"/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609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567</v>
      </c>
      <c r="W18" s="249"/>
      <c r="X18" s="249"/>
      <c r="Y18" s="249"/>
      <c r="Z18" s="249"/>
      <c r="AA18" s="250"/>
      <c r="AB18" s="251"/>
      <c r="AC18" s="252"/>
      <c r="AD18" s="252"/>
      <c r="AE18" s="253"/>
      <c r="AF18" s="462"/>
      <c r="AG18" s="463"/>
      <c r="AH18" s="462"/>
      <c r="AI18" s="463"/>
      <c r="AJ18" s="462"/>
      <c r="AK18" s="463"/>
      <c r="AL18" s="462">
        <v>1</v>
      </c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7</v>
      </c>
      <c r="BI18" s="197"/>
      <c r="BJ18" s="198"/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 t="s">
        <v>656</v>
      </c>
      <c r="M19" s="249"/>
      <c r="N19" s="249"/>
      <c r="O19" s="249"/>
      <c r="P19" s="249"/>
      <c r="Q19" s="249"/>
      <c r="R19" s="249"/>
      <c r="S19" s="249"/>
      <c r="T19" s="249"/>
      <c r="U19" s="250"/>
      <c r="V19" s="214" t="s">
        <v>615</v>
      </c>
      <c r="W19" s="249"/>
      <c r="X19" s="249"/>
      <c r="Y19" s="249"/>
      <c r="Z19" s="249"/>
      <c r="AA19" s="250"/>
      <c r="AB19" s="251"/>
      <c r="AC19" s="252"/>
      <c r="AD19" s="252"/>
      <c r="AE19" s="253"/>
      <c r="AF19" s="462"/>
      <c r="AG19" s="463"/>
      <c r="AH19" s="462"/>
      <c r="AI19" s="463"/>
      <c r="AJ19" s="462"/>
      <c r="AK19" s="463"/>
      <c r="AL19" s="462"/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8</v>
      </c>
      <c r="BI19" s="197"/>
      <c r="BJ19" s="198"/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 t="s">
        <v>616</v>
      </c>
      <c r="M20" s="249"/>
      <c r="N20" s="249"/>
      <c r="O20" s="249"/>
      <c r="P20" s="249"/>
      <c r="Q20" s="249"/>
      <c r="R20" s="249"/>
      <c r="S20" s="249"/>
      <c r="T20" s="249"/>
      <c r="U20" s="250"/>
      <c r="V20" s="214" t="s">
        <v>566</v>
      </c>
      <c r="W20" s="249"/>
      <c r="X20" s="249"/>
      <c r="Y20" s="249"/>
      <c r="Z20" s="249"/>
      <c r="AA20" s="250"/>
      <c r="AB20" s="251"/>
      <c r="AC20" s="252"/>
      <c r="AD20" s="252"/>
      <c r="AE20" s="253"/>
      <c r="AF20" s="462"/>
      <c r="AG20" s="463"/>
      <c r="AH20" s="462"/>
      <c r="AI20" s="463"/>
      <c r="AJ20" s="462"/>
      <c r="AK20" s="463"/>
      <c r="AL20" s="462">
        <v>1</v>
      </c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5</v>
      </c>
      <c r="BI20" s="197"/>
      <c r="BJ20" s="198"/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 t="s">
        <v>581</v>
      </c>
      <c r="M21" s="249"/>
      <c r="N21" s="249"/>
      <c r="O21" s="249"/>
      <c r="P21" s="249"/>
      <c r="Q21" s="249"/>
      <c r="R21" s="249"/>
      <c r="S21" s="249"/>
      <c r="T21" s="249"/>
      <c r="U21" s="250"/>
      <c r="V21" s="214" t="s">
        <v>567</v>
      </c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/>
      <c r="AK21" s="463"/>
      <c r="AL21" s="462">
        <v>1</v>
      </c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4</v>
      </c>
      <c r="BI21" s="197"/>
      <c r="BJ21" s="198"/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 t="s">
        <v>583</v>
      </c>
      <c r="M22" s="249"/>
      <c r="N22" s="249"/>
      <c r="O22" s="249"/>
      <c r="P22" s="249"/>
      <c r="Q22" s="249"/>
      <c r="R22" s="249"/>
      <c r="S22" s="249"/>
      <c r="T22" s="249"/>
      <c r="U22" s="250"/>
      <c r="V22" s="214" t="s">
        <v>567</v>
      </c>
      <c r="W22" s="249"/>
      <c r="X22" s="249"/>
      <c r="Y22" s="249"/>
      <c r="Z22" s="249"/>
      <c r="AA22" s="250"/>
      <c r="AB22" s="251"/>
      <c r="AC22" s="252"/>
      <c r="AD22" s="252"/>
      <c r="AE22" s="253"/>
      <c r="AF22" s="462"/>
      <c r="AG22" s="463"/>
      <c r="AH22" s="462"/>
      <c r="AI22" s="463"/>
      <c r="AJ22" s="462"/>
      <c r="AK22" s="463"/>
      <c r="AL22" s="462">
        <v>1</v>
      </c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7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 t="s">
        <v>660</v>
      </c>
      <c r="M23" s="249"/>
      <c r="N23" s="249"/>
      <c r="O23" s="249"/>
      <c r="P23" s="249"/>
      <c r="Q23" s="249"/>
      <c r="R23" s="249"/>
      <c r="S23" s="249"/>
      <c r="T23" s="249"/>
      <c r="U23" s="250"/>
      <c r="V23" s="214" t="s">
        <v>629</v>
      </c>
      <c r="W23" s="249"/>
      <c r="X23" s="249"/>
      <c r="Y23" s="249"/>
      <c r="Z23" s="249"/>
      <c r="AA23" s="250"/>
      <c r="AB23" s="251"/>
      <c r="AC23" s="252"/>
      <c r="AD23" s="252"/>
      <c r="AE23" s="253"/>
      <c r="AF23" s="462"/>
      <c r="AG23" s="463"/>
      <c r="AH23" s="462"/>
      <c r="AI23" s="463"/>
      <c r="AJ23" s="462"/>
      <c r="AK23" s="463"/>
      <c r="AL23" s="462">
        <v>1</v>
      </c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3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/>
      <c r="M24" s="249"/>
      <c r="N24" s="249"/>
      <c r="O24" s="249"/>
      <c r="P24" s="249"/>
      <c r="Q24" s="249"/>
      <c r="R24" s="249"/>
      <c r="S24" s="249"/>
      <c r="T24" s="249"/>
      <c r="U24" s="250"/>
      <c r="V24" s="214"/>
      <c r="W24" s="249"/>
      <c r="X24" s="249"/>
      <c r="Y24" s="249"/>
      <c r="Z24" s="249"/>
      <c r="AA24" s="250"/>
      <c r="AB24" s="251"/>
      <c r="AC24" s="252"/>
      <c r="AD24" s="252"/>
      <c r="AE24" s="253"/>
      <c r="AF24" s="462"/>
      <c r="AG24" s="463"/>
      <c r="AH24" s="462"/>
      <c r="AI24" s="463"/>
      <c r="AJ24" s="462"/>
      <c r="AK24" s="463"/>
      <c r="AL24" s="462"/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0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 t="str">
        <f t="shared" ref="A35:A39" si="2">IF(B35&lt;&gt;"",ROW()-34,"")</f>
        <v/>
      </c>
      <c r="B35" s="214"/>
      <c r="C35" s="249"/>
      <c r="D35" s="249"/>
      <c r="E35" s="249"/>
      <c r="F35" s="249"/>
      <c r="G35" s="249"/>
      <c r="H35" s="249"/>
      <c r="I35" s="249"/>
      <c r="J35" s="249"/>
      <c r="K35" s="250"/>
      <c r="L35" s="214"/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/>
      <c r="BJ35" s="194"/>
    </row>
    <row r="36" spans="1:62" s="75" customFormat="1" ht="14.1" customHeight="1">
      <c r="A36" s="157" t="str">
        <f t="shared" si="2"/>
        <v/>
      </c>
      <c r="B36" s="214"/>
      <c r="C36" s="249"/>
      <c r="D36" s="249"/>
      <c r="E36" s="249"/>
      <c r="F36" s="249"/>
      <c r="G36" s="249"/>
      <c r="H36" s="249"/>
      <c r="I36" s="249"/>
      <c r="J36" s="249"/>
      <c r="K36" s="250"/>
      <c r="L36" s="214"/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/>
      <c r="BJ36" s="194"/>
    </row>
    <row r="37" spans="1:62" s="75" customFormat="1" ht="14.1" customHeight="1">
      <c r="A37" s="157" t="str">
        <f t="shared" si="2"/>
        <v/>
      </c>
      <c r="B37" s="214"/>
      <c r="C37" s="249"/>
      <c r="D37" s="249"/>
      <c r="E37" s="249"/>
      <c r="F37" s="249"/>
      <c r="G37" s="249"/>
      <c r="H37" s="249"/>
      <c r="I37" s="249"/>
      <c r="J37" s="249"/>
      <c r="K37" s="250"/>
      <c r="L37" s="214"/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/>
      <c r="BJ37" s="194"/>
    </row>
    <row r="38" spans="1:62" ht="14.1" customHeight="1">
      <c r="A38" s="157" t="str">
        <f t="shared" si="2"/>
        <v/>
      </c>
      <c r="B38" s="214"/>
      <c r="C38" s="249"/>
      <c r="D38" s="249"/>
      <c r="E38" s="249"/>
      <c r="F38" s="249"/>
      <c r="G38" s="249"/>
      <c r="H38" s="249"/>
      <c r="I38" s="249"/>
      <c r="J38" s="249"/>
      <c r="K38" s="250"/>
      <c r="L38" s="214"/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572</v>
      </c>
      <c r="BG38" s="197"/>
      <c r="BH38" s="197"/>
      <c r="BI38" s="194"/>
      <c r="BJ38" s="194"/>
    </row>
    <row r="39" spans="1:62" ht="14.1" customHeight="1" thickBot="1">
      <c r="A39" s="158" t="str">
        <f t="shared" si="2"/>
        <v/>
      </c>
      <c r="B39" s="217"/>
      <c r="C39" s="307"/>
      <c r="D39" s="307"/>
      <c r="E39" s="307"/>
      <c r="F39" s="307"/>
      <c r="G39" s="307"/>
      <c r="H39" s="307"/>
      <c r="I39" s="307"/>
      <c r="J39" s="307"/>
      <c r="K39" s="308"/>
      <c r="L39" s="217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9"/>
      <c r="BF39" s="199" t="s">
        <v>577</v>
      </c>
      <c r="BG39" s="197"/>
      <c r="BH39" s="197"/>
      <c r="BI39" s="194"/>
      <c r="BJ39" s="194"/>
    </row>
    <row r="40" spans="1:62" ht="13.5" customHeight="1">
      <c r="BF40" s="3"/>
      <c r="BG40" s="3"/>
      <c r="BH40" s="3"/>
      <c r="BI40" s="3"/>
    </row>
    <row r="41" spans="1:62" ht="13.5" customHeight="1">
      <c r="BF41" s="3"/>
      <c r="BG41" s="3"/>
      <c r="BH41" s="3"/>
      <c r="BI41" s="3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58:61" ht="13.5" customHeight="1">
      <c r="BF49" s="3"/>
      <c r="BG49" s="3"/>
      <c r="BH49" s="3"/>
      <c r="BI49" s="3"/>
    </row>
  </sheetData>
  <mergeCells count="213">
    <mergeCell ref="AP30:BB30"/>
    <mergeCell ref="AP31:BB31"/>
    <mergeCell ref="AP24:BB24"/>
    <mergeCell ref="AP25:BB25"/>
    <mergeCell ref="AP26:BB26"/>
    <mergeCell ref="AP27:BB27"/>
    <mergeCell ref="AP28:BB28"/>
    <mergeCell ref="AP29:BB29"/>
    <mergeCell ref="B39:K39"/>
    <mergeCell ref="L39:BB39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38:K38"/>
    <mergeCell ref="L38:BB38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39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16 AB17:AE17 AB18:AE18 AB19:AE19 AB20:AE20 AB21:AE21 AB22:AE22 AB24:AE31 AB23:AE23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48" max="16383" man="1"/>
  </row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23"/>
  <dimension ref="A1:BJ50"/>
  <sheetViews>
    <sheetView showGridLines="0" zoomScaleNormal="100" workbookViewId="0">
      <selection activeCell="T10" sqref="F9:BB10"/>
    </sheetView>
  </sheetViews>
  <sheetFormatPr defaultColWidth="3.5703125" defaultRowHeight="13.5" customHeight="1"/>
  <cols>
    <col min="1" max="5" width="3.5703125" style="78"/>
    <col min="6" max="6" width="4.85546875" style="78" customWidth="1"/>
    <col min="7" max="54" width="3.5703125" style="78"/>
    <col min="57" max="57" width="3.5703125" style="78"/>
    <col min="58" max="62" width="12.7109375" style="196" customWidth="1"/>
    <col min="63" max="16384" width="3.5703125" style="78"/>
  </cols>
  <sheetData>
    <row r="1" spans="1:62" s="75" customFormat="1" ht="13.5" customHeight="1">
      <c r="A1" s="282" t="s">
        <v>1</v>
      </c>
      <c r="B1" s="283"/>
      <c r="C1" s="283"/>
      <c r="D1" s="283"/>
      <c r="E1" s="283"/>
      <c r="F1" s="283"/>
      <c r="G1" s="284"/>
      <c r="H1" s="285" t="str">
        <f>ProjectName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288" t="s">
        <v>461</v>
      </c>
      <c r="X1" s="283"/>
      <c r="Y1" s="283"/>
      <c r="Z1" s="283"/>
      <c r="AA1" s="284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">
        <v>379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v>44484</v>
      </c>
      <c r="AY1" s="263"/>
      <c r="AZ1" s="263"/>
      <c r="BA1" s="263"/>
      <c r="BB1" s="264"/>
      <c r="BC1"/>
      <c r="BD1"/>
      <c r="BF1" s="3"/>
      <c r="BG1" s="3"/>
      <c r="BH1" s="3"/>
      <c r="BI1" s="3"/>
      <c r="BJ1" s="195"/>
    </row>
    <row r="2" spans="1:62" s="75" customFormat="1" ht="13.5" customHeight="1">
      <c r="A2" s="265" t="s">
        <v>464</v>
      </c>
      <c r="B2" s="266"/>
      <c r="C2" s="266"/>
      <c r="D2" s="266"/>
      <c r="E2" s="266"/>
      <c r="F2" s="266"/>
      <c r="G2" s="267"/>
      <c r="H2" s="268" t="str">
        <f>systemName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270" t="s">
        <v>465</v>
      </c>
      <c r="X2" s="266"/>
      <c r="Y2" s="266"/>
      <c r="Z2" s="266"/>
      <c r="AA2" s="267"/>
      <c r="AB2" s="271" t="str">
        <f>subSystemName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  <c r="BC2"/>
      <c r="BD2"/>
      <c r="BF2" s="3"/>
      <c r="BG2" s="3"/>
      <c r="BH2" s="3"/>
      <c r="BI2" s="3"/>
      <c r="BJ2" s="195"/>
    </row>
    <row r="3" spans="1:62" s="75" customFormat="1" ht="13.5" customHeight="1" thickBot="1">
      <c r="A3" s="241" t="s">
        <v>468</v>
      </c>
      <c r="B3" s="242"/>
      <c r="C3" s="242"/>
      <c r="D3" s="242"/>
      <c r="E3" s="242"/>
      <c r="F3" s="242"/>
      <c r="G3" s="243"/>
      <c r="H3" s="244" t="s">
        <v>543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">
        <v>779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  <c r="BC3"/>
      <c r="BD3"/>
      <c r="BF3" s="195"/>
      <c r="BG3" s="195"/>
      <c r="BH3" s="195"/>
      <c r="BI3" s="195"/>
      <c r="BJ3" s="195"/>
    </row>
    <row r="4" spans="1:62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62" s="75" customFormat="1" ht="13.5" customHeight="1">
      <c r="A5" s="229" t="s">
        <v>470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  <c r="BC5"/>
      <c r="BD5"/>
      <c r="BF5" s="195"/>
      <c r="BG5" s="195"/>
      <c r="BH5" s="195"/>
      <c r="BI5" s="195"/>
      <c r="BJ5" s="195"/>
    </row>
    <row r="6" spans="1:62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  <c r="BC6"/>
      <c r="BD6"/>
      <c r="BF6" s="195"/>
      <c r="BG6" s="195"/>
      <c r="BH6" s="195"/>
      <c r="BI6" s="195"/>
      <c r="BJ6" s="195"/>
    </row>
    <row r="7" spans="1:62" s="75" customFormat="1" ht="13.5" customHeight="1">
      <c r="A7" s="235" t="s">
        <v>471</v>
      </c>
      <c r="B7" s="236"/>
      <c r="C7" s="236"/>
      <c r="D7" s="236"/>
      <c r="E7" s="237"/>
      <c r="F7" s="246" t="s">
        <v>588</v>
      </c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  <c r="U7" s="247"/>
      <c r="V7" s="247"/>
      <c r="W7" s="247"/>
      <c r="X7" s="247"/>
      <c r="Y7" s="247"/>
      <c r="Z7" s="247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8"/>
      <c r="BC7"/>
      <c r="BD7"/>
      <c r="BF7" s="195"/>
      <c r="BG7" s="195"/>
      <c r="BH7" s="195"/>
      <c r="BI7" s="195"/>
      <c r="BJ7" s="195"/>
    </row>
    <row r="8" spans="1:62" s="75" customFormat="1" ht="13.5" customHeight="1">
      <c r="A8" s="238" t="s">
        <v>202</v>
      </c>
      <c r="B8" s="239"/>
      <c r="C8" s="239"/>
      <c r="D8" s="239"/>
      <c r="E8" s="240"/>
      <c r="F8" s="220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2"/>
      <c r="BC8"/>
      <c r="BD8"/>
      <c r="BF8" s="195"/>
      <c r="BG8" s="195"/>
      <c r="BH8" s="195"/>
      <c r="BI8" s="195"/>
      <c r="BJ8" s="195"/>
    </row>
    <row r="9" spans="1:62" s="75" customFormat="1" ht="13.5" customHeight="1">
      <c r="A9" s="238" t="s">
        <v>472</v>
      </c>
      <c r="B9" s="239"/>
      <c r="C9" s="239"/>
      <c r="D9" s="239"/>
      <c r="E9" s="240"/>
      <c r="F9" s="220" t="s">
        <v>764</v>
      </c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221"/>
      <c r="AY9" s="221"/>
      <c r="AZ9" s="221"/>
      <c r="BA9" s="221"/>
      <c r="BB9" s="222"/>
      <c r="BC9"/>
      <c r="BD9"/>
      <c r="BF9" s="195"/>
      <c r="BG9" s="195"/>
      <c r="BH9" s="195"/>
      <c r="BI9" s="195"/>
      <c r="BJ9" s="195"/>
    </row>
    <row r="10" spans="1:62" s="75" customFormat="1" ht="13.5" customHeight="1">
      <c r="A10" s="208" t="s">
        <v>473</v>
      </c>
      <c r="B10" s="209"/>
      <c r="C10" s="209"/>
      <c r="D10" s="209"/>
      <c r="E10" s="210"/>
      <c r="F10" s="170" t="s">
        <v>547</v>
      </c>
      <c r="G10" s="309" t="s">
        <v>587</v>
      </c>
      <c r="H10" s="309"/>
      <c r="I10" s="309"/>
      <c r="J10" s="309"/>
      <c r="K10" s="309"/>
      <c r="L10" s="309"/>
      <c r="M10" s="309"/>
      <c r="O10" s="171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6"/>
      <c r="BC10"/>
      <c r="BD10"/>
      <c r="BF10" s="195"/>
      <c r="BG10" s="195"/>
      <c r="BH10" s="195"/>
      <c r="BI10" s="195"/>
      <c r="BJ10" s="195"/>
    </row>
    <row r="11" spans="1:62" s="75" customFormat="1" ht="13.5" customHeight="1" thickBot="1">
      <c r="A11" s="211"/>
      <c r="B11" s="212"/>
      <c r="C11" s="212"/>
      <c r="D11" s="212"/>
      <c r="E11" s="213"/>
      <c r="F11" s="172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80"/>
      <c r="BC11"/>
      <c r="BD11"/>
      <c r="BF11" s="195"/>
      <c r="BG11" s="195"/>
      <c r="BH11" s="195"/>
      <c r="BI11" s="195"/>
      <c r="BJ11" s="195"/>
    </row>
    <row r="12" spans="1:62" s="75" customFormat="1" ht="13.5" customHeight="1">
      <c r="A12" s="229" t="s">
        <v>474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0"/>
      <c r="AE12" s="230"/>
      <c r="AF12" s="230"/>
      <c r="AG12" s="230"/>
      <c r="AH12" s="230"/>
      <c r="AI12" s="230"/>
      <c r="AJ12" s="230"/>
      <c r="AK12" s="230"/>
      <c r="AL12" s="230"/>
      <c r="AM12" s="230"/>
      <c r="AN12" s="230"/>
      <c r="AO12" s="230"/>
      <c r="AP12" s="230"/>
      <c r="AQ12" s="230"/>
      <c r="AR12" s="230"/>
      <c r="AS12" s="230"/>
      <c r="AT12" s="230"/>
      <c r="AU12" s="230"/>
      <c r="AV12" s="230"/>
      <c r="AW12" s="230"/>
      <c r="AX12" s="230"/>
      <c r="AY12" s="230"/>
      <c r="AZ12" s="230"/>
      <c r="BA12" s="230"/>
      <c r="BB12" s="231"/>
      <c r="BC12"/>
      <c r="BD12"/>
      <c r="BF12" s="195"/>
      <c r="BG12" s="195"/>
      <c r="BH12" s="195"/>
      <c r="BI12" s="195"/>
      <c r="BJ12" s="195"/>
    </row>
    <row r="13" spans="1:62" s="75" customFormat="1" ht="13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3"/>
      <c r="O13" s="233"/>
      <c r="P13" s="233"/>
      <c r="Q13" s="233"/>
      <c r="R13" s="233"/>
      <c r="S13" s="233"/>
      <c r="T13" s="233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4"/>
      <c r="BC13"/>
      <c r="BD13"/>
      <c r="BF13" s="195"/>
      <c r="BG13" s="195"/>
      <c r="BH13" s="195"/>
      <c r="BI13" s="195"/>
      <c r="BJ13" s="195"/>
    </row>
    <row r="14" spans="1:62" s="75" customFormat="1" ht="13.5" customHeight="1">
      <c r="A14" s="292" t="s">
        <v>475</v>
      </c>
      <c r="B14" s="294" t="s">
        <v>476</v>
      </c>
      <c r="C14" s="295"/>
      <c r="D14" s="295"/>
      <c r="E14" s="295"/>
      <c r="F14" s="295"/>
      <c r="G14" s="295"/>
      <c r="H14" s="295"/>
      <c r="I14" s="295"/>
      <c r="J14" s="295"/>
      <c r="K14" s="296"/>
      <c r="L14" s="294" t="s">
        <v>477</v>
      </c>
      <c r="M14" s="295"/>
      <c r="N14" s="295"/>
      <c r="O14" s="295"/>
      <c r="P14" s="295"/>
      <c r="Q14" s="295"/>
      <c r="R14" s="295"/>
      <c r="S14" s="295"/>
      <c r="T14" s="295"/>
      <c r="U14" s="296"/>
      <c r="V14" s="294" t="s">
        <v>478</v>
      </c>
      <c r="W14" s="295"/>
      <c r="X14" s="295"/>
      <c r="Y14" s="295"/>
      <c r="Z14" s="295"/>
      <c r="AA14" s="296"/>
      <c r="AB14" s="294" t="s">
        <v>107</v>
      </c>
      <c r="AC14" s="295"/>
      <c r="AD14" s="295"/>
      <c r="AE14" s="296"/>
      <c r="AF14" s="300" t="s">
        <v>479</v>
      </c>
      <c r="AG14" s="301"/>
      <c r="AH14" s="300" t="s">
        <v>480</v>
      </c>
      <c r="AI14" s="301"/>
      <c r="AJ14" s="300" t="s">
        <v>481</v>
      </c>
      <c r="AK14" s="301"/>
      <c r="AL14" s="300" t="s">
        <v>482</v>
      </c>
      <c r="AM14" s="301"/>
      <c r="AN14" s="301" t="s">
        <v>483</v>
      </c>
      <c r="AO14" s="301"/>
      <c r="AP14" s="294" t="s">
        <v>473</v>
      </c>
      <c r="AQ14" s="295"/>
      <c r="AR14" s="295"/>
      <c r="AS14" s="295"/>
      <c r="AT14" s="295"/>
      <c r="AU14" s="295"/>
      <c r="AV14" s="295"/>
      <c r="AW14" s="295"/>
      <c r="AX14" s="295"/>
      <c r="AY14" s="295"/>
      <c r="AZ14" s="295"/>
      <c r="BA14" s="295"/>
      <c r="BB14" s="303"/>
      <c r="BC14"/>
      <c r="BD14"/>
      <c r="BF14" s="191" t="s">
        <v>552</v>
      </c>
      <c r="BG14" s="191"/>
      <c r="BH14" s="191"/>
      <c r="BI14" s="191"/>
      <c r="BJ14" s="191"/>
    </row>
    <row r="15" spans="1:62" s="75" customFormat="1" ht="13.5" customHeight="1">
      <c r="A15" s="293"/>
      <c r="B15" s="297"/>
      <c r="C15" s="298"/>
      <c r="D15" s="298"/>
      <c r="E15" s="298"/>
      <c r="F15" s="298"/>
      <c r="G15" s="298"/>
      <c r="H15" s="298"/>
      <c r="I15" s="298"/>
      <c r="J15" s="298"/>
      <c r="K15" s="299"/>
      <c r="L15" s="297"/>
      <c r="M15" s="298"/>
      <c r="N15" s="298"/>
      <c r="O15" s="298"/>
      <c r="P15" s="298"/>
      <c r="Q15" s="298"/>
      <c r="R15" s="298"/>
      <c r="S15" s="298"/>
      <c r="T15" s="298"/>
      <c r="U15" s="299"/>
      <c r="V15" s="297"/>
      <c r="W15" s="298"/>
      <c r="X15" s="298"/>
      <c r="Y15" s="298"/>
      <c r="Z15" s="298"/>
      <c r="AA15" s="299"/>
      <c r="AB15" s="297"/>
      <c r="AC15" s="298"/>
      <c r="AD15" s="298"/>
      <c r="AE15" s="299"/>
      <c r="AF15" s="302"/>
      <c r="AG15" s="302"/>
      <c r="AH15" s="302"/>
      <c r="AI15" s="302"/>
      <c r="AJ15" s="302"/>
      <c r="AK15" s="302"/>
      <c r="AL15" s="302"/>
      <c r="AM15" s="302"/>
      <c r="AN15" s="302"/>
      <c r="AO15" s="302"/>
      <c r="AP15" s="297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304"/>
      <c r="BC15"/>
      <c r="BD15"/>
      <c r="BF15" s="192" t="s">
        <v>571</v>
      </c>
      <c r="BG15" s="192" t="s">
        <v>570</v>
      </c>
      <c r="BH15" s="192" t="s">
        <v>545</v>
      </c>
      <c r="BI15" s="192" t="s">
        <v>565</v>
      </c>
      <c r="BJ15" s="192" t="s">
        <v>563</v>
      </c>
    </row>
    <row r="16" spans="1:62" s="75" customFormat="1" ht="14.1" customHeight="1">
      <c r="A16" s="157">
        <f t="shared" ref="A16:A31" si="0">ROW()-15</f>
        <v>1</v>
      </c>
      <c r="B16" s="214"/>
      <c r="C16" s="249"/>
      <c r="D16" s="249"/>
      <c r="E16" s="249"/>
      <c r="F16" s="249"/>
      <c r="G16" s="249"/>
      <c r="H16" s="249"/>
      <c r="I16" s="249"/>
      <c r="J16" s="249"/>
      <c r="K16" s="250"/>
      <c r="L16" s="214" t="s">
        <v>639</v>
      </c>
      <c r="M16" s="249"/>
      <c r="N16" s="249"/>
      <c r="O16" s="249"/>
      <c r="P16" s="249"/>
      <c r="Q16" s="249"/>
      <c r="R16" s="249"/>
      <c r="S16" s="249"/>
      <c r="T16" s="249"/>
      <c r="U16" s="250"/>
      <c r="V16" s="214" t="s">
        <v>629</v>
      </c>
      <c r="W16" s="249"/>
      <c r="X16" s="249"/>
      <c r="Y16" s="249"/>
      <c r="Z16" s="249"/>
      <c r="AA16" s="250"/>
      <c r="AB16" s="251" t="s">
        <v>592</v>
      </c>
      <c r="AC16" s="252"/>
      <c r="AD16" s="252"/>
      <c r="AE16" s="253"/>
      <c r="AF16" s="462">
        <v>1</v>
      </c>
      <c r="AG16" s="463"/>
      <c r="AH16" s="462"/>
      <c r="AI16" s="463"/>
      <c r="AJ16" s="462"/>
      <c r="AK16" s="463"/>
      <c r="AL16" s="462">
        <v>1</v>
      </c>
      <c r="AM16" s="463"/>
      <c r="AN16" s="462"/>
      <c r="AO16" s="463"/>
      <c r="AP16" s="220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2"/>
      <c r="BC16"/>
      <c r="BD16"/>
      <c r="BF16" s="199" t="s">
        <v>573</v>
      </c>
      <c r="BG16" s="199"/>
      <c r="BH16" s="199">
        <f>LENB($L16)</f>
        <v>8</v>
      </c>
      <c r="BI16" s="197">
        <v>1</v>
      </c>
      <c r="BJ16" s="198"/>
    </row>
    <row r="17" spans="1:62" s="75" customFormat="1" ht="14.1" customHeight="1">
      <c r="A17" s="157">
        <f t="shared" si="0"/>
        <v>2</v>
      </c>
      <c r="B17" s="214"/>
      <c r="C17" s="249"/>
      <c r="D17" s="249"/>
      <c r="E17" s="249"/>
      <c r="F17" s="249"/>
      <c r="G17" s="249"/>
      <c r="H17" s="249"/>
      <c r="I17" s="249"/>
      <c r="J17" s="249"/>
      <c r="K17" s="250"/>
      <c r="L17" s="214" t="s">
        <v>780</v>
      </c>
      <c r="M17" s="249"/>
      <c r="N17" s="249"/>
      <c r="O17" s="249"/>
      <c r="P17" s="249"/>
      <c r="Q17" s="249"/>
      <c r="R17" s="249"/>
      <c r="S17" s="249"/>
      <c r="T17" s="249"/>
      <c r="U17" s="250"/>
      <c r="V17" s="214" t="s">
        <v>784</v>
      </c>
      <c r="W17" s="249"/>
      <c r="X17" s="249"/>
      <c r="Y17" s="249"/>
      <c r="Z17" s="249"/>
      <c r="AA17" s="250"/>
      <c r="AB17" s="251"/>
      <c r="AC17" s="252"/>
      <c r="AD17" s="252"/>
      <c r="AE17" s="253"/>
      <c r="AF17" s="462"/>
      <c r="AG17" s="463"/>
      <c r="AH17" s="462"/>
      <c r="AI17" s="463"/>
      <c r="AJ17" s="462">
        <v>1</v>
      </c>
      <c r="AK17" s="463"/>
      <c r="AL17" s="462">
        <v>1</v>
      </c>
      <c r="AM17" s="463"/>
      <c r="AN17" s="462"/>
      <c r="AO17" s="463"/>
      <c r="AP17" s="220"/>
      <c r="AQ17" s="221"/>
      <c r="AR17" s="221"/>
      <c r="AS17" s="221"/>
      <c r="AT17" s="221"/>
      <c r="AU17" s="221"/>
      <c r="AV17" s="221"/>
      <c r="AW17" s="221"/>
      <c r="AX17" s="221"/>
      <c r="AY17" s="221"/>
      <c r="AZ17" s="221"/>
      <c r="BA17" s="221"/>
      <c r="BB17" s="222"/>
      <c r="BC17"/>
      <c r="BD17"/>
      <c r="BF17" s="199" t="s">
        <v>574</v>
      </c>
      <c r="BG17" s="199"/>
      <c r="BH17" s="199">
        <f t="shared" ref="BH17:BH31" si="1">LENB($L17)</f>
        <v>16</v>
      </c>
      <c r="BI17" s="197">
        <v>1</v>
      </c>
      <c r="BJ17" s="198" t="s">
        <v>745</v>
      </c>
    </row>
    <row r="18" spans="1:62" s="75" customFormat="1" ht="14.1" customHeight="1">
      <c r="A18" s="157">
        <f t="shared" si="0"/>
        <v>3</v>
      </c>
      <c r="B18" s="214"/>
      <c r="C18" s="249"/>
      <c r="D18" s="249"/>
      <c r="E18" s="249"/>
      <c r="F18" s="249"/>
      <c r="G18" s="249"/>
      <c r="H18" s="249"/>
      <c r="I18" s="249"/>
      <c r="J18" s="249"/>
      <c r="K18" s="250"/>
      <c r="L18" s="214" t="s">
        <v>610</v>
      </c>
      <c r="M18" s="249"/>
      <c r="N18" s="249"/>
      <c r="O18" s="249"/>
      <c r="P18" s="249"/>
      <c r="Q18" s="249"/>
      <c r="R18" s="249"/>
      <c r="S18" s="249"/>
      <c r="T18" s="249"/>
      <c r="U18" s="250"/>
      <c r="V18" s="214" t="s">
        <v>591</v>
      </c>
      <c r="W18" s="249"/>
      <c r="X18" s="249"/>
      <c r="Y18" s="249"/>
      <c r="Z18" s="249"/>
      <c r="AA18" s="250"/>
      <c r="AB18" s="251"/>
      <c r="AC18" s="252"/>
      <c r="AD18" s="252"/>
      <c r="AE18" s="253"/>
      <c r="AF18" s="462"/>
      <c r="AG18" s="463"/>
      <c r="AH18" s="462"/>
      <c r="AI18" s="463"/>
      <c r="AJ18" s="462">
        <v>1</v>
      </c>
      <c r="AK18" s="463"/>
      <c r="AL18" s="462">
        <v>1</v>
      </c>
      <c r="AM18" s="463"/>
      <c r="AN18" s="462"/>
      <c r="AO18" s="463"/>
      <c r="AP18" s="220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2"/>
      <c r="BC18"/>
      <c r="BD18"/>
      <c r="BF18" s="199" t="s">
        <v>574</v>
      </c>
      <c r="BG18" s="199"/>
      <c r="BH18" s="199">
        <f t="shared" si="1"/>
        <v>10</v>
      </c>
      <c r="BI18" s="197">
        <v>1</v>
      </c>
      <c r="BJ18" s="198" t="s">
        <v>648</v>
      </c>
    </row>
    <row r="19" spans="1:62" s="75" customFormat="1" ht="14.1" customHeight="1">
      <c r="A19" s="157">
        <f t="shared" si="0"/>
        <v>4</v>
      </c>
      <c r="B19" s="214"/>
      <c r="C19" s="249"/>
      <c r="D19" s="249"/>
      <c r="E19" s="249"/>
      <c r="F19" s="249"/>
      <c r="G19" s="249"/>
      <c r="H19" s="249"/>
      <c r="I19" s="249"/>
      <c r="J19" s="249"/>
      <c r="K19" s="250"/>
      <c r="L19" s="214" t="s">
        <v>596</v>
      </c>
      <c r="M19" s="249"/>
      <c r="N19" s="249"/>
      <c r="O19" s="249"/>
      <c r="P19" s="249"/>
      <c r="Q19" s="249"/>
      <c r="R19" s="249"/>
      <c r="S19" s="249"/>
      <c r="T19" s="249"/>
      <c r="U19" s="250"/>
      <c r="V19" s="214" t="s">
        <v>61</v>
      </c>
      <c r="W19" s="249"/>
      <c r="X19" s="249"/>
      <c r="Y19" s="249"/>
      <c r="Z19" s="249"/>
      <c r="AA19" s="250"/>
      <c r="AB19" s="251" t="s">
        <v>597</v>
      </c>
      <c r="AC19" s="252"/>
      <c r="AD19" s="252"/>
      <c r="AE19" s="253"/>
      <c r="AF19" s="462"/>
      <c r="AG19" s="463"/>
      <c r="AH19" s="462"/>
      <c r="AI19" s="463"/>
      <c r="AJ19" s="462"/>
      <c r="AK19" s="463"/>
      <c r="AL19" s="462">
        <v>1</v>
      </c>
      <c r="AM19" s="463"/>
      <c r="AN19" s="462"/>
      <c r="AO19" s="463"/>
      <c r="AP19" s="220"/>
      <c r="AQ19" s="221"/>
      <c r="AR19" s="221"/>
      <c r="AS19" s="221"/>
      <c r="AT19" s="221"/>
      <c r="AU19" s="221"/>
      <c r="AV19" s="221"/>
      <c r="AW19" s="221"/>
      <c r="AX19" s="221"/>
      <c r="AY19" s="221"/>
      <c r="AZ19" s="221"/>
      <c r="BA19" s="221"/>
      <c r="BB19" s="222"/>
      <c r="BC19"/>
      <c r="BD19"/>
      <c r="BF19" s="199" t="s">
        <v>574</v>
      </c>
      <c r="BG19" s="199"/>
      <c r="BH19" s="199">
        <f t="shared" si="1"/>
        <v>11</v>
      </c>
      <c r="BI19" s="197"/>
      <c r="BJ19" s="198"/>
    </row>
    <row r="20" spans="1:62" s="75" customFormat="1" ht="14.1" customHeight="1">
      <c r="A20" s="157">
        <f t="shared" si="0"/>
        <v>5</v>
      </c>
      <c r="B20" s="214"/>
      <c r="C20" s="249"/>
      <c r="D20" s="249"/>
      <c r="E20" s="249"/>
      <c r="F20" s="249"/>
      <c r="G20" s="249"/>
      <c r="H20" s="249"/>
      <c r="I20" s="249"/>
      <c r="J20" s="249"/>
      <c r="K20" s="250"/>
      <c r="L20" s="214"/>
      <c r="M20" s="249"/>
      <c r="N20" s="249"/>
      <c r="O20" s="249"/>
      <c r="P20" s="249"/>
      <c r="Q20" s="249"/>
      <c r="R20" s="249"/>
      <c r="S20" s="249"/>
      <c r="T20" s="249"/>
      <c r="U20" s="250"/>
      <c r="V20" s="214"/>
      <c r="W20" s="249"/>
      <c r="X20" s="249"/>
      <c r="Y20" s="249"/>
      <c r="Z20" s="249"/>
      <c r="AA20" s="250"/>
      <c r="AB20" s="251"/>
      <c r="AC20" s="252"/>
      <c r="AD20" s="252"/>
      <c r="AE20" s="253"/>
      <c r="AF20" s="462"/>
      <c r="AG20" s="463"/>
      <c r="AH20" s="462"/>
      <c r="AI20" s="463"/>
      <c r="AJ20" s="462"/>
      <c r="AK20" s="463"/>
      <c r="AL20" s="462"/>
      <c r="AM20" s="463"/>
      <c r="AN20" s="462"/>
      <c r="AO20" s="463"/>
      <c r="AP20" s="220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2"/>
      <c r="BC20"/>
      <c r="BD20"/>
      <c r="BF20" s="199" t="s">
        <v>574</v>
      </c>
      <c r="BG20" s="199"/>
      <c r="BH20" s="199">
        <f t="shared" si="1"/>
        <v>0</v>
      </c>
      <c r="BI20" s="197"/>
      <c r="BJ20" s="198"/>
    </row>
    <row r="21" spans="1:62" s="75" customFormat="1" ht="14.1" customHeight="1">
      <c r="A21" s="157">
        <f t="shared" si="0"/>
        <v>6</v>
      </c>
      <c r="B21" s="214"/>
      <c r="C21" s="249"/>
      <c r="D21" s="249"/>
      <c r="E21" s="249"/>
      <c r="F21" s="249"/>
      <c r="G21" s="249"/>
      <c r="H21" s="249"/>
      <c r="I21" s="249"/>
      <c r="J21" s="249"/>
      <c r="K21" s="250"/>
      <c r="L21" s="214"/>
      <c r="M21" s="249"/>
      <c r="N21" s="249"/>
      <c r="O21" s="249"/>
      <c r="P21" s="249"/>
      <c r="Q21" s="249"/>
      <c r="R21" s="249"/>
      <c r="S21" s="249"/>
      <c r="T21" s="249"/>
      <c r="U21" s="250"/>
      <c r="V21" s="214"/>
      <c r="W21" s="249"/>
      <c r="X21" s="249"/>
      <c r="Y21" s="249"/>
      <c r="Z21" s="249"/>
      <c r="AA21" s="250"/>
      <c r="AB21" s="251"/>
      <c r="AC21" s="252"/>
      <c r="AD21" s="252"/>
      <c r="AE21" s="253"/>
      <c r="AF21" s="462"/>
      <c r="AG21" s="463"/>
      <c r="AH21" s="462"/>
      <c r="AI21" s="463"/>
      <c r="AJ21" s="462"/>
      <c r="AK21" s="463"/>
      <c r="AL21" s="462"/>
      <c r="AM21" s="463"/>
      <c r="AN21" s="462"/>
      <c r="AO21" s="463"/>
      <c r="AP21" s="220"/>
      <c r="AQ21" s="221"/>
      <c r="AR21" s="221"/>
      <c r="AS21" s="221"/>
      <c r="AT21" s="221"/>
      <c r="AU21" s="221"/>
      <c r="AV21" s="221"/>
      <c r="AW21" s="221"/>
      <c r="AX21" s="221"/>
      <c r="AY21" s="221"/>
      <c r="AZ21" s="221"/>
      <c r="BA21" s="221"/>
      <c r="BB21" s="222"/>
      <c r="BC21"/>
      <c r="BD21"/>
      <c r="BF21" s="199" t="s">
        <v>574</v>
      </c>
      <c r="BG21" s="199"/>
      <c r="BH21" s="199">
        <f t="shared" si="1"/>
        <v>0</v>
      </c>
      <c r="BI21" s="197"/>
      <c r="BJ21" s="198"/>
    </row>
    <row r="22" spans="1:62" s="75" customFormat="1" ht="14.1" customHeight="1">
      <c r="A22" s="157">
        <f t="shared" si="0"/>
        <v>7</v>
      </c>
      <c r="B22" s="214"/>
      <c r="C22" s="249"/>
      <c r="D22" s="249"/>
      <c r="E22" s="249"/>
      <c r="F22" s="249"/>
      <c r="G22" s="249"/>
      <c r="H22" s="249"/>
      <c r="I22" s="249"/>
      <c r="J22" s="249"/>
      <c r="K22" s="250"/>
      <c r="L22" s="214"/>
      <c r="M22" s="249"/>
      <c r="N22" s="249"/>
      <c r="O22" s="249"/>
      <c r="P22" s="249"/>
      <c r="Q22" s="249"/>
      <c r="R22" s="249"/>
      <c r="S22" s="249"/>
      <c r="T22" s="249"/>
      <c r="U22" s="250"/>
      <c r="V22" s="214"/>
      <c r="W22" s="249"/>
      <c r="X22" s="249"/>
      <c r="Y22" s="249"/>
      <c r="Z22" s="249"/>
      <c r="AA22" s="250"/>
      <c r="AB22" s="251"/>
      <c r="AC22" s="252"/>
      <c r="AD22" s="252"/>
      <c r="AE22" s="253"/>
      <c r="AF22" s="462"/>
      <c r="AG22" s="463"/>
      <c r="AH22" s="462"/>
      <c r="AI22" s="463"/>
      <c r="AJ22" s="462"/>
      <c r="AK22" s="463"/>
      <c r="AL22" s="462"/>
      <c r="AM22" s="463"/>
      <c r="AN22" s="462"/>
      <c r="AO22" s="463"/>
      <c r="AP22" s="220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2"/>
      <c r="BC22"/>
      <c r="BD22"/>
      <c r="BF22" s="199" t="s">
        <v>574</v>
      </c>
      <c r="BG22" s="199"/>
      <c r="BH22" s="199">
        <f t="shared" si="1"/>
        <v>0</v>
      </c>
      <c r="BI22" s="197"/>
      <c r="BJ22" s="198"/>
    </row>
    <row r="23" spans="1:62" s="75" customFormat="1" ht="14.1" customHeight="1">
      <c r="A23" s="157">
        <f t="shared" si="0"/>
        <v>8</v>
      </c>
      <c r="B23" s="214"/>
      <c r="C23" s="249"/>
      <c r="D23" s="249"/>
      <c r="E23" s="249"/>
      <c r="F23" s="249"/>
      <c r="G23" s="249"/>
      <c r="H23" s="249"/>
      <c r="I23" s="249"/>
      <c r="J23" s="249"/>
      <c r="K23" s="250"/>
      <c r="L23" s="214"/>
      <c r="M23" s="249"/>
      <c r="N23" s="249"/>
      <c r="O23" s="249"/>
      <c r="P23" s="249"/>
      <c r="Q23" s="249"/>
      <c r="R23" s="249"/>
      <c r="S23" s="249"/>
      <c r="T23" s="249"/>
      <c r="U23" s="250"/>
      <c r="V23" s="214"/>
      <c r="W23" s="249"/>
      <c r="X23" s="249"/>
      <c r="Y23" s="249"/>
      <c r="Z23" s="249"/>
      <c r="AA23" s="250"/>
      <c r="AB23" s="251"/>
      <c r="AC23" s="252"/>
      <c r="AD23" s="252"/>
      <c r="AE23" s="253"/>
      <c r="AF23" s="462"/>
      <c r="AG23" s="463"/>
      <c r="AH23" s="462"/>
      <c r="AI23" s="463"/>
      <c r="AJ23" s="462"/>
      <c r="AK23" s="463"/>
      <c r="AL23" s="462"/>
      <c r="AM23" s="463"/>
      <c r="AN23" s="462"/>
      <c r="AO23" s="463"/>
      <c r="AP23" s="220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2"/>
      <c r="BC23"/>
      <c r="BD23"/>
      <c r="BF23" s="199" t="s">
        <v>574</v>
      </c>
      <c r="BG23" s="199"/>
      <c r="BH23" s="199">
        <f t="shared" si="1"/>
        <v>0</v>
      </c>
      <c r="BI23" s="197"/>
      <c r="BJ23" s="198"/>
    </row>
    <row r="24" spans="1:62" s="75" customFormat="1" ht="14.1" customHeight="1">
      <c r="A24" s="157">
        <f t="shared" si="0"/>
        <v>9</v>
      </c>
      <c r="B24" s="214"/>
      <c r="C24" s="249"/>
      <c r="D24" s="249"/>
      <c r="E24" s="249"/>
      <c r="F24" s="249"/>
      <c r="G24" s="249"/>
      <c r="H24" s="249"/>
      <c r="I24" s="249"/>
      <c r="J24" s="249"/>
      <c r="K24" s="250"/>
      <c r="L24" s="214"/>
      <c r="M24" s="249"/>
      <c r="N24" s="249"/>
      <c r="O24" s="249"/>
      <c r="P24" s="249"/>
      <c r="Q24" s="249"/>
      <c r="R24" s="249"/>
      <c r="S24" s="249"/>
      <c r="T24" s="249"/>
      <c r="U24" s="250"/>
      <c r="V24" s="214"/>
      <c r="W24" s="249"/>
      <c r="X24" s="249"/>
      <c r="Y24" s="249"/>
      <c r="Z24" s="249"/>
      <c r="AA24" s="250"/>
      <c r="AB24" s="251"/>
      <c r="AC24" s="252"/>
      <c r="AD24" s="252"/>
      <c r="AE24" s="253"/>
      <c r="AF24" s="462"/>
      <c r="AG24" s="463"/>
      <c r="AH24" s="462"/>
      <c r="AI24" s="463"/>
      <c r="AJ24" s="462"/>
      <c r="AK24" s="463"/>
      <c r="AL24" s="462"/>
      <c r="AM24" s="463"/>
      <c r="AN24" s="462"/>
      <c r="AO24" s="463"/>
      <c r="AP24" s="220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2"/>
      <c r="BC24"/>
      <c r="BD24"/>
      <c r="BF24" s="199" t="s">
        <v>574</v>
      </c>
      <c r="BG24" s="199"/>
      <c r="BH24" s="199">
        <f t="shared" si="1"/>
        <v>0</v>
      </c>
      <c r="BI24" s="197"/>
      <c r="BJ24" s="198"/>
    </row>
    <row r="25" spans="1:62" s="75" customFormat="1" ht="14.1" customHeight="1">
      <c r="A25" s="157">
        <f t="shared" si="0"/>
        <v>10</v>
      </c>
      <c r="B25" s="214"/>
      <c r="C25" s="249"/>
      <c r="D25" s="249"/>
      <c r="E25" s="249"/>
      <c r="F25" s="249"/>
      <c r="G25" s="249"/>
      <c r="H25" s="249"/>
      <c r="I25" s="249"/>
      <c r="J25" s="249"/>
      <c r="K25" s="250"/>
      <c r="L25" s="214"/>
      <c r="M25" s="249"/>
      <c r="N25" s="249"/>
      <c r="O25" s="249"/>
      <c r="P25" s="249"/>
      <c r="Q25" s="249"/>
      <c r="R25" s="249"/>
      <c r="S25" s="249"/>
      <c r="T25" s="249"/>
      <c r="U25" s="250"/>
      <c r="V25" s="214"/>
      <c r="W25" s="249"/>
      <c r="X25" s="249"/>
      <c r="Y25" s="249"/>
      <c r="Z25" s="249"/>
      <c r="AA25" s="250"/>
      <c r="AB25" s="251"/>
      <c r="AC25" s="252"/>
      <c r="AD25" s="252"/>
      <c r="AE25" s="253"/>
      <c r="AF25" s="462"/>
      <c r="AG25" s="463"/>
      <c r="AH25" s="462"/>
      <c r="AI25" s="463"/>
      <c r="AJ25" s="462"/>
      <c r="AK25" s="463"/>
      <c r="AL25" s="462"/>
      <c r="AM25" s="463"/>
      <c r="AN25" s="462"/>
      <c r="AO25" s="463"/>
      <c r="AP25" s="220"/>
      <c r="AQ25" s="221"/>
      <c r="AR25" s="221"/>
      <c r="AS25" s="221"/>
      <c r="AT25" s="221"/>
      <c r="AU25" s="221"/>
      <c r="AV25" s="221"/>
      <c r="AW25" s="221"/>
      <c r="AX25" s="221"/>
      <c r="AY25" s="221"/>
      <c r="AZ25" s="221"/>
      <c r="BA25" s="221"/>
      <c r="BB25" s="222"/>
      <c r="BC25"/>
      <c r="BD25"/>
      <c r="BF25" s="199" t="s">
        <v>574</v>
      </c>
      <c r="BG25" s="199"/>
      <c r="BH25" s="199">
        <f t="shared" si="1"/>
        <v>0</v>
      </c>
      <c r="BI25" s="197"/>
      <c r="BJ25" s="198"/>
    </row>
    <row r="26" spans="1:62" s="75" customFormat="1" ht="14.1" customHeight="1">
      <c r="A26" s="157">
        <f t="shared" si="0"/>
        <v>11</v>
      </c>
      <c r="B26" s="214"/>
      <c r="C26" s="249"/>
      <c r="D26" s="249"/>
      <c r="E26" s="249"/>
      <c r="F26" s="249"/>
      <c r="G26" s="249"/>
      <c r="H26" s="249"/>
      <c r="I26" s="249"/>
      <c r="J26" s="249"/>
      <c r="K26" s="250"/>
      <c r="L26" s="214"/>
      <c r="M26" s="249"/>
      <c r="N26" s="249"/>
      <c r="O26" s="249"/>
      <c r="P26" s="249"/>
      <c r="Q26" s="249"/>
      <c r="R26" s="249"/>
      <c r="S26" s="249"/>
      <c r="T26" s="249"/>
      <c r="U26" s="250"/>
      <c r="V26" s="214"/>
      <c r="W26" s="249"/>
      <c r="X26" s="249"/>
      <c r="Y26" s="249"/>
      <c r="Z26" s="249"/>
      <c r="AA26" s="250"/>
      <c r="AB26" s="251"/>
      <c r="AC26" s="252"/>
      <c r="AD26" s="252"/>
      <c r="AE26" s="253"/>
      <c r="AF26" s="462"/>
      <c r="AG26" s="463"/>
      <c r="AH26" s="462"/>
      <c r="AI26" s="463"/>
      <c r="AJ26" s="462"/>
      <c r="AK26" s="463"/>
      <c r="AL26" s="462"/>
      <c r="AM26" s="463"/>
      <c r="AN26" s="462"/>
      <c r="AO26" s="463"/>
      <c r="AP26" s="220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2"/>
      <c r="BC26"/>
      <c r="BD26"/>
      <c r="BF26" s="199" t="s">
        <v>574</v>
      </c>
      <c r="BG26" s="199"/>
      <c r="BH26" s="199">
        <f t="shared" si="1"/>
        <v>0</v>
      </c>
      <c r="BI26" s="197"/>
      <c r="BJ26" s="198"/>
    </row>
    <row r="27" spans="1:62" s="75" customFormat="1" ht="14.1" customHeight="1">
      <c r="A27" s="157">
        <f t="shared" si="0"/>
        <v>12</v>
      </c>
      <c r="B27" s="214"/>
      <c r="C27" s="249"/>
      <c r="D27" s="249"/>
      <c r="E27" s="249"/>
      <c r="F27" s="249"/>
      <c r="G27" s="249"/>
      <c r="H27" s="249"/>
      <c r="I27" s="249"/>
      <c r="J27" s="249"/>
      <c r="K27" s="250"/>
      <c r="L27" s="214"/>
      <c r="M27" s="249"/>
      <c r="N27" s="249"/>
      <c r="O27" s="249"/>
      <c r="P27" s="249"/>
      <c r="Q27" s="249"/>
      <c r="R27" s="249"/>
      <c r="S27" s="249"/>
      <c r="T27" s="249"/>
      <c r="U27" s="250"/>
      <c r="V27" s="214"/>
      <c r="W27" s="249"/>
      <c r="X27" s="249"/>
      <c r="Y27" s="249"/>
      <c r="Z27" s="249"/>
      <c r="AA27" s="250"/>
      <c r="AB27" s="251"/>
      <c r="AC27" s="252"/>
      <c r="AD27" s="252"/>
      <c r="AE27" s="253"/>
      <c r="AF27" s="462"/>
      <c r="AG27" s="463"/>
      <c r="AH27" s="462"/>
      <c r="AI27" s="463"/>
      <c r="AJ27" s="462"/>
      <c r="AK27" s="463"/>
      <c r="AL27" s="462"/>
      <c r="AM27" s="463"/>
      <c r="AN27" s="462"/>
      <c r="AO27" s="463"/>
      <c r="AP27" s="220"/>
      <c r="AQ27" s="221"/>
      <c r="AR27" s="221"/>
      <c r="AS27" s="221"/>
      <c r="AT27" s="221"/>
      <c r="AU27" s="221"/>
      <c r="AV27" s="221"/>
      <c r="AW27" s="221"/>
      <c r="AX27" s="221"/>
      <c r="AY27" s="221"/>
      <c r="AZ27" s="221"/>
      <c r="BA27" s="221"/>
      <c r="BB27" s="222"/>
      <c r="BC27"/>
      <c r="BD27"/>
      <c r="BF27" s="199" t="s">
        <v>574</v>
      </c>
      <c r="BG27" s="199"/>
      <c r="BH27" s="199">
        <f t="shared" si="1"/>
        <v>0</v>
      </c>
      <c r="BI27" s="197"/>
      <c r="BJ27" s="198"/>
    </row>
    <row r="28" spans="1:62" s="75" customFormat="1" ht="14.1" customHeight="1">
      <c r="A28" s="157">
        <f t="shared" si="0"/>
        <v>13</v>
      </c>
      <c r="B28" s="214"/>
      <c r="C28" s="249"/>
      <c r="D28" s="249"/>
      <c r="E28" s="249"/>
      <c r="F28" s="249"/>
      <c r="G28" s="249"/>
      <c r="H28" s="249"/>
      <c r="I28" s="249"/>
      <c r="J28" s="249"/>
      <c r="K28" s="250"/>
      <c r="L28" s="214"/>
      <c r="M28" s="249"/>
      <c r="N28" s="249"/>
      <c r="O28" s="249"/>
      <c r="P28" s="249"/>
      <c r="Q28" s="249"/>
      <c r="R28" s="249"/>
      <c r="S28" s="249"/>
      <c r="T28" s="249"/>
      <c r="U28" s="250"/>
      <c r="V28" s="214"/>
      <c r="W28" s="249"/>
      <c r="X28" s="249"/>
      <c r="Y28" s="249"/>
      <c r="Z28" s="249"/>
      <c r="AA28" s="250"/>
      <c r="AB28" s="251"/>
      <c r="AC28" s="252"/>
      <c r="AD28" s="252"/>
      <c r="AE28" s="253"/>
      <c r="AF28" s="462"/>
      <c r="AG28" s="463"/>
      <c r="AH28" s="462"/>
      <c r="AI28" s="463"/>
      <c r="AJ28" s="462"/>
      <c r="AK28" s="463"/>
      <c r="AL28" s="462"/>
      <c r="AM28" s="463"/>
      <c r="AN28" s="462"/>
      <c r="AO28" s="463"/>
      <c r="AP28" s="220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2"/>
      <c r="BC28"/>
      <c r="BD28"/>
      <c r="BF28" s="199" t="s">
        <v>574</v>
      </c>
      <c r="BG28" s="199"/>
      <c r="BH28" s="199">
        <f t="shared" si="1"/>
        <v>0</v>
      </c>
      <c r="BI28" s="197"/>
      <c r="BJ28" s="198"/>
    </row>
    <row r="29" spans="1:62" s="75" customFormat="1" ht="14.1" customHeight="1">
      <c r="A29" s="157">
        <f t="shared" si="0"/>
        <v>14</v>
      </c>
      <c r="B29" s="214"/>
      <c r="C29" s="249"/>
      <c r="D29" s="249"/>
      <c r="E29" s="249"/>
      <c r="F29" s="249"/>
      <c r="G29" s="249"/>
      <c r="H29" s="249"/>
      <c r="I29" s="249"/>
      <c r="J29" s="249"/>
      <c r="K29" s="250"/>
      <c r="L29" s="214"/>
      <c r="M29" s="249"/>
      <c r="N29" s="249"/>
      <c r="O29" s="249"/>
      <c r="P29" s="249"/>
      <c r="Q29" s="249"/>
      <c r="R29" s="249"/>
      <c r="S29" s="249"/>
      <c r="T29" s="249"/>
      <c r="U29" s="250"/>
      <c r="V29" s="214"/>
      <c r="W29" s="249"/>
      <c r="X29" s="249"/>
      <c r="Y29" s="249"/>
      <c r="Z29" s="249"/>
      <c r="AA29" s="250"/>
      <c r="AB29" s="251"/>
      <c r="AC29" s="252"/>
      <c r="AD29" s="252"/>
      <c r="AE29" s="253"/>
      <c r="AF29" s="462"/>
      <c r="AG29" s="463"/>
      <c r="AH29" s="462"/>
      <c r="AI29" s="463"/>
      <c r="AJ29" s="462"/>
      <c r="AK29" s="463"/>
      <c r="AL29" s="462"/>
      <c r="AM29" s="463"/>
      <c r="AN29" s="462"/>
      <c r="AO29" s="463"/>
      <c r="AP29" s="220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2"/>
      <c r="BC29"/>
      <c r="BD29"/>
      <c r="BF29" s="199" t="s">
        <v>574</v>
      </c>
      <c r="BG29" s="199"/>
      <c r="BH29" s="199">
        <f t="shared" si="1"/>
        <v>0</v>
      </c>
      <c r="BI29" s="197"/>
      <c r="BJ29" s="198"/>
    </row>
    <row r="30" spans="1:62" s="75" customFormat="1" ht="14.1" customHeight="1">
      <c r="A30" s="157">
        <f t="shared" si="0"/>
        <v>15</v>
      </c>
      <c r="B30" s="214"/>
      <c r="C30" s="249"/>
      <c r="D30" s="249"/>
      <c r="E30" s="249"/>
      <c r="F30" s="249"/>
      <c r="G30" s="249"/>
      <c r="H30" s="249"/>
      <c r="I30" s="249"/>
      <c r="J30" s="249"/>
      <c r="K30" s="250"/>
      <c r="L30" s="214"/>
      <c r="M30" s="249"/>
      <c r="N30" s="249"/>
      <c r="O30" s="249"/>
      <c r="P30" s="249"/>
      <c r="Q30" s="249"/>
      <c r="R30" s="249"/>
      <c r="S30" s="249"/>
      <c r="T30" s="249"/>
      <c r="U30" s="250"/>
      <c r="V30" s="214"/>
      <c r="W30" s="249"/>
      <c r="X30" s="249"/>
      <c r="Y30" s="249"/>
      <c r="Z30" s="249"/>
      <c r="AA30" s="250"/>
      <c r="AB30" s="251"/>
      <c r="AC30" s="252"/>
      <c r="AD30" s="252"/>
      <c r="AE30" s="253"/>
      <c r="AF30" s="462"/>
      <c r="AG30" s="463"/>
      <c r="AH30" s="462"/>
      <c r="AI30" s="463"/>
      <c r="AJ30" s="462"/>
      <c r="AK30" s="463"/>
      <c r="AL30" s="462"/>
      <c r="AM30" s="463"/>
      <c r="AN30" s="462"/>
      <c r="AO30" s="463"/>
      <c r="AP30" s="220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2"/>
      <c r="BC30"/>
      <c r="BD30"/>
      <c r="BF30" s="199" t="s">
        <v>574</v>
      </c>
      <c r="BG30" s="199"/>
      <c r="BH30" s="199">
        <f t="shared" si="1"/>
        <v>0</v>
      </c>
      <c r="BI30" s="197"/>
      <c r="BJ30" s="198"/>
    </row>
    <row r="31" spans="1:62" s="75" customFormat="1" ht="14.1" customHeight="1" thickBot="1">
      <c r="A31" s="157">
        <f t="shared" si="0"/>
        <v>16</v>
      </c>
      <c r="B31" s="217"/>
      <c r="C31" s="307"/>
      <c r="D31" s="307"/>
      <c r="E31" s="307"/>
      <c r="F31" s="307"/>
      <c r="G31" s="307"/>
      <c r="H31" s="307"/>
      <c r="I31" s="307"/>
      <c r="J31" s="307"/>
      <c r="K31" s="308"/>
      <c r="L31" s="217"/>
      <c r="M31" s="307"/>
      <c r="N31" s="307"/>
      <c r="O31" s="307"/>
      <c r="P31" s="307"/>
      <c r="Q31" s="307"/>
      <c r="R31" s="307"/>
      <c r="S31" s="307"/>
      <c r="T31" s="307"/>
      <c r="U31" s="308"/>
      <c r="V31" s="214"/>
      <c r="W31" s="249"/>
      <c r="X31" s="249"/>
      <c r="Y31" s="249"/>
      <c r="Z31" s="249"/>
      <c r="AA31" s="250"/>
      <c r="AB31" s="251"/>
      <c r="AC31" s="252"/>
      <c r="AD31" s="252"/>
      <c r="AE31" s="253"/>
      <c r="AF31" s="462"/>
      <c r="AG31" s="463"/>
      <c r="AH31" s="462"/>
      <c r="AI31" s="463"/>
      <c r="AJ31" s="464"/>
      <c r="AK31" s="465"/>
      <c r="AL31" s="464"/>
      <c r="AM31" s="465"/>
      <c r="AN31" s="464"/>
      <c r="AO31" s="465"/>
      <c r="AP31" s="384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6"/>
      <c r="BC31"/>
      <c r="BD31"/>
      <c r="BF31" s="199" t="s">
        <v>575</v>
      </c>
      <c r="BG31" s="199"/>
      <c r="BH31" s="199">
        <f t="shared" si="1"/>
        <v>0</v>
      </c>
      <c r="BI31" s="197"/>
      <c r="BJ31" s="198"/>
    </row>
    <row r="32" spans="1:62" s="75" customFormat="1" ht="13.5" customHeight="1">
      <c r="A32" s="229" t="s">
        <v>484</v>
      </c>
      <c r="B32" s="230"/>
      <c r="C32" s="230"/>
      <c r="D32" s="230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1"/>
      <c r="BC32"/>
      <c r="BD32"/>
      <c r="BF32" s="195"/>
      <c r="BG32" s="195"/>
      <c r="BH32" s="195"/>
      <c r="BI32" s="195"/>
      <c r="BJ32" s="195"/>
    </row>
    <row r="33" spans="1:62" s="75" customFormat="1" ht="13.5" customHeight="1" thickBot="1">
      <c r="A33" s="232"/>
      <c r="B33" s="233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  <c r="AI33" s="233"/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4"/>
      <c r="BC33"/>
      <c r="BD33"/>
      <c r="BF33" s="195"/>
      <c r="BG33" s="195"/>
      <c r="BH33" s="195"/>
      <c r="BI33" s="195"/>
      <c r="BJ33" s="195"/>
    </row>
    <row r="34" spans="1:62" s="75" customFormat="1" ht="13.5" customHeight="1">
      <c r="A34" s="202" t="s">
        <v>475</v>
      </c>
      <c r="B34" s="310" t="s">
        <v>485</v>
      </c>
      <c r="C34" s="236"/>
      <c r="D34" s="236"/>
      <c r="E34" s="236"/>
      <c r="F34" s="236"/>
      <c r="G34" s="236"/>
      <c r="H34" s="236"/>
      <c r="I34" s="236"/>
      <c r="J34" s="236"/>
      <c r="K34" s="237"/>
      <c r="L34" s="159" t="s">
        <v>486</v>
      </c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60"/>
      <c r="BC34"/>
      <c r="BD34"/>
      <c r="BF34" s="192"/>
      <c r="BG34" s="192"/>
      <c r="BH34" s="192"/>
      <c r="BI34" s="193" t="s">
        <v>550</v>
      </c>
      <c r="BJ34" s="193" t="s">
        <v>551</v>
      </c>
    </row>
    <row r="35" spans="1:62" s="75" customFormat="1" ht="14.1" customHeight="1">
      <c r="A35" s="157">
        <f>ROW()- 34</f>
        <v>1</v>
      </c>
      <c r="B35" s="214" t="s">
        <v>598</v>
      </c>
      <c r="C35" s="249"/>
      <c r="D35" s="249"/>
      <c r="E35" s="249"/>
      <c r="F35" s="249"/>
      <c r="G35" s="249"/>
      <c r="H35" s="249"/>
      <c r="I35" s="249"/>
      <c r="J35" s="249"/>
      <c r="K35" s="250"/>
      <c r="L35" s="214" t="s">
        <v>639</v>
      </c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  <c r="AN35" s="215"/>
      <c r="AO35" s="215"/>
      <c r="AP35" s="215"/>
      <c r="AQ35" s="215"/>
      <c r="AR35" s="215"/>
      <c r="AS35" s="215"/>
      <c r="AT35" s="215"/>
      <c r="AU35" s="215"/>
      <c r="AV35" s="215"/>
      <c r="AW35" s="215"/>
      <c r="AX35" s="215"/>
      <c r="AY35" s="215"/>
      <c r="AZ35" s="215"/>
      <c r="BA35" s="215"/>
      <c r="BB35" s="216"/>
      <c r="BC35"/>
      <c r="BD35"/>
      <c r="BF35" s="199" t="s">
        <v>576</v>
      </c>
      <c r="BG35" s="197"/>
      <c r="BH35" s="197"/>
      <c r="BI35" s="194" t="s">
        <v>599</v>
      </c>
      <c r="BJ35" s="194" t="s">
        <v>600</v>
      </c>
    </row>
    <row r="36" spans="1:62" s="75" customFormat="1" ht="14.1" customHeight="1">
      <c r="A36" s="157">
        <f>ROW()- 34</f>
        <v>2</v>
      </c>
      <c r="B36" s="214" t="s">
        <v>781</v>
      </c>
      <c r="C36" s="249"/>
      <c r="D36" s="249"/>
      <c r="E36" s="249"/>
      <c r="F36" s="249"/>
      <c r="G36" s="249"/>
      <c r="H36" s="249"/>
      <c r="I36" s="249"/>
      <c r="J36" s="249"/>
      <c r="K36" s="250"/>
      <c r="L36" s="214" t="s">
        <v>780</v>
      </c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5"/>
      <c r="AT36" s="215"/>
      <c r="AU36" s="215"/>
      <c r="AV36" s="215"/>
      <c r="AW36" s="215"/>
      <c r="AX36" s="215"/>
      <c r="AY36" s="215"/>
      <c r="AZ36" s="215"/>
      <c r="BA36" s="215"/>
      <c r="BB36" s="216"/>
      <c r="BC36"/>
      <c r="BD36"/>
      <c r="BF36" s="199" t="s">
        <v>572</v>
      </c>
      <c r="BG36" s="197"/>
      <c r="BH36" s="197"/>
      <c r="BI36" s="194" t="s">
        <v>599</v>
      </c>
      <c r="BJ36" s="194" t="s">
        <v>600</v>
      </c>
    </row>
    <row r="37" spans="1:62" s="75" customFormat="1" ht="14.1" customHeight="1">
      <c r="A37" s="157">
        <f>ROW()- 34</f>
        <v>3</v>
      </c>
      <c r="B37" s="214" t="s">
        <v>646</v>
      </c>
      <c r="C37" s="249"/>
      <c r="D37" s="249"/>
      <c r="E37" s="249"/>
      <c r="F37" s="249"/>
      <c r="G37" s="249"/>
      <c r="H37" s="249"/>
      <c r="I37" s="249"/>
      <c r="J37" s="249"/>
      <c r="K37" s="250"/>
      <c r="L37" s="214" t="s">
        <v>610</v>
      </c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15"/>
      <c r="AP37" s="215"/>
      <c r="AQ37" s="215"/>
      <c r="AR37" s="215"/>
      <c r="AS37" s="215"/>
      <c r="AT37" s="215"/>
      <c r="AU37" s="215"/>
      <c r="AV37" s="215"/>
      <c r="AW37" s="215"/>
      <c r="AX37" s="215"/>
      <c r="AY37" s="215"/>
      <c r="AZ37" s="215"/>
      <c r="BA37" s="215"/>
      <c r="BB37" s="216"/>
      <c r="BC37"/>
      <c r="BD37"/>
      <c r="BF37" s="199" t="s">
        <v>572</v>
      </c>
      <c r="BG37" s="197"/>
      <c r="BH37" s="197"/>
      <c r="BI37" s="194" t="s">
        <v>602</v>
      </c>
      <c r="BJ37" s="194" t="s">
        <v>600</v>
      </c>
    </row>
    <row r="38" spans="1:62" ht="14.1" customHeight="1">
      <c r="A38" s="157">
        <f t="shared" ref="A38" si="2">IF(B38&lt;&gt;"",ROW()-34,"")</f>
        <v>4</v>
      </c>
      <c r="B38" s="214" t="s">
        <v>782</v>
      </c>
      <c r="C38" s="249"/>
      <c r="D38" s="249"/>
      <c r="E38" s="249"/>
      <c r="F38" s="249"/>
      <c r="G38" s="249"/>
      <c r="H38" s="249"/>
      <c r="I38" s="249"/>
      <c r="J38" s="249"/>
      <c r="K38" s="250"/>
      <c r="L38" s="214" t="s">
        <v>610</v>
      </c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  <c r="AN38" s="215"/>
      <c r="AO38" s="215"/>
      <c r="AP38" s="215"/>
      <c r="AQ38" s="215"/>
      <c r="AR38" s="215"/>
      <c r="AS38" s="215"/>
      <c r="AT38" s="215"/>
      <c r="AU38" s="215"/>
      <c r="AV38" s="215"/>
      <c r="AW38" s="215"/>
      <c r="AX38" s="215"/>
      <c r="AY38" s="215"/>
      <c r="AZ38" s="215"/>
      <c r="BA38" s="215"/>
      <c r="BB38" s="216"/>
      <c r="BF38" s="199" t="s">
        <v>622</v>
      </c>
      <c r="BG38" s="197"/>
      <c r="BH38" s="197"/>
      <c r="BI38" s="194"/>
      <c r="BJ38" s="194" t="s">
        <v>625</v>
      </c>
    </row>
    <row r="39" spans="1:62" ht="14.1" customHeight="1">
      <c r="A39" s="157">
        <f t="shared" ref="A35:A40" si="3">IF(B39&lt;&gt;"",ROW()-34,"")</f>
        <v>5</v>
      </c>
      <c r="B39" s="214" t="s">
        <v>783</v>
      </c>
      <c r="C39" s="249"/>
      <c r="D39" s="249"/>
      <c r="E39" s="249"/>
      <c r="F39" s="249"/>
      <c r="G39" s="249"/>
      <c r="H39" s="249"/>
      <c r="I39" s="249"/>
      <c r="J39" s="249"/>
      <c r="K39" s="250"/>
      <c r="L39" s="214" t="s">
        <v>780</v>
      </c>
      <c r="M39" s="215"/>
      <c r="N39" s="215"/>
      <c r="O39" s="215"/>
      <c r="P39" s="215"/>
      <c r="Q39" s="215"/>
      <c r="R39" s="215"/>
      <c r="S39" s="215"/>
      <c r="T39" s="215"/>
      <c r="U39" s="215"/>
      <c r="V39" s="215"/>
      <c r="W39" s="215"/>
      <c r="X39" s="215"/>
      <c r="Y39" s="215"/>
      <c r="Z39" s="215"/>
      <c r="AA39" s="215"/>
      <c r="AB39" s="215"/>
      <c r="AC39" s="215"/>
      <c r="AD39" s="215"/>
      <c r="AE39" s="215"/>
      <c r="AF39" s="215"/>
      <c r="AG39" s="215"/>
      <c r="AH39" s="215"/>
      <c r="AI39" s="215"/>
      <c r="AJ39" s="215"/>
      <c r="AK39" s="215"/>
      <c r="AL39" s="215"/>
      <c r="AM39" s="215"/>
      <c r="AN39" s="215"/>
      <c r="AO39" s="215"/>
      <c r="AP39" s="215"/>
      <c r="AQ39" s="215"/>
      <c r="AR39" s="215"/>
      <c r="AS39" s="215"/>
      <c r="AT39" s="215"/>
      <c r="AU39" s="215"/>
      <c r="AV39" s="215"/>
      <c r="AW39" s="215"/>
      <c r="AX39" s="215"/>
      <c r="AY39" s="215"/>
      <c r="AZ39" s="215"/>
      <c r="BA39" s="215"/>
      <c r="BB39" s="216"/>
      <c r="BF39" s="199" t="s">
        <v>572</v>
      </c>
      <c r="BG39" s="197"/>
      <c r="BH39" s="197"/>
      <c r="BI39" s="194"/>
      <c r="BJ39" s="194" t="s">
        <v>625</v>
      </c>
    </row>
    <row r="40" spans="1:62" ht="14.1" customHeight="1" thickBot="1">
      <c r="A40" s="158" t="str">
        <f t="shared" si="3"/>
        <v/>
      </c>
      <c r="B40" s="217"/>
      <c r="C40" s="307"/>
      <c r="D40" s="307"/>
      <c r="E40" s="307"/>
      <c r="F40" s="307"/>
      <c r="G40" s="307"/>
      <c r="H40" s="307"/>
      <c r="I40" s="307"/>
      <c r="J40" s="307"/>
      <c r="K40" s="308"/>
      <c r="L40" s="217"/>
      <c r="M40" s="218"/>
      <c r="N40" s="218"/>
      <c r="O40" s="218"/>
      <c r="P40" s="218"/>
      <c r="Q40" s="218"/>
      <c r="R40" s="218"/>
      <c r="S40" s="218"/>
      <c r="T40" s="218"/>
      <c r="U40" s="218"/>
      <c r="V40" s="218"/>
      <c r="W40" s="218"/>
      <c r="X40" s="218"/>
      <c r="Y40" s="218"/>
      <c r="Z40" s="218"/>
      <c r="AA40" s="218"/>
      <c r="AB40" s="218"/>
      <c r="AC40" s="218"/>
      <c r="AD40" s="218"/>
      <c r="AE40" s="218"/>
      <c r="AF40" s="218"/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18"/>
      <c r="AU40" s="218"/>
      <c r="AV40" s="218"/>
      <c r="AW40" s="218"/>
      <c r="AX40" s="218"/>
      <c r="AY40" s="218"/>
      <c r="AZ40" s="218"/>
      <c r="BA40" s="218"/>
      <c r="BB40" s="219"/>
      <c r="BF40" s="199" t="s">
        <v>577</v>
      </c>
      <c r="BG40" s="197"/>
      <c r="BH40" s="197"/>
      <c r="BI40" s="194"/>
      <c r="BJ40" s="194"/>
    </row>
    <row r="41" spans="1:62" ht="13.5" customHeight="1">
      <c r="BF41" s="3"/>
      <c r="BG41" s="3"/>
      <c r="BH41" s="3"/>
      <c r="BI41" s="3"/>
    </row>
    <row r="42" spans="1:62" ht="13.5" customHeight="1">
      <c r="BF42" s="3"/>
      <c r="BG42" s="3"/>
      <c r="BH42" s="3"/>
      <c r="BI42" s="3"/>
    </row>
    <row r="43" spans="1:62" ht="13.5" customHeight="1">
      <c r="BF43" s="3"/>
      <c r="BG43" s="3"/>
      <c r="BH43" s="3"/>
      <c r="BI43" s="3"/>
    </row>
    <row r="44" spans="1:62" ht="13.5" customHeight="1">
      <c r="BF44" s="3"/>
      <c r="BG44" s="3"/>
      <c r="BH44" s="3"/>
      <c r="BI44" s="3"/>
    </row>
    <row r="45" spans="1:62" ht="13.5" customHeight="1">
      <c r="BF45" s="3"/>
      <c r="BG45" s="3"/>
      <c r="BH45" s="3"/>
      <c r="BI45" s="3"/>
    </row>
    <row r="46" spans="1:62" ht="13.5" customHeight="1">
      <c r="BF46" s="3"/>
      <c r="BG46" s="3"/>
      <c r="BH46" s="3"/>
      <c r="BI46" s="3"/>
    </row>
    <row r="47" spans="1:62" ht="13.5" customHeight="1">
      <c r="BF47" s="3"/>
      <c r="BG47" s="3"/>
      <c r="BH47" s="3"/>
      <c r="BI47" s="3"/>
    </row>
    <row r="48" spans="1:62" ht="13.5" customHeight="1">
      <c r="BF48" s="3"/>
      <c r="BG48" s="3"/>
      <c r="BH48" s="3"/>
      <c r="BI48" s="3"/>
    </row>
    <row r="49" spans="1:61" ht="13.5" customHeight="1">
      <c r="BF49" s="3"/>
      <c r="BG49" s="3"/>
      <c r="BH49" s="3"/>
      <c r="BI49" s="3"/>
    </row>
    <row r="50" spans="1:61" s="196" customFormat="1" ht="13.5" customHeight="1">
      <c r="A50" s="78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/>
      <c r="BD50"/>
      <c r="BE50" s="78"/>
      <c r="BF50" s="3"/>
      <c r="BG50" s="3"/>
      <c r="BH50" s="3"/>
      <c r="BI50" s="3"/>
    </row>
  </sheetData>
  <mergeCells count="215">
    <mergeCell ref="AP30:BB30"/>
    <mergeCell ref="AP31:BB31"/>
    <mergeCell ref="B38:K38"/>
    <mergeCell ref="L38:BB38"/>
    <mergeCell ref="AP24:BB24"/>
    <mergeCell ref="AP25:BB25"/>
    <mergeCell ref="AP26:BB26"/>
    <mergeCell ref="AP27:BB27"/>
    <mergeCell ref="AP28:BB28"/>
    <mergeCell ref="AP29:BB29"/>
    <mergeCell ref="B40:K40"/>
    <mergeCell ref="L40:BB40"/>
    <mergeCell ref="AP16:BB16"/>
    <mergeCell ref="AP17:BB17"/>
    <mergeCell ref="AP18:BB18"/>
    <mergeCell ref="AP19:BB19"/>
    <mergeCell ref="AP20:BB20"/>
    <mergeCell ref="AP21:BB21"/>
    <mergeCell ref="AP22:BB22"/>
    <mergeCell ref="AP23:BB23"/>
    <mergeCell ref="B36:K36"/>
    <mergeCell ref="L36:BB36"/>
    <mergeCell ref="B37:K37"/>
    <mergeCell ref="L37:BB37"/>
    <mergeCell ref="B39:K39"/>
    <mergeCell ref="L39:BB39"/>
    <mergeCell ref="AL31:AM31"/>
    <mergeCell ref="AN31:AO31"/>
    <mergeCell ref="A32:BB33"/>
    <mergeCell ref="B34:K34"/>
    <mergeCell ref="B35:K35"/>
    <mergeCell ref="L35:BB35"/>
    <mergeCell ref="AJ30:AK30"/>
    <mergeCell ref="AL30:AM30"/>
    <mergeCell ref="AN30:AO30"/>
    <mergeCell ref="B31:K31"/>
    <mergeCell ref="L31:U31"/>
    <mergeCell ref="V31:AA31"/>
    <mergeCell ref="AB31:AE31"/>
    <mergeCell ref="AF31:AG31"/>
    <mergeCell ref="AH31:AI31"/>
    <mergeCell ref="AJ31:AK31"/>
    <mergeCell ref="B30:K30"/>
    <mergeCell ref="L30:U30"/>
    <mergeCell ref="V30:AA30"/>
    <mergeCell ref="AB30:AE30"/>
    <mergeCell ref="AF30:AG30"/>
    <mergeCell ref="AH30:AI30"/>
    <mergeCell ref="AN28:AO28"/>
    <mergeCell ref="B29:K29"/>
    <mergeCell ref="L29:U29"/>
    <mergeCell ref="V29:AA29"/>
    <mergeCell ref="AB29:AE29"/>
    <mergeCell ref="AF29:AG29"/>
    <mergeCell ref="AH29:AI29"/>
    <mergeCell ref="AJ29:AK29"/>
    <mergeCell ref="AL29:AM29"/>
    <mergeCell ref="AN29:AO29"/>
    <mergeCell ref="AL27:AM27"/>
    <mergeCell ref="AN27:AO27"/>
    <mergeCell ref="B28:K28"/>
    <mergeCell ref="L28:U28"/>
    <mergeCell ref="V28:AA28"/>
    <mergeCell ref="AB28:AE28"/>
    <mergeCell ref="AF28:AG28"/>
    <mergeCell ref="AH28:AI28"/>
    <mergeCell ref="AJ28:AK28"/>
    <mergeCell ref="AL28:AM28"/>
    <mergeCell ref="AJ26:AK26"/>
    <mergeCell ref="AL26:AM26"/>
    <mergeCell ref="AN26:AO26"/>
    <mergeCell ref="B27:K27"/>
    <mergeCell ref="L27:U27"/>
    <mergeCell ref="V27:AA27"/>
    <mergeCell ref="AB27:AE27"/>
    <mergeCell ref="AF27:AG27"/>
    <mergeCell ref="AH27:AI27"/>
    <mergeCell ref="AJ27:AK27"/>
    <mergeCell ref="B26:K26"/>
    <mergeCell ref="L26:U26"/>
    <mergeCell ref="V26:AA26"/>
    <mergeCell ref="AB26:AE26"/>
    <mergeCell ref="AF26:AG26"/>
    <mergeCell ref="AH26:AI26"/>
    <mergeCell ref="AN24:AO24"/>
    <mergeCell ref="B25:K25"/>
    <mergeCell ref="L25:U25"/>
    <mergeCell ref="V25:AA25"/>
    <mergeCell ref="AB25:AE25"/>
    <mergeCell ref="AF25:AG25"/>
    <mergeCell ref="AH25:AI25"/>
    <mergeCell ref="AJ25:AK25"/>
    <mergeCell ref="AL25:AM25"/>
    <mergeCell ref="AN25:AO25"/>
    <mergeCell ref="AL23:AM23"/>
    <mergeCell ref="AN23:AO23"/>
    <mergeCell ref="B24:K24"/>
    <mergeCell ref="L24:U24"/>
    <mergeCell ref="V24:AA24"/>
    <mergeCell ref="AB24:AE24"/>
    <mergeCell ref="AF24:AG24"/>
    <mergeCell ref="AH24:AI24"/>
    <mergeCell ref="AJ24:AK24"/>
    <mergeCell ref="AL24:AM24"/>
    <mergeCell ref="AJ22:AK22"/>
    <mergeCell ref="AL22:AM22"/>
    <mergeCell ref="AN22:AO22"/>
    <mergeCell ref="B23:K23"/>
    <mergeCell ref="L23:U23"/>
    <mergeCell ref="V23:AA23"/>
    <mergeCell ref="AB23:AE23"/>
    <mergeCell ref="AF23:AG23"/>
    <mergeCell ref="AH23:AI23"/>
    <mergeCell ref="AJ23:AK23"/>
    <mergeCell ref="B22:K22"/>
    <mergeCell ref="L22:U22"/>
    <mergeCell ref="V22:AA22"/>
    <mergeCell ref="AB22:AE22"/>
    <mergeCell ref="AF22:AG22"/>
    <mergeCell ref="AH22:AI22"/>
    <mergeCell ref="AN20:AO20"/>
    <mergeCell ref="B21:K21"/>
    <mergeCell ref="L21:U21"/>
    <mergeCell ref="V21:AA21"/>
    <mergeCell ref="AB21:AE21"/>
    <mergeCell ref="AF21:AG21"/>
    <mergeCell ref="AH21:AI21"/>
    <mergeCell ref="AJ21:AK21"/>
    <mergeCell ref="AL21:AM21"/>
    <mergeCell ref="AN21:AO21"/>
    <mergeCell ref="AL19:AM19"/>
    <mergeCell ref="AN19:AO19"/>
    <mergeCell ref="B20:K20"/>
    <mergeCell ref="L20:U20"/>
    <mergeCell ref="V20:AA20"/>
    <mergeCell ref="AB20:AE20"/>
    <mergeCell ref="AF20:AG20"/>
    <mergeCell ref="AH20:AI20"/>
    <mergeCell ref="AJ20:AK20"/>
    <mergeCell ref="AL20:AM20"/>
    <mergeCell ref="AJ18:AK18"/>
    <mergeCell ref="AL18:AM18"/>
    <mergeCell ref="AN18:AO18"/>
    <mergeCell ref="B19:K19"/>
    <mergeCell ref="L19:U19"/>
    <mergeCell ref="V19:AA19"/>
    <mergeCell ref="AB19:AE19"/>
    <mergeCell ref="AF19:AG19"/>
    <mergeCell ref="AH19:AI19"/>
    <mergeCell ref="AJ19:AK19"/>
    <mergeCell ref="B18:K18"/>
    <mergeCell ref="L18:U18"/>
    <mergeCell ref="V18:AA18"/>
    <mergeCell ref="AB18:AE18"/>
    <mergeCell ref="AF18:AG18"/>
    <mergeCell ref="AH18:AI18"/>
    <mergeCell ref="AN16:AO16"/>
    <mergeCell ref="B17:K17"/>
    <mergeCell ref="L17:U17"/>
    <mergeCell ref="V17:AA17"/>
    <mergeCell ref="AB17:AE17"/>
    <mergeCell ref="AF17:AG17"/>
    <mergeCell ref="AH17:AI17"/>
    <mergeCell ref="AJ17:AK17"/>
    <mergeCell ref="AL17:AM17"/>
    <mergeCell ref="AN17:AO17"/>
    <mergeCell ref="AN14:AO15"/>
    <mergeCell ref="AP14:BB15"/>
    <mergeCell ref="B16:K16"/>
    <mergeCell ref="L16:U16"/>
    <mergeCell ref="V16:AA16"/>
    <mergeCell ref="AB16:AE16"/>
    <mergeCell ref="AF16:AG16"/>
    <mergeCell ref="AH16:AI16"/>
    <mergeCell ref="AJ16:AK16"/>
    <mergeCell ref="AL16:AM16"/>
    <mergeCell ref="A12:BB13"/>
    <mergeCell ref="A14:A15"/>
    <mergeCell ref="B14:K15"/>
    <mergeCell ref="L14:U15"/>
    <mergeCell ref="V14:AA15"/>
    <mergeCell ref="AB14:AE15"/>
    <mergeCell ref="AF14:AG15"/>
    <mergeCell ref="AH14:AI15"/>
    <mergeCell ref="AJ14:AK15"/>
    <mergeCell ref="AL14:AM15"/>
    <mergeCell ref="A8:E8"/>
    <mergeCell ref="F8:BB8"/>
    <mergeCell ref="A9:E9"/>
    <mergeCell ref="F9:BB9"/>
    <mergeCell ref="A10:E11"/>
    <mergeCell ref="G10:M10"/>
    <mergeCell ref="A3:G3"/>
    <mergeCell ref="H3:AJ3"/>
    <mergeCell ref="AK3:AN3"/>
    <mergeCell ref="AO3:BB3"/>
    <mergeCell ref="A5:BB6"/>
    <mergeCell ref="A7:E7"/>
    <mergeCell ref="F7:BB7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dataValidations count="6">
    <dataValidation imeMode="on" allowBlank="1" showInputMessage="1" showErrorMessage="1" sqref="B16:K31 AP16:AP31"/>
    <dataValidation imeMode="disabled" allowBlank="1" showInputMessage="1" showErrorMessage="1" sqref="L16:U31 AF16:AO31"/>
    <dataValidation type="list" allowBlank="1" showInputMessage="1" showErrorMessage="1" sqref="BI35:BI40">
      <formula1>IndexTypeList</formula1>
    </dataValidation>
    <dataValidation type="list" imeMode="off" allowBlank="1" sqref="V16:AA31">
      <formula1>INDIRECT(DBMS)</formula1>
    </dataValidation>
    <dataValidation type="list" allowBlank="1" showInputMessage="1" showErrorMessage="1" sqref="G10">
      <formula1>TableTypeList</formula1>
    </dataValidation>
    <dataValidation type="list" allowBlank="1" showInputMessage="1" showErrorMessage="1" sqref="AB16:AE31">
      <formula1>defVal_MySQL</formula1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49" max="16383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B23"/>
  <sheetViews>
    <sheetView showGridLines="0" zoomScaleNormal="100" zoomScaleSheetLayoutView="85" workbookViewId="0">
      <selection activeCell="AM38" sqref="AM38"/>
    </sheetView>
  </sheetViews>
  <sheetFormatPr defaultColWidth="3.5703125" defaultRowHeight="13.5" customHeight="1"/>
  <cols>
    <col min="1" max="16384" width="3.5703125" style="78"/>
  </cols>
  <sheetData>
    <row r="1" spans="1:54" s="75" customFormat="1" ht="13.5" customHeight="1">
      <c r="A1" s="394" t="s">
        <v>1</v>
      </c>
      <c r="B1" s="395"/>
      <c r="C1" s="395"/>
      <c r="D1" s="395"/>
      <c r="E1" s="395"/>
      <c r="F1" s="395"/>
      <c r="G1" s="396"/>
      <c r="H1" s="285" t="str">
        <f>表紙!N27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397" t="s">
        <v>461</v>
      </c>
      <c r="X1" s="398"/>
      <c r="Y1" s="398"/>
      <c r="Z1" s="398"/>
      <c r="AA1" s="399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tr">
        <f>CreateBy</f>
        <v>○○　✕✕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f>CreateAt</f>
        <v>44287</v>
      </c>
      <c r="AY1" s="263"/>
      <c r="AZ1" s="263"/>
      <c r="BA1" s="263"/>
      <c r="BB1" s="264"/>
    </row>
    <row r="2" spans="1:54" s="75" customFormat="1" ht="13.5" customHeight="1">
      <c r="A2" s="388" t="s">
        <v>464</v>
      </c>
      <c r="B2" s="389"/>
      <c r="C2" s="389"/>
      <c r="D2" s="389"/>
      <c r="E2" s="389"/>
      <c r="F2" s="389"/>
      <c r="G2" s="390"/>
      <c r="H2" s="268" t="str">
        <f>表紙!N31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391" t="s">
        <v>465</v>
      </c>
      <c r="X2" s="392"/>
      <c r="Y2" s="392"/>
      <c r="Z2" s="392"/>
      <c r="AA2" s="393"/>
      <c r="AB2" s="271" t="str">
        <f>表紙!N35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</row>
    <row r="3" spans="1:54" s="75" customFormat="1" ht="13.5" customHeight="1" thickBot="1">
      <c r="A3" s="406" t="s">
        <v>468</v>
      </c>
      <c r="B3" s="407"/>
      <c r="C3" s="407"/>
      <c r="D3" s="407"/>
      <c r="E3" s="407"/>
      <c r="F3" s="407"/>
      <c r="G3" s="408"/>
      <c r="H3" s="244" t="str">
        <f>表紙!F13</f>
        <v>データベース設計書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tr">
        <f ca="1">RIGHT(CELL("filename",A2),LEN(CELL("filename",A2))-FIND("]",CELL("filename",A2)))</f>
        <v>5.容量計算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</row>
    <row r="4" spans="1:54" ht="13.5" customHeight="1" thickBo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54" s="75" customFormat="1" ht="13.5" customHeight="1">
      <c r="A5" s="229" t="s">
        <v>517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1"/>
    </row>
    <row r="6" spans="1:54" s="75" customFormat="1" ht="13.5" customHeight="1" thickBot="1">
      <c r="A6" s="232"/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4"/>
    </row>
    <row r="7" spans="1:54" s="75" customFormat="1" ht="13.5" customHeight="1">
      <c r="A7" s="292" t="s">
        <v>475</v>
      </c>
      <c r="B7" s="412" t="s">
        <v>518</v>
      </c>
      <c r="C7" s="413"/>
      <c r="D7" s="413"/>
      <c r="E7" s="413"/>
      <c r="F7" s="413"/>
      <c r="G7" s="413"/>
      <c r="H7" s="413"/>
      <c r="I7" s="413"/>
      <c r="J7" s="413"/>
      <c r="K7" s="414"/>
      <c r="L7" s="412" t="s">
        <v>519</v>
      </c>
      <c r="M7" s="413"/>
      <c r="N7" s="413"/>
      <c r="O7" s="413"/>
      <c r="P7" s="413"/>
      <c r="Q7" s="413"/>
      <c r="R7" s="413"/>
      <c r="S7" s="413"/>
      <c r="T7" s="413"/>
      <c r="U7" s="413"/>
      <c r="V7" s="413"/>
      <c r="W7" s="414"/>
      <c r="X7" s="300" t="s">
        <v>520</v>
      </c>
      <c r="Y7" s="300"/>
      <c r="Z7" s="300"/>
      <c r="AA7" s="300"/>
      <c r="AB7" s="300" t="s">
        <v>521</v>
      </c>
      <c r="AC7" s="301"/>
      <c r="AD7" s="301"/>
      <c r="AE7" s="301" t="s">
        <v>522</v>
      </c>
      <c r="AF7" s="301"/>
      <c r="AG7" s="301"/>
      <c r="AH7" s="300" t="s">
        <v>523</v>
      </c>
      <c r="AI7" s="301"/>
      <c r="AJ7" s="301"/>
      <c r="AK7" s="310" t="s">
        <v>524</v>
      </c>
      <c r="AL7" s="236"/>
      <c r="AM7" s="236"/>
      <c r="AN7" s="236"/>
      <c r="AO7" s="236"/>
      <c r="AP7" s="236"/>
      <c r="AQ7" s="236"/>
      <c r="AR7" s="236"/>
      <c r="AS7" s="237"/>
      <c r="AT7" s="301" t="s">
        <v>525</v>
      </c>
      <c r="AU7" s="301"/>
      <c r="AV7" s="301"/>
      <c r="AW7" s="301"/>
      <c r="AX7" s="301"/>
      <c r="AY7" s="301"/>
      <c r="AZ7" s="301"/>
      <c r="BA7" s="301"/>
      <c r="BB7" s="419"/>
    </row>
    <row r="8" spans="1:54" s="75" customFormat="1" ht="13.5" customHeight="1">
      <c r="A8" s="293"/>
      <c r="B8" s="415"/>
      <c r="C8" s="416"/>
      <c r="D8" s="416"/>
      <c r="E8" s="416"/>
      <c r="F8" s="416"/>
      <c r="G8" s="416"/>
      <c r="H8" s="416"/>
      <c r="I8" s="416"/>
      <c r="J8" s="416"/>
      <c r="K8" s="417"/>
      <c r="L8" s="415"/>
      <c r="M8" s="416"/>
      <c r="N8" s="416"/>
      <c r="O8" s="416"/>
      <c r="P8" s="416"/>
      <c r="Q8" s="416"/>
      <c r="R8" s="416"/>
      <c r="S8" s="416"/>
      <c r="T8" s="416"/>
      <c r="U8" s="416"/>
      <c r="V8" s="416"/>
      <c r="W8" s="417"/>
      <c r="X8" s="418"/>
      <c r="Y8" s="418"/>
      <c r="Z8" s="418"/>
      <c r="AA8" s="418"/>
      <c r="AB8" s="302"/>
      <c r="AC8" s="302"/>
      <c r="AD8" s="302"/>
      <c r="AE8" s="302"/>
      <c r="AF8" s="302"/>
      <c r="AG8" s="302"/>
      <c r="AH8" s="302"/>
      <c r="AI8" s="302"/>
      <c r="AJ8" s="302"/>
      <c r="AK8" s="302" t="s">
        <v>526</v>
      </c>
      <c r="AL8" s="302"/>
      <c r="AM8" s="302"/>
      <c r="AN8" s="302" t="s">
        <v>527</v>
      </c>
      <c r="AO8" s="302"/>
      <c r="AP8" s="302"/>
      <c r="AQ8" s="302" t="s">
        <v>528</v>
      </c>
      <c r="AR8" s="302"/>
      <c r="AS8" s="302"/>
      <c r="AT8" s="302" t="s">
        <v>526</v>
      </c>
      <c r="AU8" s="302"/>
      <c r="AV8" s="302"/>
      <c r="AW8" s="302" t="s">
        <v>527</v>
      </c>
      <c r="AX8" s="302"/>
      <c r="AY8" s="302"/>
      <c r="AZ8" s="302" t="s">
        <v>528</v>
      </c>
      <c r="BA8" s="302"/>
      <c r="BB8" s="420"/>
    </row>
    <row r="9" spans="1:54" s="75" customFormat="1" ht="13.5" customHeight="1">
      <c r="A9" s="81">
        <v>1</v>
      </c>
      <c r="B9" s="311"/>
      <c r="C9" s="311"/>
      <c r="D9" s="311"/>
      <c r="E9" s="311"/>
      <c r="F9" s="311"/>
      <c r="G9" s="311"/>
      <c r="H9" s="311"/>
      <c r="I9" s="311"/>
      <c r="J9" s="311"/>
      <c r="K9" s="311"/>
      <c r="L9" s="427"/>
      <c r="M9" s="428"/>
      <c r="N9" s="428"/>
      <c r="O9" s="428"/>
      <c r="P9" s="428"/>
      <c r="Q9" s="428"/>
      <c r="R9" s="428"/>
      <c r="S9" s="428"/>
      <c r="T9" s="428"/>
      <c r="U9" s="428"/>
      <c r="V9" s="428"/>
      <c r="W9" s="429"/>
      <c r="X9" s="421"/>
      <c r="Y9" s="421"/>
      <c r="Z9" s="421"/>
      <c r="AA9" s="421"/>
      <c r="AB9" s="430"/>
      <c r="AC9" s="431"/>
      <c r="AD9" s="431"/>
      <c r="AE9" s="421"/>
      <c r="AF9" s="421"/>
      <c r="AG9" s="421"/>
      <c r="AH9" s="422">
        <f t="shared" ref="AH9:AH20" si="0">X9*AB9*AE9/1048576</f>
        <v>0</v>
      </c>
      <c r="AI9" s="423"/>
      <c r="AJ9" s="423"/>
      <c r="AK9" s="421"/>
      <c r="AL9" s="421"/>
      <c r="AM9" s="421"/>
      <c r="AN9" s="421"/>
      <c r="AO9" s="421"/>
      <c r="AP9" s="421"/>
      <c r="AQ9" s="421"/>
      <c r="AR9" s="421"/>
      <c r="AS9" s="421"/>
      <c r="AT9" s="422">
        <f t="shared" ref="AT9:AT20" si="1">X9*AB9*AK9/1048576</f>
        <v>0</v>
      </c>
      <c r="AU9" s="423"/>
      <c r="AV9" s="423"/>
      <c r="AW9" s="422">
        <f t="shared" ref="AW9:AW20" si="2">X9*AB9*AN9/1048576</f>
        <v>0</v>
      </c>
      <c r="AX9" s="423"/>
      <c r="AY9" s="423"/>
      <c r="AZ9" s="424">
        <f t="shared" ref="AZ9:AZ20" si="3">X9*AB9*AQ9/1048576</f>
        <v>0</v>
      </c>
      <c r="BA9" s="425"/>
      <c r="BB9" s="426"/>
    </row>
    <row r="10" spans="1:54" s="75" customFormat="1" ht="13.5" customHeight="1">
      <c r="A10" s="81">
        <f t="shared" ref="A10:A20" si="4">A9+1</f>
        <v>2</v>
      </c>
      <c r="B10" s="311"/>
      <c r="C10" s="311"/>
      <c r="D10" s="311"/>
      <c r="E10" s="311"/>
      <c r="F10" s="311"/>
      <c r="G10" s="311"/>
      <c r="H10" s="311"/>
      <c r="I10" s="311"/>
      <c r="J10" s="311"/>
      <c r="K10" s="311"/>
      <c r="L10" s="427"/>
      <c r="M10" s="428"/>
      <c r="N10" s="428"/>
      <c r="O10" s="428"/>
      <c r="P10" s="428"/>
      <c r="Q10" s="428"/>
      <c r="R10" s="428"/>
      <c r="S10" s="428"/>
      <c r="T10" s="428"/>
      <c r="U10" s="428"/>
      <c r="V10" s="428"/>
      <c r="W10" s="429"/>
      <c r="X10" s="421"/>
      <c r="Y10" s="421"/>
      <c r="Z10" s="421"/>
      <c r="AA10" s="421"/>
      <c r="AB10" s="430"/>
      <c r="AC10" s="431"/>
      <c r="AD10" s="431"/>
      <c r="AE10" s="421"/>
      <c r="AF10" s="421"/>
      <c r="AG10" s="421"/>
      <c r="AH10" s="422">
        <f t="shared" si="0"/>
        <v>0</v>
      </c>
      <c r="AI10" s="423"/>
      <c r="AJ10" s="423"/>
      <c r="AK10" s="421"/>
      <c r="AL10" s="421"/>
      <c r="AM10" s="421"/>
      <c r="AN10" s="421"/>
      <c r="AO10" s="421"/>
      <c r="AP10" s="421"/>
      <c r="AQ10" s="421"/>
      <c r="AR10" s="421"/>
      <c r="AS10" s="421"/>
      <c r="AT10" s="422">
        <f t="shared" si="1"/>
        <v>0</v>
      </c>
      <c r="AU10" s="423"/>
      <c r="AV10" s="423"/>
      <c r="AW10" s="422">
        <f t="shared" si="2"/>
        <v>0</v>
      </c>
      <c r="AX10" s="423"/>
      <c r="AY10" s="423"/>
      <c r="AZ10" s="424">
        <f t="shared" si="3"/>
        <v>0</v>
      </c>
      <c r="BA10" s="425"/>
      <c r="BB10" s="426"/>
    </row>
    <row r="11" spans="1:54" s="75" customFormat="1" ht="13.5" customHeight="1">
      <c r="A11" s="81">
        <f t="shared" si="4"/>
        <v>3</v>
      </c>
      <c r="B11" s="311"/>
      <c r="C11" s="311"/>
      <c r="D11" s="311"/>
      <c r="E11" s="311"/>
      <c r="F11" s="311"/>
      <c r="G11" s="311"/>
      <c r="H11" s="311"/>
      <c r="I11" s="311"/>
      <c r="J11" s="311"/>
      <c r="K11" s="311"/>
      <c r="L11" s="427"/>
      <c r="M11" s="428"/>
      <c r="N11" s="428"/>
      <c r="O11" s="428"/>
      <c r="P11" s="428"/>
      <c r="Q11" s="428"/>
      <c r="R11" s="428"/>
      <c r="S11" s="428"/>
      <c r="T11" s="428"/>
      <c r="U11" s="428"/>
      <c r="V11" s="428"/>
      <c r="W11" s="429"/>
      <c r="X11" s="421"/>
      <c r="Y11" s="421"/>
      <c r="Z11" s="421"/>
      <c r="AA11" s="421"/>
      <c r="AB11" s="430"/>
      <c r="AC11" s="431"/>
      <c r="AD11" s="431"/>
      <c r="AE11" s="421"/>
      <c r="AF11" s="421"/>
      <c r="AG11" s="421"/>
      <c r="AH11" s="422">
        <f t="shared" si="0"/>
        <v>0</v>
      </c>
      <c r="AI11" s="423"/>
      <c r="AJ11" s="423"/>
      <c r="AK11" s="421"/>
      <c r="AL11" s="421"/>
      <c r="AM11" s="421"/>
      <c r="AN11" s="421"/>
      <c r="AO11" s="421"/>
      <c r="AP11" s="421"/>
      <c r="AQ11" s="421"/>
      <c r="AR11" s="421"/>
      <c r="AS11" s="421"/>
      <c r="AT11" s="422">
        <f t="shared" si="1"/>
        <v>0</v>
      </c>
      <c r="AU11" s="423"/>
      <c r="AV11" s="423"/>
      <c r="AW11" s="422">
        <f t="shared" si="2"/>
        <v>0</v>
      </c>
      <c r="AX11" s="423"/>
      <c r="AY11" s="423"/>
      <c r="AZ11" s="424">
        <f t="shared" si="3"/>
        <v>0</v>
      </c>
      <c r="BA11" s="425"/>
      <c r="BB11" s="426"/>
    </row>
    <row r="12" spans="1:54" s="75" customFormat="1" ht="13.5" customHeight="1">
      <c r="A12" s="81">
        <f t="shared" si="4"/>
        <v>4</v>
      </c>
      <c r="B12" s="311"/>
      <c r="C12" s="311"/>
      <c r="D12" s="311"/>
      <c r="E12" s="311"/>
      <c r="F12" s="311"/>
      <c r="G12" s="311"/>
      <c r="H12" s="311"/>
      <c r="I12" s="311"/>
      <c r="J12" s="311"/>
      <c r="K12" s="311"/>
      <c r="L12" s="427"/>
      <c r="M12" s="428"/>
      <c r="N12" s="428"/>
      <c r="O12" s="428"/>
      <c r="P12" s="428"/>
      <c r="Q12" s="428"/>
      <c r="R12" s="428"/>
      <c r="S12" s="428"/>
      <c r="T12" s="428"/>
      <c r="U12" s="428"/>
      <c r="V12" s="428"/>
      <c r="W12" s="429"/>
      <c r="X12" s="421"/>
      <c r="Y12" s="421"/>
      <c r="Z12" s="421"/>
      <c r="AA12" s="421"/>
      <c r="AB12" s="430"/>
      <c r="AC12" s="431"/>
      <c r="AD12" s="431"/>
      <c r="AE12" s="421"/>
      <c r="AF12" s="421"/>
      <c r="AG12" s="421"/>
      <c r="AH12" s="422">
        <f t="shared" si="0"/>
        <v>0</v>
      </c>
      <c r="AI12" s="423"/>
      <c r="AJ12" s="423"/>
      <c r="AK12" s="421"/>
      <c r="AL12" s="421"/>
      <c r="AM12" s="421"/>
      <c r="AN12" s="421"/>
      <c r="AO12" s="421"/>
      <c r="AP12" s="421"/>
      <c r="AQ12" s="421"/>
      <c r="AR12" s="421"/>
      <c r="AS12" s="421"/>
      <c r="AT12" s="422">
        <f t="shared" si="1"/>
        <v>0</v>
      </c>
      <c r="AU12" s="423"/>
      <c r="AV12" s="423"/>
      <c r="AW12" s="422">
        <f t="shared" si="2"/>
        <v>0</v>
      </c>
      <c r="AX12" s="423"/>
      <c r="AY12" s="423"/>
      <c r="AZ12" s="424">
        <f t="shared" si="3"/>
        <v>0</v>
      </c>
      <c r="BA12" s="425"/>
      <c r="BB12" s="426"/>
    </row>
    <row r="13" spans="1:54" s="75" customFormat="1" ht="13.5" customHeight="1">
      <c r="A13" s="81">
        <f t="shared" si="4"/>
        <v>5</v>
      </c>
      <c r="B13" s="311"/>
      <c r="C13" s="311"/>
      <c r="D13" s="311"/>
      <c r="E13" s="311"/>
      <c r="F13" s="311"/>
      <c r="G13" s="311"/>
      <c r="H13" s="311"/>
      <c r="I13" s="311"/>
      <c r="J13" s="311"/>
      <c r="K13" s="311"/>
      <c r="L13" s="427"/>
      <c r="M13" s="428"/>
      <c r="N13" s="428"/>
      <c r="O13" s="428"/>
      <c r="P13" s="428"/>
      <c r="Q13" s="428"/>
      <c r="R13" s="428"/>
      <c r="S13" s="428"/>
      <c r="T13" s="428"/>
      <c r="U13" s="428"/>
      <c r="V13" s="428"/>
      <c r="W13" s="429"/>
      <c r="X13" s="421"/>
      <c r="Y13" s="421"/>
      <c r="Z13" s="421"/>
      <c r="AA13" s="421"/>
      <c r="AB13" s="430"/>
      <c r="AC13" s="431"/>
      <c r="AD13" s="431"/>
      <c r="AE13" s="421"/>
      <c r="AF13" s="421"/>
      <c r="AG13" s="421"/>
      <c r="AH13" s="422">
        <f t="shared" si="0"/>
        <v>0</v>
      </c>
      <c r="AI13" s="423"/>
      <c r="AJ13" s="423"/>
      <c r="AK13" s="421"/>
      <c r="AL13" s="421"/>
      <c r="AM13" s="421"/>
      <c r="AN13" s="421"/>
      <c r="AO13" s="421"/>
      <c r="AP13" s="421"/>
      <c r="AQ13" s="421"/>
      <c r="AR13" s="421"/>
      <c r="AS13" s="421"/>
      <c r="AT13" s="422">
        <f t="shared" si="1"/>
        <v>0</v>
      </c>
      <c r="AU13" s="423"/>
      <c r="AV13" s="423"/>
      <c r="AW13" s="422">
        <f t="shared" si="2"/>
        <v>0</v>
      </c>
      <c r="AX13" s="423"/>
      <c r="AY13" s="423"/>
      <c r="AZ13" s="424">
        <f t="shared" si="3"/>
        <v>0</v>
      </c>
      <c r="BA13" s="425"/>
      <c r="BB13" s="426"/>
    </row>
    <row r="14" spans="1:54" s="75" customFormat="1" ht="13.5" customHeight="1">
      <c r="A14" s="81">
        <f t="shared" si="4"/>
        <v>6</v>
      </c>
      <c r="B14" s="311"/>
      <c r="C14" s="311"/>
      <c r="D14" s="311"/>
      <c r="E14" s="311"/>
      <c r="F14" s="311"/>
      <c r="G14" s="311"/>
      <c r="H14" s="311"/>
      <c r="I14" s="311"/>
      <c r="J14" s="311"/>
      <c r="K14" s="311"/>
      <c r="L14" s="427"/>
      <c r="M14" s="428"/>
      <c r="N14" s="428"/>
      <c r="O14" s="428"/>
      <c r="P14" s="428"/>
      <c r="Q14" s="428"/>
      <c r="R14" s="428"/>
      <c r="S14" s="428"/>
      <c r="T14" s="428"/>
      <c r="U14" s="428"/>
      <c r="V14" s="428"/>
      <c r="W14" s="429"/>
      <c r="X14" s="421"/>
      <c r="Y14" s="421"/>
      <c r="Z14" s="421"/>
      <c r="AA14" s="421"/>
      <c r="AB14" s="430"/>
      <c r="AC14" s="431"/>
      <c r="AD14" s="431"/>
      <c r="AE14" s="421"/>
      <c r="AF14" s="421"/>
      <c r="AG14" s="421"/>
      <c r="AH14" s="422">
        <f t="shared" si="0"/>
        <v>0</v>
      </c>
      <c r="AI14" s="423"/>
      <c r="AJ14" s="423"/>
      <c r="AK14" s="421"/>
      <c r="AL14" s="421"/>
      <c r="AM14" s="421"/>
      <c r="AN14" s="421"/>
      <c r="AO14" s="421"/>
      <c r="AP14" s="421"/>
      <c r="AQ14" s="421"/>
      <c r="AR14" s="421"/>
      <c r="AS14" s="421"/>
      <c r="AT14" s="422">
        <f t="shared" si="1"/>
        <v>0</v>
      </c>
      <c r="AU14" s="423"/>
      <c r="AV14" s="423"/>
      <c r="AW14" s="422">
        <f t="shared" si="2"/>
        <v>0</v>
      </c>
      <c r="AX14" s="423"/>
      <c r="AY14" s="423"/>
      <c r="AZ14" s="424">
        <f t="shared" si="3"/>
        <v>0</v>
      </c>
      <c r="BA14" s="425"/>
      <c r="BB14" s="426"/>
    </row>
    <row r="15" spans="1:54" s="75" customFormat="1" ht="13.5" customHeight="1">
      <c r="A15" s="81">
        <f t="shared" si="4"/>
        <v>7</v>
      </c>
      <c r="B15" s="311"/>
      <c r="C15" s="311"/>
      <c r="D15" s="311"/>
      <c r="E15" s="311"/>
      <c r="F15" s="311"/>
      <c r="G15" s="311"/>
      <c r="H15" s="311"/>
      <c r="I15" s="311"/>
      <c r="J15" s="311"/>
      <c r="K15" s="311"/>
      <c r="L15" s="427"/>
      <c r="M15" s="428"/>
      <c r="N15" s="428"/>
      <c r="O15" s="428"/>
      <c r="P15" s="428"/>
      <c r="Q15" s="428"/>
      <c r="R15" s="428"/>
      <c r="S15" s="428"/>
      <c r="T15" s="428"/>
      <c r="U15" s="428"/>
      <c r="V15" s="428"/>
      <c r="W15" s="429"/>
      <c r="X15" s="421"/>
      <c r="Y15" s="421"/>
      <c r="Z15" s="421"/>
      <c r="AA15" s="421"/>
      <c r="AB15" s="430"/>
      <c r="AC15" s="431"/>
      <c r="AD15" s="431"/>
      <c r="AE15" s="421"/>
      <c r="AF15" s="421"/>
      <c r="AG15" s="421"/>
      <c r="AH15" s="422">
        <f t="shared" si="0"/>
        <v>0</v>
      </c>
      <c r="AI15" s="423"/>
      <c r="AJ15" s="423"/>
      <c r="AK15" s="421"/>
      <c r="AL15" s="421"/>
      <c r="AM15" s="421"/>
      <c r="AN15" s="421"/>
      <c r="AO15" s="421"/>
      <c r="AP15" s="421"/>
      <c r="AQ15" s="421"/>
      <c r="AR15" s="421"/>
      <c r="AS15" s="421"/>
      <c r="AT15" s="422">
        <f t="shared" si="1"/>
        <v>0</v>
      </c>
      <c r="AU15" s="423"/>
      <c r="AV15" s="423"/>
      <c r="AW15" s="422">
        <f t="shared" si="2"/>
        <v>0</v>
      </c>
      <c r="AX15" s="423"/>
      <c r="AY15" s="423"/>
      <c r="AZ15" s="424">
        <f t="shared" si="3"/>
        <v>0</v>
      </c>
      <c r="BA15" s="425"/>
      <c r="BB15" s="426"/>
    </row>
    <row r="16" spans="1:54" s="75" customFormat="1" ht="13.5" customHeight="1">
      <c r="A16" s="81">
        <f t="shared" si="4"/>
        <v>8</v>
      </c>
      <c r="B16" s="311"/>
      <c r="C16" s="311"/>
      <c r="D16" s="311"/>
      <c r="E16" s="311"/>
      <c r="F16" s="311"/>
      <c r="G16" s="311"/>
      <c r="H16" s="311"/>
      <c r="I16" s="311"/>
      <c r="J16" s="311"/>
      <c r="K16" s="311"/>
      <c r="L16" s="427"/>
      <c r="M16" s="428"/>
      <c r="N16" s="428"/>
      <c r="O16" s="428"/>
      <c r="P16" s="428"/>
      <c r="Q16" s="428"/>
      <c r="R16" s="428"/>
      <c r="S16" s="428"/>
      <c r="T16" s="428"/>
      <c r="U16" s="428"/>
      <c r="V16" s="428"/>
      <c r="W16" s="429"/>
      <c r="X16" s="421"/>
      <c r="Y16" s="421"/>
      <c r="Z16" s="421"/>
      <c r="AA16" s="421"/>
      <c r="AB16" s="430"/>
      <c r="AC16" s="431"/>
      <c r="AD16" s="431"/>
      <c r="AE16" s="421"/>
      <c r="AF16" s="421"/>
      <c r="AG16" s="421"/>
      <c r="AH16" s="422">
        <f t="shared" si="0"/>
        <v>0</v>
      </c>
      <c r="AI16" s="423"/>
      <c r="AJ16" s="423"/>
      <c r="AK16" s="421"/>
      <c r="AL16" s="421"/>
      <c r="AM16" s="421"/>
      <c r="AN16" s="421"/>
      <c r="AO16" s="421"/>
      <c r="AP16" s="421"/>
      <c r="AQ16" s="421"/>
      <c r="AR16" s="421"/>
      <c r="AS16" s="421"/>
      <c r="AT16" s="422">
        <f t="shared" si="1"/>
        <v>0</v>
      </c>
      <c r="AU16" s="423"/>
      <c r="AV16" s="423"/>
      <c r="AW16" s="422">
        <f t="shared" si="2"/>
        <v>0</v>
      </c>
      <c r="AX16" s="423"/>
      <c r="AY16" s="423"/>
      <c r="AZ16" s="424">
        <f t="shared" si="3"/>
        <v>0</v>
      </c>
      <c r="BA16" s="425"/>
      <c r="BB16" s="426"/>
    </row>
    <row r="17" spans="1:54" s="75" customFormat="1" ht="13.5" customHeight="1">
      <c r="A17" s="81">
        <f t="shared" si="4"/>
        <v>9</v>
      </c>
      <c r="B17" s="311"/>
      <c r="C17" s="311"/>
      <c r="D17" s="311"/>
      <c r="E17" s="311"/>
      <c r="F17" s="311"/>
      <c r="G17" s="311"/>
      <c r="H17" s="311"/>
      <c r="I17" s="311"/>
      <c r="J17" s="311"/>
      <c r="K17" s="311"/>
      <c r="L17" s="427"/>
      <c r="M17" s="428"/>
      <c r="N17" s="428"/>
      <c r="O17" s="428"/>
      <c r="P17" s="428"/>
      <c r="Q17" s="428"/>
      <c r="R17" s="428"/>
      <c r="S17" s="428"/>
      <c r="T17" s="428"/>
      <c r="U17" s="428"/>
      <c r="V17" s="428"/>
      <c r="W17" s="429"/>
      <c r="X17" s="421"/>
      <c r="Y17" s="421"/>
      <c r="Z17" s="421"/>
      <c r="AA17" s="421"/>
      <c r="AB17" s="430"/>
      <c r="AC17" s="431"/>
      <c r="AD17" s="431"/>
      <c r="AE17" s="421"/>
      <c r="AF17" s="421"/>
      <c r="AG17" s="421"/>
      <c r="AH17" s="422">
        <f t="shared" si="0"/>
        <v>0</v>
      </c>
      <c r="AI17" s="423"/>
      <c r="AJ17" s="423"/>
      <c r="AK17" s="421"/>
      <c r="AL17" s="421"/>
      <c r="AM17" s="421"/>
      <c r="AN17" s="421"/>
      <c r="AO17" s="421"/>
      <c r="AP17" s="421"/>
      <c r="AQ17" s="421"/>
      <c r="AR17" s="421"/>
      <c r="AS17" s="421"/>
      <c r="AT17" s="422">
        <f t="shared" si="1"/>
        <v>0</v>
      </c>
      <c r="AU17" s="423"/>
      <c r="AV17" s="423"/>
      <c r="AW17" s="422">
        <f t="shared" si="2"/>
        <v>0</v>
      </c>
      <c r="AX17" s="423"/>
      <c r="AY17" s="423"/>
      <c r="AZ17" s="424">
        <f t="shared" si="3"/>
        <v>0</v>
      </c>
      <c r="BA17" s="425"/>
      <c r="BB17" s="426"/>
    </row>
    <row r="18" spans="1:54" s="75" customFormat="1" ht="13.5" customHeight="1">
      <c r="A18" s="81">
        <f t="shared" si="4"/>
        <v>10</v>
      </c>
      <c r="B18" s="311"/>
      <c r="C18" s="311"/>
      <c r="D18" s="311"/>
      <c r="E18" s="311"/>
      <c r="F18" s="311"/>
      <c r="G18" s="311"/>
      <c r="H18" s="311"/>
      <c r="I18" s="311"/>
      <c r="J18" s="311"/>
      <c r="K18" s="311"/>
      <c r="L18" s="427"/>
      <c r="M18" s="428"/>
      <c r="N18" s="428"/>
      <c r="O18" s="428"/>
      <c r="P18" s="428"/>
      <c r="Q18" s="428"/>
      <c r="R18" s="428"/>
      <c r="S18" s="428"/>
      <c r="T18" s="428"/>
      <c r="U18" s="428"/>
      <c r="V18" s="428"/>
      <c r="W18" s="429"/>
      <c r="X18" s="421"/>
      <c r="Y18" s="421"/>
      <c r="Z18" s="421"/>
      <c r="AA18" s="421"/>
      <c r="AB18" s="430"/>
      <c r="AC18" s="431"/>
      <c r="AD18" s="431"/>
      <c r="AE18" s="421"/>
      <c r="AF18" s="421"/>
      <c r="AG18" s="421"/>
      <c r="AH18" s="422">
        <f t="shared" si="0"/>
        <v>0</v>
      </c>
      <c r="AI18" s="423"/>
      <c r="AJ18" s="423"/>
      <c r="AK18" s="421"/>
      <c r="AL18" s="421"/>
      <c r="AM18" s="421"/>
      <c r="AN18" s="421"/>
      <c r="AO18" s="421"/>
      <c r="AP18" s="421"/>
      <c r="AQ18" s="421"/>
      <c r="AR18" s="421"/>
      <c r="AS18" s="421"/>
      <c r="AT18" s="422">
        <f t="shared" si="1"/>
        <v>0</v>
      </c>
      <c r="AU18" s="423"/>
      <c r="AV18" s="423"/>
      <c r="AW18" s="422">
        <f t="shared" si="2"/>
        <v>0</v>
      </c>
      <c r="AX18" s="423"/>
      <c r="AY18" s="423"/>
      <c r="AZ18" s="424">
        <f t="shared" si="3"/>
        <v>0</v>
      </c>
      <c r="BA18" s="425"/>
      <c r="BB18" s="426"/>
    </row>
    <row r="19" spans="1:54" s="75" customFormat="1" ht="13.5" customHeight="1">
      <c r="A19" s="81">
        <f t="shared" si="4"/>
        <v>11</v>
      </c>
      <c r="B19" s="311"/>
      <c r="C19" s="311"/>
      <c r="D19" s="311"/>
      <c r="E19" s="311"/>
      <c r="F19" s="311"/>
      <c r="G19" s="311"/>
      <c r="H19" s="311"/>
      <c r="I19" s="311"/>
      <c r="J19" s="311"/>
      <c r="K19" s="311"/>
      <c r="L19" s="427"/>
      <c r="M19" s="428"/>
      <c r="N19" s="428"/>
      <c r="O19" s="428"/>
      <c r="P19" s="428"/>
      <c r="Q19" s="428"/>
      <c r="R19" s="428"/>
      <c r="S19" s="428"/>
      <c r="T19" s="428"/>
      <c r="U19" s="428"/>
      <c r="V19" s="428"/>
      <c r="W19" s="429"/>
      <c r="X19" s="421"/>
      <c r="Y19" s="421"/>
      <c r="Z19" s="421"/>
      <c r="AA19" s="421"/>
      <c r="AB19" s="430"/>
      <c r="AC19" s="431"/>
      <c r="AD19" s="431"/>
      <c r="AE19" s="421"/>
      <c r="AF19" s="421"/>
      <c r="AG19" s="421"/>
      <c r="AH19" s="422">
        <f t="shared" si="0"/>
        <v>0</v>
      </c>
      <c r="AI19" s="423"/>
      <c r="AJ19" s="423"/>
      <c r="AK19" s="421"/>
      <c r="AL19" s="421"/>
      <c r="AM19" s="421"/>
      <c r="AN19" s="421"/>
      <c r="AO19" s="421"/>
      <c r="AP19" s="421"/>
      <c r="AQ19" s="421"/>
      <c r="AR19" s="421"/>
      <c r="AS19" s="421"/>
      <c r="AT19" s="422">
        <f t="shared" si="1"/>
        <v>0</v>
      </c>
      <c r="AU19" s="423"/>
      <c r="AV19" s="423"/>
      <c r="AW19" s="422">
        <f t="shared" si="2"/>
        <v>0</v>
      </c>
      <c r="AX19" s="423"/>
      <c r="AY19" s="423"/>
      <c r="AZ19" s="424">
        <f t="shared" si="3"/>
        <v>0</v>
      </c>
      <c r="BA19" s="425"/>
      <c r="BB19" s="426"/>
    </row>
    <row r="20" spans="1:54" s="75" customFormat="1" ht="13.5" customHeight="1">
      <c r="A20" s="152">
        <f t="shared" si="4"/>
        <v>12</v>
      </c>
      <c r="B20" s="433"/>
      <c r="C20" s="433"/>
      <c r="D20" s="433"/>
      <c r="E20" s="433"/>
      <c r="F20" s="433"/>
      <c r="G20" s="433"/>
      <c r="H20" s="433"/>
      <c r="I20" s="433"/>
      <c r="J20" s="433"/>
      <c r="K20" s="433"/>
      <c r="L20" s="434"/>
      <c r="M20" s="435"/>
      <c r="N20" s="435"/>
      <c r="O20" s="435"/>
      <c r="P20" s="435"/>
      <c r="Q20" s="435"/>
      <c r="R20" s="435"/>
      <c r="S20" s="435"/>
      <c r="T20" s="435"/>
      <c r="U20" s="435"/>
      <c r="V20" s="435"/>
      <c r="W20" s="436"/>
      <c r="X20" s="432"/>
      <c r="Y20" s="432"/>
      <c r="Z20" s="432"/>
      <c r="AA20" s="432"/>
      <c r="AB20" s="437"/>
      <c r="AC20" s="438"/>
      <c r="AD20" s="438"/>
      <c r="AE20" s="432"/>
      <c r="AF20" s="432"/>
      <c r="AG20" s="432"/>
      <c r="AH20" s="422">
        <f t="shared" si="0"/>
        <v>0</v>
      </c>
      <c r="AI20" s="423"/>
      <c r="AJ20" s="423"/>
      <c r="AK20" s="432"/>
      <c r="AL20" s="432"/>
      <c r="AM20" s="432"/>
      <c r="AN20" s="432"/>
      <c r="AO20" s="432"/>
      <c r="AP20" s="432"/>
      <c r="AQ20" s="432"/>
      <c r="AR20" s="432"/>
      <c r="AS20" s="432"/>
      <c r="AT20" s="422">
        <f t="shared" si="1"/>
        <v>0</v>
      </c>
      <c r="AU20" s="423"/>
      <c r="AV20" s="423"/>
      <c r="AW20" s="422">
        <f t="shared" si="2"/>
        <v>0</v>
      </c>
      <c r="AX20" s="423"/>
      <c r="AY20" s="423"/>
      <c r="AZ20" s="424">
        <f t="shared" si="3"/>
        <v>0</v>
      </c>
      <c r="BA20" s="425"/>
      <c r="BB20" s="426"/>
    </row>
    <row r="21" spans="1:54" ht="13.5" customHeight="1">
      <c r="A21" s="153"/>
      <c r="B21" s="154"/>
      <c r="C21" s="154"/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4"/>
      <c r="O21" s="154"/>
      <c r="P21" s="154"/>
      <c r="Q21" s="154"/>
      <c r="R21" s="154"/>
      <c r="S21" s="154"/>
      <c r="T21" s="154"/>
      <c r="U21" s="154"/>
      <c r="V21" s="154"/>
      <c r="W21" s="154"/>
      <c r="X21" s="154"/>
      <c r="Y21" s="154"/>
      <c r="Z21" s="154"/>
      <c r="AA21" s="154"/>
      <c r="AB21" s="154"/>
      <c r="AC21" s="154"/>
      <c r="AD21" s="154"/>
      <c r="AE21" s="451" t="s">
        <v>529</v>
      </c>
      <c r="AF21" s="452"/>
      <c r="AG21" s="453"/>
      <c r="AH21" s="448">
        <f>SUM(AH9:AJ20)</f>
        <v>0</v>
      </c>
      <c r="AI21" s="449"/>
      <c r="AJ21" s="460"/>
      <c r="AK21" s="456"/>
      <c r="AL21" s="457"/>
      <c r="AM21" s="457"/>
      <c r="AN21" s="457"/>
      <c r="AO21" s="457"/>
      <c r="AP21" s="457"/>
      <c r="AQ21" s="457"/>
      <c r="AR21" s="457"/>
      <c r="AS21" s="458"/>
      <c r="AT21" s="461">
        <f>SUM(AT9:AV20)</f>
        <v>0</v>
      </c>
      <c r="AU21" s="449"/>
      <c r="AV21" s="449"/>
      <c r="AW21" s="448">
        <f>SUM(AW9:AY20)</f>
        <v>0</v>
      </c>
      <c r="AX21" s="449"/>
      <c r="AY21" s="449"/>
      <c r="AZ21" s="448">
        <f>SUM(AZ9:BB20)</f>
        <v>0</v>
      </c>
      <c r="BA21" s="449"/>
      <c r="BB21" s="450"/>
    </row>
    <row r="22" spans="1:54" ht="13.5" customHeight="1">
      <c r="A22" s="153"/>
      <c r="B22" s="154"/>
      <c r="C22" s="154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  <c r="W22" s="154"/>
      <c r="X22" s="154"/>
      <c r="Y22" s="154"/>
      <c r="Z22" s="154"/>
      <c r="AA22" s="154"/>
      <c r="AB22" s="154"/>
      <c r="AC22" s="154"/>
      <c r="AD22" s="154"/>
      <c r="AE22" s="451" t="s">
        <v>530</v>
      </c>
      <c r="AF22" s="452"/>
      <c r="AG22" s="453"/>
      <c r="AH22" s="454">
        <v>1.5</v>
      </c>
      <c r="AI22" s="455"/>
      <c r="AJ22" s="455"/>
      <c r="AK22" s="456"/>
      <c r="AL22" s="457"/>
      <c r="AM22" s="457"/>
      <c r="AN22" s="457"/>
      <c r="AO22" s="457"/>
      <c r="AP22" s="457"/>
      <c r="AQ22" s="457"/>
      <c r="AR22" s="457"/>
      <c r="AS22" s="458"/>
      <c r="AT22" s="454">
        <v>3</v>
      </c>
      <c r="AU22" s="455"/>
      <c r="AV22" s="455"/>
      <c r="AW22" s="455"/>
      <c r="AX22" s="455"/>
      <c r="AY22" s="455"/>
      <c r="AZ22" s="455"/>
      <c r="BA22" s="455"/>
      <c r="BB22" s="459"/>
    </row>
    <row r="23" spans="1:54" ht="13.5" customHeight="1" thickBot="1">
      <c r="A23" s="155"/>
      <c r="B23" s="156"/>
      <c r="C23" s="156"/>
      <c r="D23" s="156"/>
      <c r="E23" s="156"/>
      <c r="F23" s="156"/>
      <c r="G23" s="156"/>
      <c r="H23" s="156"/>
      <c r="I23" s="156"/>
      <c r="J23" s="156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56"/>
      <c r="V23" s="156"/>
      <c r="W23" s="156"/>
      <c r="X23" s="156"/>
      <c r="Y23" s="156"/>
      <c r="Z23" s="156"/>
      <c r="AA23" s="156"/>
      <c r="AB23" s="156"/>
      <c r="AC23" s="156"/>
      <c r="AD23" s="156"/>
      <c r="AE23" s="442" t="s">
        <v>531</v>
      </c>
      <c r="AF23" s="443"/>
      <c r="AG23" s="444"/>
      <c r="AH23" s="439">
        <f>AH21*AH22</f>
        <v>0</v>
      </c>
      <c r="AI23" s="440"/>
      <c r="AJ23" s="440"/>
      <c r="AK23" s="445"/>
      <c r="AL23" s="446"/>
      <c r="AM23" s="446"/>
      <c r="AN23" s="446"/>
      <c r="AO23" s="446"/>
      <c r="AP23" s="446"/>
      <c r="AQ23" s="446"/>
      <c r="AR23" s="446"/>
      <c r="AS23" s="447"/>
      <c r="AT23" s="439">
        <f>AT21*AT22</f>
        <v>0</v>
      </c>
      <c r="AU23" s="440"/>
      <c r="AV23" s="440"/>
      <c r="AW23" s="439">
        <f>AW21*AT22</f>
        <v>0</v>
      </c>
      <c r="AX23" s="440"/>
      <c r="AY23" s="440"/>
      <c r="AZ23" s="439">
        <f>AZ21*AT22</f>
        <v>0</v>
      </c>
      <c r="BA23" s="440"/>
      <c r="BB23" s="441"/>
    </row>
  </sheetData>
  <mergeCells count="202">
    <mergeCell ref="AW23:AY23"/>
    <mergeCell ref="AZ23:BB23"/>
    <mergeCell ref="AE23:AG23"/>
    <mergeCell ref="AH23:AJ23"/>
    <mergeCell ref="AK23:AM23"/>
    <mergeCell ref="AN23:AP23"/>
    <mergeCell ref="AQ23:AS23"/>
    <mergeCell ref="AT23:AV23"/>
    <mergeCell ref="AW21:AY21"/>
    <mergeCell ref="AZ21:BB21"/>
    <mergeCell ref="AE22:AG22"/>
    <mergeCell ref="AH22:AJ22"/>
    <mergeCell ref="AK22:AM22"/>
    <mergeCell ref="AN22:AP22"/>
    <mergeCell ref="AQ22:AS22"/>
    <mergeCell ref="AT22:BB22"/>
    <mergeCell ref="AE21:AG21"/>
    <mergeCell ref="AH21:AJ21"/>
    <mergeCell ref="AK21:AM21"/>
    <mergeCell ref="AN21:AP21"/>
    <mergeCell ref="AQ21:AS21"/>
    <mergeCell ref="AT21:AV21"/>
    <mergeCell ref="AK20:AM20"/>
    <mergeCell ref="AN20:AP20"/>
    <mergeCell ref="AQ20:AS20"/>
    <mergeCell ref="AT20:AV20"/>
    <mergeCell ref="AW20:AY20"/>
    <mergeCell ref="AZ20:BB20"/>
    <mergeCell ref="B20:K20"/>
    <mergeCell ref="L20:W20"/>
    <mergeCell ref="X20:AA20"/>
    <mergeCell ref="AB20:AD20"/>
    <mergeCell ref="AE20:AG20"/>
    <mergeCell ref="AH20:AJ20"/>
    <mergeCell ref="AK19:AM19"/>
    <mergeCell ref="AN19:AP19"/>
    <mergeCell ref="AQ19:AS19"/>
    <mergeCell ref="AT19:AV19"/>
    <mergeCell ref="AW19:AY19"/>
    <mergeCell ref="AZ19:BB19"/>
    <mergeCell ref="B19:K19"/>
    <mergeCell ref="L19:W19"/>
    <mergeCell ref="X19:AA19"/>
    <mergeCell ref="AB19:AD19"/>
    <mergeCell ref="AE19:AG19"/>
    <mergeCell ref="AH19:AJ19"/>
    <mergeCell ref="AK18:AM18"/>
    <mergeCell ref="AN18:AP18"/>
    <mergeCell ref="AQ18:AS18"/>
    <mergeCell ref="AT18:AV18"/>
    <mergeCell ref="AW18:AY18"/>
    <mergeCell ref="AZ18:BB18"/>
    <mergeCell ref="B18:K18"/>
    <mergeCell ref="L18:W18"/>
    <mergeCell ref="X18:AA18"/>
    <mergeCell ref="AB18:AD18"/>
    <mergeCell ref="AE18:AG18"/>
    <mergeCell ref="AH18:AJ18"/>
    <mergeCell ref="AK17:AM17"/>
    <mergeCell ref="AN17:AP17"/>
    <mergeCell ref="AQ17:AS17"/>
    <mergeCell ref="AT17:AV17"/>
    <mergeCell ref="AW17:AY17"/>
    <mergeCell ref="AZ17:BB17"/>
    <mergeCell ref="B17:K17"/>
    <mergeCell ref="L17:W17"/>
    <mergeCell ref="X17:AA17"/>
    <mergeCell ref="AB17:AD17"/>
    <mergeCell ref="AE17:AG17"/>
    <mergeCell ref="AH17:AJ17"/>
    <mergeCell ref="AK16:AM16"/>
    <mergeCell ref="AN16:AP16"/>
    <mergeCell ref="AQ16:AS16"/>
    <mergeCell ref="AT16:AV16"/>
    <mergeCell ref="AW16:AY16"/>
    <mergeCell ref="AZ16:BB16"/>
    <mergeCell ref="B16:K16"/>
    <mergeCell ref="L16:W16"/>
    <mergeCell ref="X16:AA16"/>
    <mergeCell ref="AB16:AD16"/>
    <mergeCell ref="AE16:AG16"/>
    <mergeCell ref="AH16:AJ16"/>
    <mergeCell ref="AK15:AM15"/>
    <mergeCell ref="AN15:AP15"/>
    <mergeCell ref="AQ15:AS15"/>
    <mergeCell ref="AT15:AV15"/>
    <mergeCell ref="AW15:AY15"/>
    <mergeCell ref="AZ15:BB15"/>
    <mergeCell ref="B15:K15"/>
    <mergeCell ref="L15:W15"/>
    <mergeCell ref="X15:AA15"/>
    <mergeCell ref="AB15:AD15"/>
    <mergeCell ref="AE15:AG15"/>
    <mergeCell ref="AH15:AJ15"/>
    <mergeCell ref="AK14:AM14"/>
    <mergeCell ref="AN14:AP14"/>
    <mergeCell ref="AQ14:AS14"/>
    <mergeCell ref="AT14:AV14"/>
    <mergeCell ref="AW14:AY14"/>
    <mergeCell ref="AZ14:BB14"/>
    <mergeCell ref="B14:K14"/>
    <mergeCell ref="L14:W14"/>
    <mergeCell ref="X14:AA14"/>
    <mergeCell ref="AB14:AD14"/>
    <mergeCell ref="AE14:AG14"/>
    <mergeCell ref="AH14:AJ14"/>
    <mergeCell ref="AK13:AM13"/>
    <mergeCell ref="AN13:AP13"/>
    <mergeCell ref="AQ13:AS13"/>
    <mergeCell ref="AT13:AV13"/>
    <mergeCell ref="AW13:AY13"/>
    <mergeCell ref="AZ13:BB13"/>
    <mergeCell ref="B13:K13"/>
    <mergeCell ref="L13:W13"/>
    <mergeCell ref="X13:AA13"/>
    <mergeCell ref="AB13:AD13"/>
    <mergeCell ref="AE13:AG13"/>
    <mergeCell ref="AH13:AJ13"/>
    <mergeCell ref="AK12:AM12"/>
    <mergeCell ref="AN12:AP12"/>
    <mergeCell ref="AQ12:AS12"/>
    <mergeCell ref="AT12:AV12"/>
    <mergeCell ref="AW12:AY12"/>
    <mergeCell ref="AZ12:BB12"/>
    <mergeCell ref="B12:K12"/>
    <mergeCell ref="L12:W12"/>
    <mergeCell ref="X12:AA12"/>
    <mergeCell ref="AB12:AD12"/>
    <mergeCell ref="AE12:AG12"/>
    <mergeCell ref="AH12:AJ12"/>
    <mergeCell ref="AK11:AM11"/>
    <mergeCell ref="AN11:AP11"/>
    <mergeCell ref="AQ11:AS11"/>
    <mergeCell ref="AT11:AV11"/>
    <mergeCell ref="AW11:AY11"/>
    <mergeCell ref="AZ11:BB11"/>
    <mergeCell ref="B11:K11"/>
    <mergeCell ref="L11:W11"/>
    <mergeCell ref="X11:AA11"/>
    <mergeCell ref="AB11:AD11"/>
    <mergeCell ref="AE11:AG11"/>
    <mergeCell ref="AH11:AJ11"/>
    <mergeCell ref="AK10:AM10"/>
    <mergeCell ref="AN10:AP10"/>
    <mergeCell ref="AQ10:AS10"/>
    <mergeCell ref="AT10:AV10"/>
    <mergeCell ref="AW10:AY10"/>
    <mergeCell ref="AZ10:BB10"/>
    <mergeCell ref="B10:K10"/>
    <mergeCell ref="L10:W10"/>
    <mergeCell ref="X10:AA10"/>
    <mergeCell ref="AB10:AD10"/>
    <mergeCell ref="AE10:AG10"/>
    <mergeCell ref="AH10:AJ10"/>
    <mergeCell ref="AK9:AM9"/>
    <mergeCell ref="AN9:AP9"/>
    <mergeCell ref="AQ9:AS9"/>
    <mergeCell ref="AT9:AV9"/>
    <mergeCell ref="AW9:AY9"/>
    <mergeCell ref="AZ9:BB9"/>
    <mergeCell ref="B9:K9"/>
    <mergeCell ref="L9:W9"/>
    <mergeCell ref="X9:AA9"/>
    <mergeCell ref="AB9:AD9"/>
    <mergeCell ref="AE9:AG9"/>
    <mergeCell ref="AH9:AJ9"/>
    <mergeCell ref="A3:G3"/>
    <mergeCell ref="H3:AJ3"/>
    <mergeCell ref="AK3:AN3"/>
    <mergeCell ref="AO3:BB3"/>
    <mergeCell ref="A5:BB6"/>
    <mergeCell ref="A7:A8"/>
    <mergeCell ref="B7:K8"/>
    <mergeCell ref="L7:W8"/>
    <mergeCell ref="X7:AA8"/>
    <mergeCell ref="AB7:AD8"/>
    <mergeCell ref="AE7:AG8"/>
    <mergeCell ref="AH7:AJ8"/>
    <mergeCell ref="AK7:AS7"/>
    <mergeCell ref="AT7:BB7"/>
    <mergeCell ref="AK8:AM8"/>
    <mergeCell ref="AN8:AP8"/>
    <mergeCell ref="AQ8:AS8"/>
    <mergeCell ref="AT8:AV8"/>
    <mergeCell ref="AW8:AY8"/>
    <mergeCell ref="AZ8:BB8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printOptions horizontalCentered="1"/>
  <pageMargins left="0.39370078740157483" right="0.39370078740157483" top="0.39370078740157483" bottom="0.47244094488188981" header="0.31496062992125984" footer="0.19685039370078741"/>
  <pageSetup paperSize="9" scale="77" fitToHeight="0" orientation="landscape" r:id="rId1"/>
  <headerFooter alignWithMargins="0">
    <oddFooter>&amp;L&amp;"ＭＳ ゴシック,太字"&amp;F　&amp;A&amp;R&amp;P / &amp;N</oddFoot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B11"/>
  <sheetViews>
    <sheetView showGridLines="0" zoomScaleNormal="100" zoomScaleSheetLayoutView="85" workbookViewId="0">
      <selection sqref="A1:G1"/>
    </sheetView>
  </sheetViews>
  <sheetFormatPr defaultColWidth="3.5703125" defaultRowHeight="13.5" customHeight="1"/>
  <cols>
    <col min="1" max="16384" width="3.5703125" style="78"/>
  </cols>
  <sheetData>
    <row r="1" spans="1:54" s="75" customFormat="1" ht="13.5" customHeight="1">
      <c r="A1" s="394" t="s">
        <v>1</v>
      </c>
      <c r="B1" s="395"/>
      <c r="C1" s="395"/>
      <c r="D1" s="395"/>
      <c r="E1" s="395"/>
      <c r="F1" s="395"/>
      <c r="G1" s="396"/>
      <c r="H1" s="285" t="str">
        <f>表紙!N27</f>
        <v>○✕サイト構築プロジェクト</v>
      </c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7"/>
      <c r="W1" s="397" t="s">
        <v>461</v>
      </c>
      <c r="X1" s="398"/>
      <c r="Y1" s="398"/>
      <c r="Z1" s="398"/>
      <c r="AA1" s="399"/>
      <c r="AB1" s="289" t="s">
        <v>462</v>
      </c>
      <c r="AC1" s="290"/>
      <c r="AD1" s="290"/>
      <c r="AE1" s="290"/>
      <c r="AF1" s="290"/>
      <c r="AG1" s="290"/>
      <c r="AH1" s="290"/>
      <c r="AI1" s="290"/>
      <c r="AJ1" s="291"/>
      <c r="AK1" s="259" t="s">
        <v>463</v>
      </c>
      <c r="AL1" s="260"/>
      <c r="AM1" s="260"/>
      <c r="AN1" s="261"/>
      <c r="AO1" s="256" t="str">
        <f>CreateBy</f>
        <v>○○　✕✕</v>
      </c>
      <c r="AP1" s="257"/>
      <c r="AQ1" s="257"/>
      <c r="AR1" s="257"/>
      <c r="AS1" s="258"/>
      <c r="AT1" s="259" t="s">
        <v>426</v>
      </c>
      <c r="AU1" s="260"/>
      <c r="AV1" s="260"/>
      <c r="AW1" s="261"/>
      <c r="AX1" s="262">
        <f>CreateAt</f>
        <v>44287</v>
      </c>
      <c r="AY1" s="263"/>
      <c r="AZ1" s="263"/>
      <c r="BA1" s="263"/>
      <c r="BB1" s="264"/>
    </row>
    <row r="2" spans="1:54" s="75" customFormat="1" ht="13.5" customHeight="1">
      <c r="A2" s="388" t="s">
        <v>464</v>
      </c>
      <c r="B2" s="389"/>
      <c r="C2" s="389"/>
      <c r="D2" s="389"/>
      <c r="E2" s="389"/>
      <c r="F2" s="389"/>
      <c r="G2" s="390"/>
      <c r="H2" s="268" t="str">
        <f>表紙!N31</f>
        <v>○✕システム</v>
      </c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9"/>
      <c r="W2" s="391" t="s">
        <v>465</v>
      </c>
      <c r="X2" s="392"/>
      <c r="Y2" s="392"/>
      <c r="Z2" s="392"/>
      <c r="AA2" s="393"/>
      <c r="AB2" s="271" t="str">
        <f>表紙!N35</f>
        <v>○△□サブシステム</v>
      </c>
      <c r="AC2" s="272"/>
      <c r="AD2" s="272"/>
      <c r="AE2" s="272"/>
      <c r="AF2" s="272"/>
      <c r="AG2" s="272"/>
      <c r="AH2" s="272"/>
      <c r="AI2" s="272"/>
      <c r="AJ2" s="273"/>
      <c r="AK2" s="274" t="s">
        <v>466</v>
      </c>
      <c r="AL2" s="275"/>
      <c r="AM2" s="275"/>
      <c r="AN2" s="276"/>
      <c r="AO2" s="277"/>
      <c r="AP2" s="278"/>
      <c r="AQ2" s="278"/>
      <c r="AR2" s="278"/>
      <c r="AS2" s="279"/>
      <c r="AT2" s="274" t="s">
        <v>467</v>
      </c>
      <c r="AU2" s="275"/>
      <c r="AV2" s="275"/>
      <c r="AW2" s="276"/>
      <c r="AX2" s="280"/>
      <c r="AY2" s="280"/>
      <c r="AZ2" s="280"/>
      <c r="BA2" s="280"/>
      <c r="BB2" s="281"/>
    </row>
    <row r="3" spans="1:54" s="75" customFormat="1" ht="13.5" customHeight="1" thickBot="1">
      <c r="A3" s="406" t="s">
        <v>468</v>
      </c>
      <c r="B3" s="407"/>
      <c r="C3" s="407"/>
      <c r="D3" s="407"/>
      <c r="E3" s="407"/>
      <c r="F3" s="407"/>
      <c r="G3" s="408"/>
      <c r="H3" s="244" t="str">
        <f>表紙!F13</f>
        <v>データベース設計書</v>
      </c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  <c r="AF3" s="244"/>
      <c r="AG3" s="244"/>
      <c r="AH3" s="244"/>
      <c r="AI3" s="244"/>
      <c r="AJ3" s="245"/>
      <c r="AK3" s="223" t="s">
        <v>469</v>
      </c>
      <c r="AL3" s="224"/>
      <c r="AM3" s="224"/>
      <c r="AN3" s="225"/>
      <c r="AO3" s="226" t="str">
        <f ca="1">RIGHT(CELL("filename",A2),LEN(CELL("filename",A2))-FIND("]",CELL("filename",A2)))</f>
        <v>空白</v>
      </c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8"/>
    </row>
    <row r="4" spans="1:54" ht="13.5" customHeight="1">
      <c r="A4" s="76"/>
      <c r="B4" s="76"/>
      <c r="C4" s="76"/>
      <c r="D4" s="76"/>
      <c r="E4" s="76"/>
      <c r="F4" s="76"/>
      <c r="G4" s="76"/>
      <c r="H4" s="76"/>
      <c r="I4" s="76"/>
      <c r="J4" s="77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54" s="75" customFormat="1" ht="13.5" customHeight="1"/>
    <row r="6" spans="1:54" s="75" customFormat="1" ht="13.5" customHeight="1"/>
    <row r="7" spans="1:54" s="75" customFormat="1" ht="13.5" customHeight="1"/>
    <row r="8" spans="1:54" s="75" customFormat="1" ht="13.5" customHeight="1"/>
    <row r="9" spans="1:54" s="75" customFormat="1" ht="13.5" customHeight="1"/>
    <row r="10" spans="1:54" s="75" customFormat="1" ht="13.5" customHeight="1"/>
    <row r="11" spans="1:54" s="75" customFormat="1" ht="13.5" customHeight="1"/>
  </sheetData>
  <mergeCells count="20">
    <mergeCell ref="A3:G3"/>
    <mergeCell ref="H3:AJ3"/>
    <mergeCell ref="AK3:AN3"/>
    <mergeCell ref="AO3:BB3"/>
    <mergeCell ref="AT1:AW1"/>
    <mergeCell ref="AX1:BB1"/>
    <mergeCell ref="A2:G2"/>
    <mergeCell ref="H2:V2"/>
    <mergeCell ref="W2:AA2"/>
    <mergeCell ref="AB2:AJ2"/>
    <mergeCell ref="AK2:AN2"/>
    <mergeCell ref="AO2:AS2"/>
    <mergeCell ref="AT2:AW2"/>
    <mergeCell ref="AX2:BB2"/>
    <mergeCell ref="A1:G1"/>
    <mergeCell ref="H1:V1"/>
    <mergeCell ref="W1:AA1"/>
    <mergeCell ref="AB1:AJ1"/>
    <mergeCell ref="AK1:AN1"/>
    <mergeCell ref="AO1:AS1"/>
  </mergeCells>
  <phoneticPr fontId="8"/>
  <printOptions horizontalCentered="1" verticalCentered="1"/>
  <pageMargins left="0.39370078740157499" right="0.39370078740157499" top="0.39370078740157499" bottom="0.47244094488189003" header="0.31496062992126" footer="0.196850393700787"/>
  <pageSetup paperSize="9" scale="72" fitToHeight="0" orientation="landscape" r:id="rId1"/>
  <headerFooter alignWithMargins="0">
    <oddFooter>&amp;L&amp;"ＭＳ ゴシック,太字"&amp;F　&amp;A&amp;R&amp;P / &amp;N</oddFooter>
  </headerFooter>
</worksheet>
</file>

<file path=customUI/_rels/customUI14.xml.rels><?xml version="1.0" encoding="UTF-8" standalone="yes"?>
<Relationships xmlns="http://schemas.openxmlformats.org/package/2006/relationships"><Relationship Id="Line01_N" Type="http://schemas.openxmlformats.org/officeDocument/2006/relationships/image" Target="images/Line01_N.png"/></Relationships>
</file>

<file path=customUI/customUI14.xml><?xml version="1.0" encoding="utf-8"?>
<customUI xmlns="http://schemas.microsoft.com/office/2009/07/customui" onLoad="Ctl_Ribbon.onLoad">
  <ribbon startFromScratch="false">
    <tabs>
      <tab id="DBTab" label="DB設計書" insertBeforeMso="TabHome">
        <group id="設定" label="設定">
          <button id="Option" label="Option" imageMso="CurrentViewSettings" screentip="オプション設定" supertip="オプション画面を表示します &#13;" onAction="Ctl_Ribbon.showOption"/>
          <button id="データ削除" label="データ削除" imageMso="ClearAll" screentip="データ削除" supertip="オプション画面を表示します &#13;" onAction="Ctl_Ribbon.ClearAll"/>
          <dynamicMenu id="DeveloperMenu" label="開発用" imageMso="AnimationGallery" size="normal" getContent="Ctl_Ribbon.setDeveloperMenu"/>
        </group>
        <group id="共通" label="共通">
          <dynamicMenu id="SheetList" label="シート一覧&#13;&#10;" size="large" imageMso="HeaderFooterSheetNameInsert" getContent="Ctl_Ribbon.getSheetsList"/>
          <button id="シート追加" label="シート追加&#13;&#10;" size="normal" imageMso="SheetInsert" screentip="シート追加" supertip="シートを追加 します&#13;" onAction="Ctl_Ribbon.addSheet"/>
        </group>
        <group id="DB操作" label="DB操作">
          <button id="一括取得" label="一括取得" imageMso="DatabaseModelingReverse" onAction="Ctl_Ribbon.getDatabaseInfo" supertip="一括取得 &#13;"/>
          <button id="テーブル情報取得" label="情報取得" imageMso="DatabaseModelingReverse" onAction="Ctl_Ribbon.getTableInfo" supertip="テーブル情報取得 &#13;"/>
          <button id="テーブル情報反映" label="情報反映" imageMso="DatabaseSqlServer" onAction="Ctl_Ribbon.CreateTableInfo" supertip="テーブル情報反映 &#13;"/>
          <button id="ER図生成" label="ER図生成&#13;&#10;" size="large" imageMso="CreateDiagram" screentip="ER図生成" supertip="ER図を生成します &#13;" onAction="Ctl_Ribbon.makeERImage"/>
          <menu id="M_コネクター" label="コネクター" itemSize="large" imageMso="ConnectorTool">
            <menuSeparator id="MS_コネクター" title="コネクター"/>
            <button id="ERLine1" label="1対1" imageMso="CurrentViewSettings" description="コネクターを作成します &#13;" onAction="Ctl_Ribbon.makeER_ConnectLine"/>
            <button id="ERLine2" label="1対多" imageMso="CurrentViewSettings" description="コネクターを作成します &#13;" onAction="Ctl_Ribbon.makeER_ConnectLine"/>
            <button id="ERLine3" label="1対0以上" imageMso="CurrentViewSettings" description="コネクターを作成します &#13;" onAction="Ctl_Ribbon.makeER_ConnectLine"/>
            <button id="ERLine4" label="1対1以上" imageMso="CurrentViewSettings" description="コネクターを作成します &#13;" onAction="Ctl_Ribbon.makeER_ConnectLine"/>
            <button id="ERLine5" label="多対多" imageMso="CurrentViewSettings" description="コネクターを作成します &#13;" onAction="Ctl_Ribbon.makeER_ConnectLine"/>
            <button id="ERLine6" label="0または１対多" image="Line01_N" description="コネクターを作成します &#13;" onAction="Ctl_Ribbon.makeER_ConnectLine"/>
          </menu>
          <menu id="M_DDL生成" label="DDL生成&#13;&#10;" size="large" itemSize="large" imageMso="SqlSpecificMenu2">
            <menuSeparator id="MS_DDL生成" title="DDL生成"/>
            <button id="全DDL生成" label="全DDL生成" imageMso="SqlSpecificMenu2" onAction="Ctl_Ribbon.makeAllDDL" description="スタイルを削除します &#13;"/>
            <button id="DDL生成" label="DDL生成" imageMso="SqlSpecificMenu2" onAction="Ctl_Ribbon.makeDDL" description="名前定義を削除します &#13;"/>
          </menu>
        </group>
        <group id="Group2" label="標準機能">
          <control idMso="PasteValues" visible="true" label="値貼付"/>
          <!--値の貼り付け-->
          <control idMso="WindowNew" visible="true" label="新ウインドウ"/>
          <!--新しいウインドウ-->
          <menu id="M_AppointmentColorDialog" label="スタイル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menu id="m_GroupInsertText" label="テキスト" imageMso="TextBoxInsert">
            <control idMso="TextBoxInsertHorizontal" visible="true"/>
            <!--セルのスタイル-->
            <control idMso="TextBoxInsertVertical" visible="true"/>
            <!--テーブルのスタイル-->
          </menu>
          <control idMso="PictureInsertFromFile" visible="true" label="図挿入"/>
          <!--図をファイルから挿入-->
          <control idMso="ShapesInsertGallery" visible="true" label="図形"/>
          <!--図形-->
          <control idMso="MergeCellsAcross" visible="true" label="横結合"/>
          <!--横方向に結合-->
          <control idMso="ClearAll" visible="true" label="全クリア"/>
          <!--すべてクリア-->
          <button id="MergeCenter" imageMso="MergeCenter" label="中央揃え" onAction="Ladex.xlam!Ctl_Ribbon.setCenter"/>
          <control idMso="ObjectAlignMenu" visible="true" label="配置"/>
          <control idMso="ObjectRotateGallery" visible="true" label="回転"/>
          <menu id="MyMenu" label="メニュー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  <!--<group idMso="GroupAlignmentExcel"             visible="true"/>                               配置-->
        <group id="Group_GroupAlignmentExcel" label="配置">
          <box id="bAlignment01" boxStyle="horizontal">
            <control idMso="IndentDecreaseExcel" showLabel="false" visible="true"/>
            <control idMso="IndentIncreaseExcel" showLabel="false" visible="true"/>
            <control idMso="OrientationMenu" showLabel="false" visible="true"/>
          </box>
          <box id="bAlignment02" boxStyle="horizontal">
            <control idMso="AlignTopExcel" showLabel="false" visible="true"/>
            <control idMso="AlignMiddleExcel" showLabel="false" visible="true"/>
            <control idMso="AlignBottomExcel" showLabel="false" visible="true"/>
          </box>
          <box id="bAlignment03" boxStyle="horizontal">
            <control idMso="AlignLeft" showLabel="false" visible="true"/>
            <control idMso="AlignCenter" showLabel="false" visible="true"/>
            <control idMso="AlignRight" showLabel="false" visible="true"/>
          </box>
          <separator id="sbAlignment01"/>
          <box id="bAlignment04" boxStyle="vertical">
            <control idMso="WrapText" label="折り返し" visible="true"/>
            <menu id="M_MergeCenter" label="セルの結合" imageMso="MergeCenter">
              <control idMso="MergeCenter" showLabel="true" visible="true"/>
              <control idMso="MergeCells" showLabel="true" visible="true"/>
              <control idMso="UnmergeCells" showLabel="true" visible="true"/>
            </menu>
            <control idMso="ConditionalFormattingMenu" label="条件書式" visible="true"/>
          </box>
        </group>
        <group id="Group_GroupSortFilter" label="並べ替えとフィルタ">
          <box id="bSortFilter01" boxStyle="vertical">
            <control idMso="SortAscendingExcel" visible="true"/>
            <control idMso="SortDescendingExcel" visible="true"/>
            <control idMso="SortDialog" showLabel="false" visible="true"/>
          </box>
          <box id="bSortFilter02" boxStyle="vertical">
            <control idMso="SortClear" showLabel="false" visible="true"/>
            <control idMso="RemoveDuplicates" showLabel="false" visible="true"/>
          </box>
          <control idMso="Filter" size="large" showLabel="false" visible="true"/>
        </group>
        <!-- <group idMso="GroupOutline" visible="true"/>                               アウトライン -->
        <group id="Group_GroupOutline" label="アウトライン">
          <control idMso="OutlineGroupMenu" size="normal" visible="true"/>
          <control idMso="OutlineUngroupMenu" size="normal" visible="true"/>
          <control idMso="OutlineSubtotals" size="normal" visible="true"/>
          <control idMso="OutlineShowDetail" size="normal" visible="true"/>
          <control idMso="OutlineHideDetail" size="normal" visible="true"/>
          <control idMso="OutlineSettings" size="normal" visible="true"/>
        </group>
      </tab>
    </tabs>
  </ribbon>
  <backstage>
    <tab id="tab1" label="DB設計" visible="true">
      <firstColumn>
        <group id="grp1" label="更新情報" visible="true">
          <topItems>
            <labelControl id="v1000" label="Ver.1.00.00　新規作成"/>
          </topItems>
        </group>
      </firstColumn>
      <secondColumn>
        <group id="grp2" label="著作権について" visible="true">
          <topItems>
            <labelControl id="cp0100" label="免責事項"/>
            <labelControl id="cp0101" label="　・当コンテンツの利用に際し、いかなるトラブルが発生しても、作者は一切の責任を負いません。"/>
            <labelControl id="cp0102" label="　・当コンテンツは予告無しに変更・削除されることがあります。"/>
            <labelControl id="cp0103" label="　・このライセンスは予告なく改定される場合があります。"/>
            <labelControl id="cp0900" label="　"/>
            <labelControl id="cp0901" label="　"/>
            <labelControl id="cp0902" label="　"/>
            <labelControl id="cp0903" label="　"/>
            <labelControl id="cp0904" label="　"/>
            <labelControl id="cp0905" label="　"/>
            <labelControl id="cp0906" label="　"/>
            <labelControl id="cp0907" label="　"/>
            <labelControl id="cp0908" label="　"/>
            <labelControl id="cp0909" label="　"/>
            <labelControl id="cp0910" label="　"/>
            <labelControl id="cp0911" label="Copyright (C) 2019 B.Koizumi All Rights Reserved.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39</vt:i4>
      </vt:variant>
      <vt:variant>
        <vt:lpstr>名前付き一覧</vt:lpstr>
      </vt:variant>
      <vt:variant>
        <vt:i4>43</vt:i4>
      </vt:variant>
    </vt:vector>
  </HeadingPairs>
  <TitlesOfParts>
    <vt:vector size="82" baseType="lpstr">
      <vt:lpstr>&lt;設定-SQLserver&gt;</vt:lpstr>
      <vt:lpstr>&lt;設定-MySQL&gt;</vt:lpstr>
      <vt:lpstr>&lt;設定-ACC&gt;</vt:lpstr>
      <vt:lpstr>&lt;Notice&gt;</vt:lpstr>
      <vt:lpstr>&lt;DataType&gt;</vt:lpstr>
      <vt:lpstr>&lt;defaultVal&gt;</vt:lpstr>
      <vt:lpstr>&lt;CopyLine&gt;</vt:lpstr>
      <vt:lpstr>&lt;CopyTable&gt;</vt:lpstr>
      <vt:lpstr>&lt;CopyView&gt;</vt:lpstr>
      <vt:lpstr>&lt;Tmp&gt;</vt:lpstr>
      <vt:lpstr>表紙</vt:lpstr>
      <vt:lpstr>変更履歴</vt:lpstr>
      <vt:lpstr>1.エンティティ</vt:lpstr>
      <vt:lpstr>2.ER図</vt:lpstr>
      <vt:lpstr>3.actor</vt:lpstr>
      <vt:lpstr>3.actor_info</vt:lpstr>
      <vt:lpstr>3.address</vt:lpstr>
      <vt:lpstr>3.category</vt:lpstr>
      <vt:lpstr>3.city</vt:lpstr>
      <vt:lpstr>3.country</vt:lpstr>
      <vt:lpstr>3.customer</vt:lpstr>
      <vt:lpstr>3.customer_list</vt:lpstr>
      <vt:lpstr>3.film</vt:lpstr>
      <vt:lpstr>3.film_actor</vt:lpstr>
      <vt:lpstr>3.film_category</vt:lpstr>
      <vt:lpstr>3.film_list</vt:lpstr>
      <vt:lpstr>3.film_text</vt:lpstr>
      <vt:lpstr>3.inventory</vt:lpstr>
      <vt:lpstr>3.language</vt:lpstr>
      <vt:lpstr>3.nicer_but_slower_film_l...</vt:lpstr>
      <vt:lpstr>3.payment</vt:lpstr>
      <vt:lpstr>3.rental</vt:lpstr>
      <vt:lpstr>3.sales_by_film_category</vt:lpstr>
      <vt:lpstr>3.sales_by_store</vt:lpstr>
      <vt:lpstr>3.staff</vt:lpstr>
      <vt:lpstr>3.staff_list</vt:lpstr>
      <vt:lpstr>3.store</vt:lpstr>
      <vt:lpstr>5.容量計算</vt:lpstr>
      <vt:lpstr>空白</vt:lpstr>
      <vt:lpstr>■VBA用の設定</vt:lpstr>
      <vt:lpstr>Char_NotNull</vt:lpstr>
      <vt:lpstr>Char_PK</vt:lpstr>
      <vt:lpstr>CreateAt</vt:lpstr>
      <vt:lpstr>CreateBy</vt:lpstr>
      <vt:lpstr>CustomerName</vt:lpstr>
      <vt:lpstr>CustomRibbon</vt:lpstr>
      <vt:lpstr>DBList</vt:lpstr>
      <vt:lpstr>DBMS</vt:lpstr>
      <vt:lpstr>DBName</vt:lpstr>
      <vt:lpstr>DBServer</vt:lpstr>
      <vt:lpstr>defaultRowHeight</vt:lpstr>
      <vt:lpstr>defVal_MSAccess</vt:lpstr>
      <vt:lpstr>defVal_MySQL</vt:lpstr>
      <vt:lpstr>defVal_PostgreSQL</vt:lpstr>
      <vt:lpstr>defVal_SQLServer</vt:lpstr>
      <vt:lpstr>HighLightColor</vt:lpstr>
      <vt:lpstr>IndexTypeList</vt:lpstr>
      <vt:lpstr>Instance</vt:lpstr>
      <vt:lpstr>int</vt:lpstr>
      <vt:lpstr>LogLevel</vt:lpstr>
      <vt:lpstr>MSAccess</vt:lpstr>
      <vt:lpstr>MySQL</vt:lpstr>
      <vt:lpstr>ODBCDriver</vt:lpstr>
      <vt:lpstr>ODBCDriverList</vt:lpstr>
      <vt:lpstr>Oracle</vt:lpstr>
      <vt:lpstr>outputDir</vt:lpstr>
      <vt:lpstr>passwd</vt:lpstr>
      <vt:lpstr>Port</vt:lpstr>
      <vt:lpstr>PostgreSQL</vt:lpstr>
      <vt:lpstr>ProjectName</vt:lpstr>
      <vt:lpstr>ribbonHighLightFlg</vt:lpstr>
      <vt:lpstr>Schema</vt:lpstr>
      <vt:lpstr>SQLServer</vt:lpstr>
      <vt:lpstr>subSystemName</vt:lpstr>
      <vt:lpstr>systemName</vt:lpstr>
      <vt:lpstr>TableTypeList</vt:lpstr>
      <vt:lpstr>useImage</vt:lpstr>
      <vt:lpstr>useLogicalName</vt:lpstr>
      <vt:lpstr>usePhysicalName</vt:lpstr>
      <vt:lpstr>userID</vt:lpstr>
      <vt:lpstr>zoomLevel</vt:lpstr>
      <vt:lpstr>項目名</vt:lpstr>
    </vt:vector>
  </TitlesOfParts>
  <Company>TCI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データベース定義書</dc:title>
  <dc:creator>B.Koizumi</dc:creator>
  <cp:lastModifiedBy>小泉　文平</cp:lastModifiedBy>
  <cp:lastPrinted>2016-01-21T08:34:09Z</cp:lastPrinted>
  <dcterms:created xsi:type="dcterms:W3CDTF">2006-04-16T04:34:38Z</dcterms:created>
  <dcterms:modified xsi:type="dcterms:W3CDTF">2021-10-15T10:23:03Z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df7b9985-5783-47ad-bfee-9d30e85c511b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control idQ="doc:ERLine5" visible="true" imageMso="CurrentViewSettings"/>
      </mso:documentControls>
    </mso:qat>
  </mso:ribbon>
</mso:customUI>
</file>