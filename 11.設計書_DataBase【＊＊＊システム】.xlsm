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26085" windowWidth="20505" windowHeight="5115" tabRatio="788" activeTab="3"/>
  </bookViews>
  <sheets>
    <sheet name="設定" sheetId="1" r:id="rId1"/>
    <sheet name="Notice" sheetId="35" r:id="rId2"/>
    <sheet name="DataType" sheetId="2" r:id="rId3"/>
    <sheet name="コピー用" sheetId="3" r:id="rId4"/>
    <sheet name="表紙" sheetId="4" r:id="rId5"/>
    <sheet name="TBLリスト" sheetId="5" r:id="rId6"/>
    <sheet name="変更履歴" sheetId="7" r:id="rId7"/>
    <sheet name="ER図" sheetId="6" r:id="rId8"/>
  </sheets>
  <functionGroups builtInGroupCount="18"/>
  <definedNames>
    <definedName name="■VBA用の設定">設定!$B$3</definedName>
    <definedName name="CreateAt">設定!$B$23</definedName>
    <definedName name="CreateBy">設定!$B$22</definedName>
    <definedName name="CustomRibbon">設定!$B$6</definedName>
    <definedName name="DBList">設定!$H$5:$H$9</definedName>
    <definedName name="DBMS">設定!$B$11</definedName>
    <definedName name="DBName">設定!$B$14</definedName>
    <definedName name="DBServer">設定!$B$13</definedName>
    <definedName name="debugMode">設定!$B$5</definedName>
    <definedName name="Frm_NewSheetLeft">設定!$B$27</definedName>
    <definedName name="Frm_NewSheetTop">設定!$B$26</definedName>
    <definedName name="HighLightColor">設定!$B$8</definedName>
    <definedName name="IndexTypeList">設定!$J$5:$J$8</definedName>
    <definedName name="Instance">設定!$B$15</definedName>
    <definedName name="MSAccess">DataType!$M$3:$M$40</definedName>
    <definedName name="MySQL">DataType!$D$3:$D$20</definedName>
    <definedName name="ODBCDriver">設定!$B$12</definedName>
    <definedName name="ODBCDriverList">設定!$I$5:$I$12</definedName>
    <definedName name="Oracle">DataType!$G$3:$G$11</definedName>
    <definedName name="passwd">設定!$B$18</definedName>
    <definedName name="PostgreSQL">DataType!$A$3:$A$35</definedName>
    <definedName name="ProjectName">設定!$B$20</definedName>
    <definedName name="ribbonHighLightFlg">設定!$B$7</definedName>
    <definedName name="Schema">設定!$B$16</definedName>
    <definedName name="SQLServer">DataType!$J$3:$J$34</definedName>
    <definedName name="systemName">設定!$B$21</definedName>
    <definedName name="TableTypeList">設定!$G$5:$G$10</definedName>
    <definedName name="userID">設定!$B$17</definedName>
    <definedName name="zoomLevel">設定!$B$9</definedName>
    <definedName name="項目名">設定!$B$4</definedName>
  </definedNames>
  <calcPr calcId="162913"/>
  <customWorkbookViews>
    <customWorkbookView name="TCI_小泉文平 - 個人用ビュー" guid="{809E84AF-EE5E-4456-99E6-0390B35F6AD9}" mergeInterval="0" personalView="1" maximized="1" xWindow="1" yWindow="1" windowWidth="1276" windowHeight="746" tabRatio="766" activeSheetId="4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Administrator - 個人用ビュー" guid="{11FF3D1A-B611-4935-A0EC-72FFAD7F9EAF}" mergeInterval="0" personalView="1" maximized="1" xWindow="-8" yWindow="-8" windowWidth="1696" windowHeight="1036" tabRatio="882" activeSheetId="18"/>
  </customWorkbookViews>
</workbook>
</file>

<file path=xl/calcChain.xml><?xml version="1.0" encoding="utf-8"?>
<calcChain xmlns="http://schemas.openxmlformats.org/spreadsheetml/2006/main">
  <c r="B13" i="5" l="1"/>
  <c r="B12" i="5"/>
  <c r="B11" i="5"/>
  <c r="B10" i="5"/>
  <c r="B9" i="5"/>
  <c r="B8" i="5"/>
  <c r="B7" i="5"/>
  <c r="B6" i="5"/>
  <c r="B14" i="5" l="1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W5" i="3"/>
  <c r="Z5" i="3"/>
  <c r="W6" i="3"/>
  <c r="B10" i="3"/>
  <c r="B9" i="3"/>
  <c r="B11" i="3"/>
  <c r="B12" i="3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6"/>
  <c r="T2" i="7"/>
  <c r="H3" i="6"/>
  <c r="Q2" i="6"/>
  <c r="H2" i="6"/>
  <c r="H3" i="7"/>
  <c r="Q2" i="7"/>
  <c r="H2" i="7"/>
  <c r="T2" i="5"/>
  <c r="H3" i="5"/>
  <c r="Q2" i="5"/>
  <c r="H2" i="5"/>
  <c r="W23" i="3"/>
  <c r="H23" i="3"/>
  <c r="E23" i="3"/>
  <c r="C23" i="3"/>
  <c r="W16" i="3"/>
  <c r="H16" i="3"/>
  <c r="F16" i="3"/>
  <c r="E16" i="3"/>
  <c r="C16" i="3"/>
  <c r="Z2" i="3" l="1"/>
  <c r="W2" i="3"/>
  <c r="H3" i="3"/>
  <c r="H2" i="3"/>
  <c r="U12" i="1" l="1"/>
  <c r="A4" i="4" s="1"/>
  <c r="B1" i="4"/>
</calcChain>
</file>

<file path=xl/comments1.xml><?xml version="1.0" encoding="utf-8"?>
<comments xmlns="http://schemas.openxmlformats.org/spreadsheetml/2006/main">
  <authors>
    <author>小泉文平</author>
  </authors>
  <commentList>
    <comment ref="U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<sst xmlns="http://schemas.openxmlformats.org/spreadsheetml/2006/main" count="688" uniqueCount="479">
  <si>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</si>
  <si>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</si>
  <si>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</si>
  <si>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</si>
  <si>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</si>
  <si>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</si>
  <si>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</si>
  <si>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</si>
  <si>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</si>
  <si>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</si>
  <si>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</si>
  <si>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</si>
  <si>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</si>
  <si>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</si>
  <si>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</si>
  <si>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</si>
  <si>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</si>
  <si>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</si>
  <si>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</si>
  <si>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</si>
  <si>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</si>
  <si>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</si>
  <si>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</si>
  <si>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</si>
  <si>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</si>
  <si>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</si>
  <si>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</si>
  <si>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</si>
  <si>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</si>
  <si>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</si>
  <si>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</si>
  <si>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</si>
  <si>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</si>
  <si>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</si>
  <si>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</si>
  <si>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</si>
  <si>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</si>
  <si>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</si>
  <si>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</si>
  <si>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</si>
  <si>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</si>
  <si>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</si>
  <si>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</si>
  <si>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</si>
  <si>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</si>
  <si>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</si>
  <si>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</si>
  <si>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</si>
  <si>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</si>
  <si>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</si>
  <si>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</si>
  <si>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</si>
  <si>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</si>
  <si>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</si>
  <si>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</si>
  <si>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</si>
  <si>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</si>
  <si>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</si>
  <si>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</si>
  <si>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</si>
  <si>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</si>
  <si>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</si>
  <si>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</si>
  <si>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</si>
  <si>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</si>
  <si>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</si>
  <si>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</si>
  <si>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</si>
  <si>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</si>
  <si>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</si>
  <si>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</si>
  <si>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</si>
  <si>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</si>
  <si>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</si>
  <si>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</si>
  <si>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</si>
  <si>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</si>
  <si>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</si>
  <si>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</si>
  <si>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</si>
  <si>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</si>
  <si>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</si>
  <si>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</si>
  <si>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</si>
  <si>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</si>
  <si>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</si>
  <si>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</si>
  <si>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</si>
  <si>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</si>
  <si>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</si>
  <si>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</si>
  <si>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</si>
  <si>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</si>
  <si>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</si>
  <si>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</si>
  <si>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</si>
  <si>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</si>
  <si>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</si>
  <si>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</si>
  <si>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</si>
  <si>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</si>
  <si>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</si>
  <si>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</si>
  <si>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</si>
  <si>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</si>
  <si>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</si>
  <si>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</si>
  <si>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</si>
  <si>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</si>
  <si>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</si>
  <si>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</si>
  <si>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</si>
  <si>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</si>
  <si>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auto_increment</t>
  </si>
  <si>
    <t>ER図</t>
    <rPh sb="2" eb="3">
      <t>ズ</t>
    </rPh>
    <phoneticPr fontId="4"/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</si>
  <si>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</si>
  <si>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</si>
  <si>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</si>
  <si>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</si>
  <si>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</si>
  <si>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</si>
  <si>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</si>
  <si>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</si>
  <si>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</si>
  <si>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</si>
  <si>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</si>
  <si>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</si>
  <si>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</si>
  <si>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</si>
  <si>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</si>
  <si>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</si>
  <si>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</si>
  <si>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</si>
  <si>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</si>
  <si>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</si>
  <si>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</si>
  <si>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</si>
  <si>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</si>
  <si>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</si>
  <si>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</si>
  <si>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</si>
  <si>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</si>
  <si>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</si>
  <si>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</si>
  <si>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</si>
  <si>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</si>
  <si>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</si>
  <si>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マスターテーブル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</si>
  <si>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</si>
  <si>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</si>
  <si>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</si>
  <si>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</si>
  <si>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</si>
  <si>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</si>
  <si>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</si>
  <si>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</si>
  <si>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</si>
  <si>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</si>
  <si>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</si>
  <si>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</si>
  <si>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</si>
  <si>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</si>
  <si>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</si>
  <si>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</si>
  <si>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</si>
  <si>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</si>
  <si>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</si>
  <si>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</si>
  <si>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</si>
  <si>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</si>
  <si>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</si>
  <si>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</si>
  <si>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</si>
  <si>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</si>
  <si>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</si>
  <si>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</si>
  <si>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</si>
  <si>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</si>
  <si>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</si>
  <si>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</si>
  <si>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</si>
  <si>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</si>
  <si>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</si>
  <si>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</si>
  <si>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</si>
  <si>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</si>
  <si>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</si>
  <si>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</si>
  <si>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</si>
  <si>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</si>
  <si>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</si>
  <si>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</si>
  <si>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</si>
  <si>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</si>
  <si>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</si>
  <si>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</si>
  <si>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</si>
  <si>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</si>
  <si>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</si>
  <si>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</si>
  <si>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</si>
  <si>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</si>
  <si>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</si>
  <si>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</si>
  <si>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</si>
  <si>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</si>
  <si>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</si>
  <si>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</si>
  <si>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</si>
  <si>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</si>
  <si>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</si>
  <si>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</si>
  <si>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</si>
  <si>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</si>
  <si>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</si>
  <si>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</si>
  <si>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</si>
  <si>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更新日</t>
    <rPh sb="0" eb="3">
      <t>コウシンビ</t>
    </rPh>
    <phoneticPr fontId="4"/>
  </si>
  <si>
    <t>更新者</t>
    <rPh sb="0" eb="3">
      <t>コウシンシャ</t>
    </rPh>
    <phoneticPr fontId="4"/>
  </si>
  <si>
    <t>物理テーブル名</t>
    <rPh sb="0" eb="2">
      <t>ブツリ</t>
    </rPh>
    <rPh sb="6" eb="7">
      <t>メイ</t>
    </rPh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</si>
  <si>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</si>
  <si>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</si>
  <si>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</si>
  <si>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</si>
  <si>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</si>
  <si>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</si>
  <si>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</si>
  <si>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</si>
  <si>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</si>
  <si>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ANSI</t>
    <phoneticPr fontId="4"/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</si>
  <si>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</si>
  <si>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</si>
  <si>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</si>
  <si>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</si>
  <si>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Oracle in OraClient11g_home1</t>
    <phoneticPr fontId="4"/>
  </si>
  <si>
    <t>NONCLUSTERED</t>
    <phoneticPr fontId="4"/>
  </si>
  <si>
    <t>UNIQUE NONCLUSTERED</t>
  </si>
  <si>
    <t>NONUNIQUE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</si>
  <si>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</si>
  <si>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</si>
  <si>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</si>
  <si>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</si>
  <si>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</si>
  <si>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</si>
  <si>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</si>
  <si>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Oracle in OraClient12Home1</t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</si>
  <si>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</si>
  <si>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</si>
  <si>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</si>
  <si>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</si>
  <si>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</si>
  <si>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</si>
  <si>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</si>
  <si>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ANSI Driver</t>
    <phoneticPr fontId="4"/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</si>
  <si>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</si>
  <si>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</si>
  <si>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</si>
  <si>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</si>
  <si>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</si>
  <si>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</si>
  <si>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</si>
  <si>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</si>
  <si>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</si>
  <si>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</si>
  <si>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</si>
  <si>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</si>
  <si>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</si>
  <si>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</si>
  <si>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</si>
  <si>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</si>
  <si>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</si>
  <si>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</si>
  <si>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</si>
  <si>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</si>
  <si>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</si>
  <si>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</si>
  <si>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</si>
  <si>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</si>
  <si>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</si>
  <si>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</si>
  <si>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</si>
  <si>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</si>
  <si>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</si>
  <si>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キャンセルされました</t>
    <phoneticPr fontId="31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</si>
  <si>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</si>
  <si>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</si>
  <si>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</si>
  <si>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</si>
  <si>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</si>
  <si>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13"/>
  </si>
  <si>
    <t>インストールバージョンが一致しません</t>
    <rPh sb="12" eb="14">
      <t>イッチ</t>
    </rPh>
    <phoneticPr fontId="31"/>
  </si>
  <si>
    <t>インストールファイルが存在しません</t>
    <rPh sb="11" eb="13">
      <t>ソンザイ</t>
    </rPh>
    <phoneticPr fontId="31"/>
  </si>
  <si>
    <t>&lt;%%&gt;シートが存在しません</t>
  </si>
  <si>
    <t>&lt;%%&gt;データが存在しません</t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</si>
  <si>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</si>
  <si>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</si>
  <si>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</si>
  <si>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</si>
  <si>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</si>
  <si>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</si>
  <si>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</si>
  <si>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</si>
  <si>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</si>
  <si>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</si>
  <si>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</si>
  <si>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</si>
  <si>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</si>
  <si>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</si>
  <si>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2020/12/25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</si>
  <si>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</si>
  <si>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</si>
  <si>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</si>
  <si>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</si>
  <si>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</si>
  <si>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</si>
  <si>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%%</t>
    <phoneticPr fontId="13"/>
  </si>
  <si>
    <t>&lt;&lt;メッセージ[警告]&gt;&gt; 400～599</t>
    <rPh sb="8" eb="10">
      <t>ケイコク</t>
    </rPh>
    <phoneticPr fontId="13"/>
  </si>
  <si>
    <t>エラーが発生しました&lt;BR&gt;&lt;%%&gt;</t>
    <rPh sb="4" eb="6">
      <t>ハッセイ</t>
    </rPh>
    <phoneticPr fontId="59"/>
  </si>
  <si>
    <t>&lt;%%&gt;フォルダーが存在しません</t>
    <phoneticPr fontId="13"/>
  </si>
  <si>
    <t>&lt;%%&gt;ファイルが存在しません</t>
    <phoneticPr fontId="13"/>
  </si>
  <si>
    <t>同名ファイル&lt;%%&gt;が開かれています</t>
    <phoneticPr fontId="13"/>
  </si>
  <si>
    <t>&lt;%%&gt;実行できませんでした</t>
    <rPh sb="4" eb="6">
      <t>ジッコウ</t>
    </rPh>
    <phoneticPr fontId="13"/>
  </si>
  <si>
    <t>DBインサート中にエラーが発生しました&lt;%%&gt;</t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</si>
  <si>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</si>
  <si>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</si>
  <si>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</si>
  <si>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</si>
  <si>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</si>
  <si>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</si>
  <si>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</si>
  <si>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</si>
  <si>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</si>
  <si>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</si>
  <si>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</si>
  <si>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</si>
  <si>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#</t>
    <phoneticPr fontId="4"/>
  </si>
  <si>
    <t>○△□プロジェクト</t>
    <phoneticPr fontId="4"/>
  </si>
  <si>
    <t>○✕システム</t>
  </si>
  <si>
    <t>○○　✕✕</t>
    <phoneticPr fontId="4"/>
  </si>
  <si>
    <t>DBMS</t>
  </si>
  <si>
    <t>MySQL</t>
  </si>
  <si>
    <t>PostgreSQL</t>
  </si>
  <si>
    <t>MSAccess</t>
  </si>
  <si>
    <t>Oracle11g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</si>
  <si>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</si>
  <si>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</si>
  <si>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</si>
  <si>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</si>
  <si>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MSAccess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</si>
  <si>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</si>
  <si>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</si>
  <si>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</si>
  <si>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</si>
  <si>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cXJiWLcoUTEy</t>
  </si>
  <si>
    <t>Column</t>
    <phoneticPr fontId="4"/>
  </si>
  <si>
    <t>End</t>
    <phoneticPr fontId="4"/>
  </si>
  <si>
    <t>数値</t>
  </si>
  <si>
    <t>定数名</t>
  </si>
  <si>
    <t>adSmallInt</t>
  </si>
  <si>
    <t>符号付き整数・約+-3万2千以内</t>
  </si>
  <si>
    <t>adInteger</t>
  </si>
  <si>
    <t>符号付き整数・約+-21億以内</t>
  </si>
  <si>
    <t>adSingle</t>
  </si>
  <si>
    <t>adDouble</t>
  </si>
  <si>
    <t>adCurrency</t>
  </si>
  <si>
    <t>通貨</t>
  </si>
  <si>
    <t>adDate</t>
  </si>
  <si>
    <t>日付型</t>
  </si>
  <si>
    <t>adBSTR</t>
  </si>
  <si>
    <t>文字列値</t>
  </si>
  <si>
    <t>adIDispatch</t>
  </si>
  <si>
    <t>COMオブジェクトのIDispatchへのポインタ</t>
  </si>
  <si>
    <t>adError</t>
  </si>
  <si>
    <t>32ビットエラーコード</t>
  </si>
  <si>
    <t>adBoolean</t>
  </si>
  <si>
    <t>Yes｜No型</t>
  </si>
  <si>
    <t>adVariant</t>
  </si>
  <si>
    <t>オートメーションバリアント型</t>
  </si>
  <si>
    <t>adIUnknown</t>
  </si>
  <si>
    <t>COMオブジェクトのIUnknownインターフェイスへのポインタ</t>
  </si>
  <si>
    <t>adDecimal</t>
  </si>
  <si>
    <t>固定精度・スケールの正確な数値</t>
  </si>
  <si>
    <t>adTinyInt</t>
  </si>
  <si>
    <t>符号付き整数・-128→+127</t>
  </si>
  <si>
    <t>adUnsignedTinyInt</t>
  </si>
  <si>
    <t>符号なし整数・0→255</t>
  </si>
  <si>
    <t>adUnsignedSmallInt</t>
  </si>
  <si>
    <t>符号なし整数・約6万5千以下</t>
  </si>
  <si>
    <t>adUnsignedInt</t>
  </si>
  <si>
    <t>符号なし整数・約42億以下</t>
  </si>
  <si>
    <t>adBigInt</t>
  </si>
  <si>
    <t>符号付き整数・特大</t>
  </si>
  <si>
    <t>adUnsignedBigInt</t>
  </si>
  <si>
    <t>符号なし整数・特大</t>
  </si>
  <si>
    <t>adFileTime</t>
  </si>
  <si>
    <t>時間・1601年1月1日からの時間</t>
  </si>
  <si>
    <t>adGUID</t>
  </si>
  <si>
    <t>固有のグローバル識別子GUID</t>
  </si>
  <si>
    <t>adBinary</t>
  </si>
  <si>
    <t>バイナリ</t>
  </si>
  <si>
    <t>adChar</t>
  </si>
  <si>
    <t>adWChar</t>
  </si>
  <si>
    <t>固定長文字列・最長255桁</t>
  </si>
  <si>
    <t>adNumeric</t>
  </si>
  <si>
    <t>adUserDefined</t>
  </si>
  <si>
    <t>ユーザー定義変数</t>
  </si>
  <si>
    <t>adDBDate</t>
  </si>
  <si>
    <t>日付・yyyymmdd</t>
  </si>
  <si>
    <t>adDBTime</t>
  </si>
  <si>
    <t>時刻・hhmmss</t>
  </si>
  <si>
    <t>adDBTimeStamp</t>
  </si>
  <si>
    <t>日付時刻・yyyymmddhhmmss＋α</t>
  </si>
  <si>
    <t>adChapter</t>
  </si>
  <si>
    <t>子行セットの行を識別する4バイトチャプタ値</t>
  </si>
  <si>
    <t>adPropVariant</t>
  </si>
  <si>
    <t>オートメーションPROPVARIANT</t>
  </si>
  <si>
    <t>adVarNumeric</t>
  </si>
  <si>
    <t>adVarChar</t>
  </si>
  <si>
    <t>adLongVarChar</t>
  </si>
  <si>
    <t>長文字列</t>
  </si>
  <si>
    <t>adVarWChar</t>
  </si>
  <si>
    <t>可変長文字列・最長255桁</t>
  </si>
  <si>
    <t>adLongVarWChar</t>
  </si>
  <si>
    <t>adVarBinary</t>
  </si>
  <si>
    <t>バイナリ型・最長510桁</t>
  </si>
  <si>
    <t>adLongVarBinary</t>
  </si>
  <si>
    <t>長バイナリ・OLEオブジェクト型</t>
  </si>
  <si>
    <t>adSmallInt</t>
    <phoneticPr fontId="4"/>
  </si>
  <si>
    <t>adInteger</t>
    <phoneticPr fontId="4"/>
  </si>
  <si>
    <t>adSingle</t>
    <phoneticPr fontId="4"/>
  </si>
  <si>
    <t>adDouble</t>
    <phoneticPr fontId="4"/>
  </si>
  <si>
    <t>adCurrency</t>
    <phoneticPr fontId="4"/>
  </si>
  <si>
    <t>adDate</t>
    <phoneticPr fontId="4"/>
  </si>
  <si>
    <t>adBSTR</t>
    <phoneticPr fontId="4"/>
  </si>
  <si>
    <t>adIDispatch</t>
    <phoneticPr fontId="4"/>
  </si>
  <si>
    <t>adError</t>
    <phoneticPr fontId="4"/>
  </si>
  <si>
    <t>adBoolean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</si>
  <si>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</si>
  <si>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</si>
  <si>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</si>
  <si>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</si>
  <si>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</si>
  <si>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</si>
  <si>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</si>
  <si>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</si>
  <si>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</si>
  <si>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</si>
  <si>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</si>
  <si>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</si>
  <si>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</si>
  <si>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</si>
  <si>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</si>
  <si>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</si>
  <si>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</si>
  <si>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</si>
  <si>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</si>
  <si>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</si>
  <si>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</si>
  <si>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</si>
  <si>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</si>
  <si>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</si>
  <si>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adVarWChar</t>
    <phoneticPr fontId="4"/>
  </si>
  <si>
    <t>adLongVarWChar</t>
    <phoneticPr fontId="4"/>
  </si>
  <si>
    <t>adVarBinary</t>
    <phoneticPr fontId="4"/>
  </si>
  <si>
    <t>adLongVarBinary</t>
    <phoneticPr fontId="4"/>
  </si>
  <si>
    <t>Schema</t>
    <phoneticPr fontId="4"/>
  </si>
  <si>
    <t>Instance</t>
    <phoneticPr fontId="4"/>
  </si>
  <si>
    <t>マスターテーブル</t>
    <phoneticPr fontId="4"/>
  </si>
  <si>
    <t>リンクテーブル</t>
  </si>
  <si>
    <t>C:\WorkSpace\VBA\Template\Database.accdb</t>
  </si>
  <si>
    <t>admin</t>
  </si>
  <si>
    <t>asset_list</t>
  </si>
  <si>
    <t>carousel_detal</t>
  </si>
  <si>
    <t>carousel_list</t>
  </si>
  <si>
    <t>config</t>
  </si>
  <si>
    <t>customer</t>
  </si>
  <si>
    <t>file_list</t>
  </si>
  <si>
    <t>td_list</t>
  </si>
  <si>
    <t>Database.accdb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</si>
</sst>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0_);[Red]\(0\)"/>
    <numFmt numFmtId="183" formatCode="&quot;第&quot;0.00&quot; 版&quot;"/>
    <numFmt numFmtId="184" formatCode="0.0&quot; 版&quot;"/>
    <numFmt numFmtId="185" formatCode="#,##0_ ;[Red]\-#,##0\ "/>
    <numFmt numFmtId="186" formatCode="0.0%_ "/>
    <numFmt numFmtId="187" formatCode="&quot;¥&quot;#,##0_ ;[Red]&quot;¥&quot;\-#,##0\ "/>
    <numFmt numFmtId="188" formatCode="&quot;¥&quot;#,##0,_ ;[Red]&quot;¥&quot;\-#,##0,\ "/>
    <numFmt numFmtId="189" formatCode="#,##0,_ ;[Red]\-#,##0,\ "/>
    <numFmt numFmtId="190" formatCode="#,##0.0_ ;[Red]\-#,##0.0\ "/>
    <numFmt numFmtId="191" formatCode="yyyy/m"/>
    <numFmt numFmtId="192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b/>
      <sz val="10"/>
      <color rgb="FF000000"/>
      <name val="メイリオ"/>
      <family val="3"/>
      <charset val="128"/>
    </font>
  </fonts>
  <fills count="6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CE6F1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16">
    <xf numFmtId="0" fontId="0" fillId="0" borderId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8" borderId="64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30" borderId="65" applyNumberFormat="0" applyFont="0" applyAlignment="0" applyProtection="0">
      <alignment vertical="center"/>
    </xf>
    <xf numFmtId="0" fontId="18" fillId="0" borderId="66" applyNumberFormat="0" applyFill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32" borderId="6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8" applyNumberFormat="0" applyFill="0" applyAlignment="0" applyProtection="0">
      <alignment vertical="center"/>
    </xf>
    <xf numFmtId="0" fontId="23" fillId="0" borderId="69" applyNumberFormat="0" applyFill="0" applyAlignment="0" applyProtection="0">
      <alignment vertical="center"/>
    </xf>
    <xf numFmtId="0" fontId="24" fillId="0" borderId="7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71" applyNumberFormat="0" applyFill="0" applyAlignment="0" applyProtection="0">
      <alignment vertical="center"/>
    </xf>
    <xf numFmtId="0" fontId="26" fillId="32" borderId="72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3" borderId="67" applyNumberFormat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5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4" borderId="73" applyNumberFormat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4" fillId="56" borderId="74" applyNumberFormat="0" applyFont="0" applyAlignment="0" applyProtection="0">
      <alignment vertical="center"/>
    </xf>
    <xf numFmtId="0" fontId="39" fillId="0" borderId="75" applyNumberFormat="0" applyFill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1" fillId="57" borderId="76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7" applyNumberFormat="0" applyFill="0" applyAlignment="0" applyProtection="0">
      <alignment vertical="center"/>
    </xf>
    <xf numFmtId="0" fontId="44" fillId="0" borderId="78" applyNumberFormat="0" applyFill="0" applyAlignment="0" applyProtection="0">
      <alignment vertical="center"/>
    </xf>
    <xf numFmtId="0" fontId="45" fillId="0" borderId="7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80" applyNumberFormat="0" applyFill="0" applyAlignment="0" applyProtection="0">
      <alignment vertical="center"/>
    </xf>
    <xf numFmtId="0" fontId="47" fillId="57" borderId="81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1" borderId="76" applyNumberFormat="0" applyAlignment="0" applyProtection="0">
      <alignment vertical="center"/>
    </xf>
    <xf numFmtId="0" fontId="50" fillId="38" borderId="0" applyNumberFormat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7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191" fontId="54" fillId="0" borderId="0" applyNumberFormat="0" applyFill="0" applyBorder="0" applyAlignment="0" applyProtection="0">
      <alignment vertical="center"/>
    </xf>
    <xf numFmtId="0" fontId="54" fillId="60" borderId="0" applyBorder="0" applyProtection="0">
      <alignment vertical="center"/>
    </xf>
    <xf numFmtId="192" fontId="54" fillId="0" borderId="0" applyNumberFormat="0" applyFill="0" applyBorder="0" applyAlignment="0" applyProtection="0">
      <alignment vertical="center"/>
    </xf>
    <xf numFmtId="0" fontId="65" fillId="63" borderId="0" applyBorder="0" applyProtection="0">
      <alignment horizontal="center" vertical="center"/>
    </xf>
    <xf numFmtId="189" fontId="54" fillId="0" borderId="0" applyFont="0" applyFill="0" applyBorder="0" applyAlignment="0" applyProtection="0">
      <alignment vertical="center"/>
    </xf>
    <xf numFmtId="190" fontId="54" fillId="0" borderId="0" applyFont="0" applyFill="0" applyBorder="0" applyAlignment="0" applyProtection="0">
      <alignment vertical="center"/>
    </xf>
    <xf numFmtId="179" fontId="54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4" fillId="62" borderId="0" applyBorder="0" applyProtection="0">
      <alignment vertical="center"/>
    </xf>
    <xf numFmtId="188" fontId="54" fillId="0" borderId="0" applyFont="0" applyFill="0" applyBorder="0" applyAlignment="0" applyProtection="0">
      <alignment vertical="center"/>
    </xf>
    <xf numFmtId="0" fontId="63" fillId="61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6" fillId="64" borderId="0" applyBorder="0" applyProtection="0">
      <alignment horizontal="left"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1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6" xfId="0" applyFont="1" applyFill="1" applyBorder="1" applyAlignment="1" applyProtection="1">
      <alignment horizontal="center" vertical="center"/>
    </xf>
    <xf numFmtId="182" fontId="8" fillId="0" borderId="22" xfId="0" applyNumberFormat="1" applyFont="1" applyFill="1" applyBorder="1" applyAlignment="1" applyProtection="1">
      <alignment horizontal="right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49" fontId="8" fillId="0" borderId="22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0" borderId="10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0" borderId="11" xfId="0" applyFont="1" applyFill="1" applyBorder="1" applyAlignment="1" applyProtection="1">
      <alignment vertical="center"/>
    </xf>
    <xf numFmtId="0" fontId="8" fillId="0" borderId="12" xfId="0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left" vertical="center" shrinkToFit="1"/>
      <protection locked="0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13" xfId="0" applyFont="1" applyFill="1" applyBorder="1" applyAlignment="1" applyProtection="1">
      <alignment vertical="center"/>
      <protection locked="0"/>
    </xf>
    <xf numFmtId="0" fontId="8" fillId="0" borderId="14" xfId="0" applyFont="1" applyFill="1" applyBorder="1" applyAlignment="1" applyProtection="1">
      <alignment horizontal="center" vertical="center"/>
    </xf>
    <xf numFmtId="49" fontId="8" fillId="0" borderId="15" xfId="0" applyNumberFormat="1" applyFont="1" applyFill="1" applyBorder="1" applyAlignment="1" applyProtection="1">
      <alignment horizontal="left" vertical="center"/>
      <protection locked="0"/>
    </xf>
    <xf numFmtId="49" fontId="8" fillId="0" borderId="15" xfId="0" applyNumberFormat="1" applyFont="1" applyFill="1" applyBorder="1" applyAlignment="1" applyProtection="1">
      <alignment horizontal="left" vertical="center" shrinkToFit="1"/>
      <protection locked="0"/>
    </xf>
    <xf numFmtId="49" fontId="8" fillId="0" borderId="15" xfId="0" applyNumberFormat="1" applyFont="1" applyFill="1" applyBorder="1" applyAlignment="1" applyProtection="1">
      <alignment vertical="center"/>
      <protection locked="0"/>
    </xf>
    <xf numFmtId="180" fontId="8" fillId="0" borderId="15" xfId="0" applyNumberFormat="1" applyFont="1" applyFill="1" applyBorder="1" applyAlignment="1" applyProtection="1">
      <alignment horizontal="right" vertical="center"/>
      <protection locked="0"/>
    </xf>
    <xf numFmtId="182" fontId="8" fillId="0" borderId="15" xfId="0" applyNumberFormat="1" applyFont="1" applyFill="1" applyBorder="1" applyAlignment="1" applyProtection="1">
      <alignment horizontal="right" vertical="center"/>
      <protection locked="0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49" fontId="8" fillId="0" borderId="15" xfId="0" applyNumberFormat="1" applyFont="1" applyFill="1" applyBorder="1" applyAlignment="1" applyProtection="1">
      <alignment horizontal="center" vertical="center"/>
      <protection locked="0"/>
    </xf>
    <xf numFmtId="177" fontId="8" fillId="0" borderId="15" xfId="0" applyNumberFormat="1" applyFont="1" applyFill="1" applyBorder="1" applyAlignment="1" applyProtection="1">
      <alignment horizontal="center" vertical="center"/>
      <protection locked="0"/>
    </xf>
    <xf numFmtId="49" fontId="8" fillId="0" borderId="15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15" xfId="0" applyFont="1" applyFill="1" applyBorder="1" applyAlignment="1" applyProtection="1">
      <alignment vertical="center"/>
      <protection locked="0"/>
    </xf>
    <xf numFmtId="0" fontId="8" fillId="0" borderId="16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184" fontId="8" fillId="0" borderId="59" xfId="0" applyNumberFormat="1" applyFont="1" applyFill="1" applyBorder="1" applyAlignment="1" applyProtection="1">
      <alignment horizontal="center" vertical="center"/>
      <protection locked="0"/>
    </xf>
    <xf numFmtId="179" fontId="9" fillId="0" borderId="57" xfId="0" applyNumberFormat="1" applyFont="1" applyFill="1" applyBorder="1" applyAlignment="1" applyProtection="1">
      <alignment horizontal="center" vertical="center"/>
    </xf>
    <xf numFmtId="179" fontId="9" fillId="0" borderId="58" xfId="0" applyNumberFormat="1" applyFont="1" applyFill="1" applyBorder="1" applyAlignment="1" applyProtection="1">
      <alignment horizontal="center" vertical="center"/>
    </xf>
    <xf numFmtId="181" fontId="8" fillId="0" borderId="54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Fill="1" applyBorder="1" applyAlignment="1" applyProtection="1">
      <alignment horizontal="center" vertical="center"/>
      <protection locked="0"/>
    </xf>
    <xf numFmtId="179" fontId="8" fillId="0" borderId="49" xfId="0" applyNumberFormat="1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>
      <alignment vertical="center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179" fontId="8" fillId="0" borderId="53" xfId="0" applyNumberFormat="1" applyFont="1" applyFill="1" applyBorder="1" applyAlignment="1">
      <alignment horizontal="center" vertical="center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0" fontId="0" fillId="0" borderId="0" xfId="0" applyFill="1">
      <alignment vertical="center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8" fillId="0" borderId="26" xfId="0" applyNumberFormat="1" applyFont="1" applyFill="1" applyBorder="1" applyAlignment="1" applyProtection="1">
      <alignment horizontal="center" vertical="center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5" xfId="0" applyFont="1" applyFill="1" applyBorder="1" applyAlignment="1">
      <alignment vertical="center" wrapText="1"/>
    </xf>
    <xf numFmtId="0" fontId="51" fillId="0" borderId="46" xfId="0" applyFont="1" applyFill="1" applyBorder="1" applyAlignment="1">
      <alignment vertical="center" wrapText="1"/>
    </xf>
    <xf numFmtId="0" fontId="51" fillId="0" borderId="32" xfId="0" applyFont="1" applyFill="1" applyBorder="1" applyAlignment="1">
      <alignment vertical="center" wrapText="1"/>
    </xf>
    <xf numFmtId="0" fontId="51" fillId="0" borderId="33" xfId="0" applyFont="1" applyFill="1" applyBorder="1" applyAlignment="1">
      <alignment vertical="center" wrapText="1"/>
    </xf>
    <xf numFmtId="0" fontId="51" fillId="0" borderId="17" xfId="0" applyFont="1" applyFill="1" applyBorder="1" applyAlignment="1">
      <alignment horizontal="centerContinuous" vertical="center" wrapText="1" shrinkToFit="1"/>
    </xf>
    <xf numFmtId="0" fontId="51" fillId="0" borderId="27" xfId="0" applyFont="1" applyFill="1" applyBorder="1" applyAlignment="1">
      <alignment horizontal="centerContinuous" vertical="center" wrapText="1" shrinkToFit="1"/>
    </xf>
    <xf numFmtId="0" fontId="51" fillId="0" borderId="21" xfId="0" applyFont="1" applyFill="1" applyBorder="1" applyAlignment="1">
      <alignment horizontal="centerContinuous" vertical="center" wrapText="1" shrinkToFi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3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55" fillId="0" borderId="32" xfId="0" applyFont="1" applyFill="1" applyBorder="1" applyAlignment="1" applyProtection="1">
      <alignment vertical="center" shrinkToFit="1"/>
      <protection locked="0"/>
    </xf>
    <xf numFmtId="49" fontId="55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8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9" borderId="82" xfId="0" applyFont="1" applyFill="1" applyBorder="1" applyAlignment="1" applyProtection="1">
      <alignment horizontal="centerContinuous" vertical="center"/>
      <protection locked="0"/>
    </xf>
    <xf numFmtId="0" fontId="56" fillId="59" borderId="82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3" borderId="1" xfId="0" applyFont="1" applyFill="1" applyBorder="1" applyAlignment="1">
      <alignment vertical="center" wrapText="1"/>
    </xf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8" fillId="0" borderId="46" xfId="0" applyFont="1" applyFill="1" applyBorder="1" applyAlignment="1">
      <alignment vertical="center"/>
    </xf>
    <xf numFmtId="0" fontId="8" fillId="0" borderId="33" xfId="0" applyFont="1" applyBorder="1" applyAlignment="1">
      <alignment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2" xfId="0" applyFont="1" applyBorder="1" applyAlignment="1" applyProtection="1">
      <alignment horizontal="center" vertical="center"/>
      <protection locked="0"/>
    </xf>
    <xf numFmtId="0" fontId="55" fillId="0" borderId="82" xfId="0" applyFont="1" applyBorder="1" applyProtection="1">
      <alignment vertical="center"/>
      <protection locked="0"/>
    </xf>
    <xf numFmtId="0" fontId="55" fillId="0" borderId="83" xfId="0" applyFont="1" applyBorder="1" applyAlignment="1" applyProtection="1">
      <alignment horizontal="center" vertical="center"/>
      <protection locked="0"/>
    </xf>
    <xf numFmtId="0" fontId="55" fillId="0" borderId="83" xfId="0" applyFont="1" applyBorder="1" applyProtection="1">
      <alignment vertical="center"/>
      <protection locked="0"/>
    </xf>
    <xf numFmtId="0" fontId="0" fillId="0" borderId="82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65" fillId="63" borderId="8" xfId="102" applyBorder="1" applyProtection="1">
      <alignment horizontal="center" vertical="center"/>
    </xf>
    <xf numFmtId="0" fontId="65" fillId="63" borderId="9" xfId="102" applyBorder="1" applyProtection="1">
      <alignment horizontal="center" vertical="center"/>
    </xf>
    <xf numFmtId="0" fontId="65" fillId="63" borderId="20" xfId="102" applyBorder="1" applyProtection="1">
      <alignment horizontal="center" vertical="center"/>
    </xf>
    <xf numFmtId="0" fontId="65" fillId="63" borderId="60" xfId="102" applyBorder="1">
      <alignment horizontal="center" vertical="center"/>
    </xf>
    <xf numFmtId="0" fontId="65" fillId="63" borderId="61" xfId="102" applyBorder="1">
      <alignment horizontal="center" vertical="center"/>
    </xf>
    <xf numFmtId="0" fontId="65" fillId="63" borderId="2" xfId="102" applyBorder="1" applyProtection="1">
      <alignment horizontal="center" vertical="center"/>
    </xf>
    <xf numFmtId="0" fontId="65" fillId="63" borderId="3" xfId="102" applyBorder="1" applyProtection="1">
      <alignment horizontal="center" vertical="center"/>
    </xf>
    <xf numFmtId="0" fontId="65" fillId="63" borderId="4" xfId="102" applyBorder="1" applyProtection="1">
      <alignment horizontal="center" vertical="center"/>
    </xf>
    <xf numFmtId="0" fontId="65" fillId="63" borderId="4" xfId="102" applyBorder="1">
      <alignment horizontal="center" vertical="center"/>
    </xf>
    <xf numFmtId="0" fontId="65" fillId="63" borderId="6" xfId="102" applyBorder="1" applyAlignment="1" applyProtection="1">
      <alignment horizontal="centerContinuous" vertical="center"/>
      <protection locked="0"/>
    </xf>
    <xf numFmtId="0" fontId="65" fillId="63" borderId="8" xfId="102" applyBorder="1" applyAlignment="1" applyProtection="1">
      <alignment horizontal="centerContinuous" vertical="center"/>
      <protection locked="0"/>
    </xf>
    <xf numFmtId="0" fontId="65" fillId="63" borderId="18" xfId="102" applyBorder="1" applyAlignment="1" applyProtection="1">
      <alignment horizontal="centerContinuous" vertical="center"/>
      <protection locked="0"/>
    </xf>
    <xf numFmtId="0" fontId="65" fillId="63" borderId="86" xfId="102" applyBorder="1" applyProtection="1">
      <alignment horizontal="center" vertical="center"/>
      <protection locked="0"/>
    </xf>
    <xf numFmtId="0" fontId="65" fillId="63" borderId="62" xfId="102" applyBorder="1" applyProtection="1">
      <alignment horizontal="center" vertical="center"/>
      <protection locked="0"/>
    </xf>
    <xf numFmtId="0" fontId="65" fillId="63" borderId="87" xfId="102" applyBorder="1" applyProtection="1">
      <alignment horizontal="center" vertical="center"/>
      <protection locked="0"/>
    </xf>
    <xf numFmtId="0" fontId="56" fillId="0" borderId="88" xfId="0" applyFont="1" applyFill="1" applyBorder="1" applyAlignment="1" applyProtection="1">
      <alignment horizontal="left" vertical="center"/>
      <protection locked="0"/>
    </xf>
    <xf numFmtId="0" fontId="56" fillId="0" borderId="85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vertical="center"/>
      <protection locked="0"/>
    </xf>
    <xf numFmtId="0" fontId="0" fillId="0" borderId="85" xfId="0" applyFont="1" applyFill="1" applyBorder="1" applyAlignment="1" applyProtection="1">
      <alignment vertical="center"/>
      <protection locked="0"/>
    </xf>
    <xf numFmtId="0" fontId="0" fillId="0" borderId="89" xfId="0" applyFont="1" applyFill="1" applyBorder="1" applyAlignment="1">
      <alignment vertical="center"/>
    </xf>
    <xf numFmtId="0" fontId="0" fillId="0" borderId="88" xfId="0" applyFont="1" applyFill="1" applyBorder="1" applyAlignment="1">
      <alignment vertical="center"/>
    </xf>
    <xf numFmtId="0" fontId="0" fillId="0" borderId="85" xfId="0" applyFont="1" applyFill="1" applyBorder="1" applyAlignment="1">
      <alignment vertical="center"/>
    </xf>
    <xf numFmtId="0" fontId="0" fillId="0" borderId="85" xfId="0" applyBorder="1">
      <alignment vertical="center"/>
    </xf>
    <xf numFmtId="0" fontId="0" fillId="0" borderId="89" xfId="0" applyBorder="1">
      <alignment vertical="center"/>
    </xf>
    <xf numFmtId="0" fontId="65" fillId="63" borderId="90" xfId="102" applyBorder="1" applyProtection="1">
      <alignment horizontal="center" vertical="center"/>
      <protection locked="0"/>
    </xf>
    <xf numFmtId="0" fontId="55" fillId="0" borderId="91" xfId="0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91" xfId="0" applyFont="1" applyFill="1" applyBorder="1" applyAlignment="1" applyProtection="1">
      <alignment vertical="center" wrapText="1" shrinkToFit="1"/>
      <protection locked="0"/>
    </xf>
    <xf numFmtId="0" fontId="55" fillId="0" borderId="92" xfId="0" applyFont="1" applyFill="1" applyBorder="1" applyAlignment="1" applyProtection="1">
      <alignment vertical="center" shrinkToFit="1"/>
      <protection locked="0"/>
    </xf>
    <xf numFmtId="49" fontId="55" fillId="0" borderId="92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3" borderId="88" xfId="102" applyBorder="1" applyProtection="1">
      <alignment horizontal="center" vertical="center"/>
      <protection locked="0"/>
    </xf>
    <xf numFmtId="0" fontId="55" fillId="0" borderId="85" xfId="0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5" xfId="0" applyFont="1" applyFill="1" applyBorder="1" applyAlignment="1" applyProtection="1">
      <alignment vertical="center" wrapText="1" shrinkToFit="1"/>
      <protection locked="0"/>
    </xf>
    <xf numFmtId="0" fontId="55" fillId="0" borderId="85" xfId="0" applyFont="1" applyFill="1" applyBorder="1" applyAlignment="1">
      <alignment vertical="center" shrinkToFit="1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0" fontId="55" fillId="59" borderId="91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5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82" fontId="8" fillId="0" borderId="0" xfId="0" applyNumberFormat="1" applyFont="1" applyFill="1" applyBorder="1" applyAlignment="1" applyProtection="1">
      <alignment horizontal="right" vertical="center"/>
      <protection locked="0"/>
    </xf>
    <xf numFmtId="0" fontId="0" fillId="3" borderId="17" xfId="0" applyFont="1" applyFill="1" applyBorder="1" applyAlignment="1">
      <alignment vertical="center"/>
    </xf>
    <xf numFmtId="0" fontId="0" fillId="3" borderId="21" xfId="0" applyFont="1" applyFill="1" applyBorder="1" applyAlignment="1">
      <alignment vertical="center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49" fontId="8" fillId="0" borderId="23" xfId="0" applyNumberFormat="1" applyFont="1" applyFill="1" applyBorder="1" applyAlignment="1" applyProtection="1">
      <alignment vertical="center"/>
      <protection locked="0"/>
    </xf>
    <xf numFmtId="49" fontId="8" fillId="0" borderId="24" xfId="0" applyNumberFormat="1" applyFont="1" applyFill="1" applyBorder="1" applyAlignment="1" applyProtection="1">
      <alignment vertical="center"/>
      <protection locked="0"/>
    </xf>
    <xf numFmtId="49" fontId="8" fillId="0" borderId="25" xfId="0" applyNumberFormat="1" applyFont="1" applyFill="1" applyBorder="1" applyAlignment="1" applyProtection="1">
      <alignment vertical="center"/>
      <protection locked="0"/>
    </xf>
    <xf numFmtId="0" fontId="8" fillId="0" borderId="17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49" fontId="8" fillId="0" borderId="17" xfId="0" applyNumberFormat="1" applyFont="1" applyFill="1" applyBorder="1" applyAlignment="1" applyProtection="1">
      <alignment horizontal="left" vertical="center"/>
      <protection locked="0"/>
    </xf>
    <xf numFmtId="49" fontId="8" fillId="0" borderId="21" xfId="0" applyNumberFormat="1" applyFont="1" applyFill="1" applyBorder="1" applyAlignment="1" applyProtection="1">
      <alignment horizontal="left" vertical="center"/>
      <protection locked="0"/>
    </xf>
    <xf numFmtId="0" fontId="8" fillId="0" borderId="4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84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65" fillId="63" borderId="3" xfId="102" applyBorder="1">
      <alignment horizontal="center" vertical="center"/>
    </xf>
    <xf numFmtId="0" fontId="65" fillId="63" borderId="39" xfId="102" applyBorder="1">
      <alignment horizontal="center" vertical="center"/>
    </xf>
    <xf numFmtId="0" fontId="8" fillId="0" borderId="24" xfId="0" applyFont="1" applyFill="1" applyBorder="1" applyAlignment="1">
      <alignment vertical="center"/>
    </xf>
    <xf numFmtId="0" fontId="8" fillId="0" borderId="35" xfId="0" applyFont="1" applyFill="1" applyBorder="1" applyAlignment="1">
      <alignment vertical="center"/>
    </xf>
    <xf numFmtId="0" fontId="8" fillId="0" borderId="39" xfId="0" applyFont="1" applyFill="1" applyBorder="1" applyAlignment="1" applyProtection="1">
      <alignment vertical="center"/>
    </xf>
    <xf numFmtId="0" fontId="8" fillId="0" borderId="21" xfId="0" applyFont="1" applyBorder="1" applyAlignment="1">
      <alignment vertical="center"/>
    </xf>
    <xf numFmtId="0" fontId="65" fillId="63" borderId="40" xfId="102" applyBorder="1">
      <alignment horizontal="center" vertical="center"/>
    </xf>
    <xf numFmtId="0" fontId="65" fillId="63" borderId="34" xfId="102" applyBorder="1">
      <alignment horizontal="center" vertical="center"/>
    </xf>
    <xf numFmtId="0" fontId="8" fillId="0" borderId="25" xfId="0" applyFont="1" applyBorder="1" applyAlignment="1">
      <alignment vertical="center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0" fontId="65" fillId="63" borderId="10" xfId="102" applyBorder="1" applyProtection="1">
      <alignment horizontal="center" vertical="center"/>
      <protection locked="0"/>
    </xf>
    <xf numFmtId="0" fontId="65" fillId="63" borderId="5" xfId="102" applyBorder="1" applyProtection="1">
      <alignment horizontal="center" vertical="center"/>
      <protection locked="0"/>
    </xf>
    <xf numFmtId="0" fontId="65" fillId="63" borderId="11" xfId="102" applyBorder="1" applyProtection="1">
      <alignment horizontal="center" vertical="center"/>
      <protection locked="0"/>
    </xf>
    <xf numFmtId="0" fontId="65" fillId="63" borderId="14" xfId="102" applyBorder="1" applyProtection="1">
      <alignment horizontal="center" vertical="center"/>
      <protection locked="0"/>
    </xf>
    <xf numFmtId="0" fontId="65" fillId="63" borderId="15" xfId="102" applyBorder="1" applyProtection="1">
      <alignment horizontal="center" vertical="center"/>
      <protection locked="0"/>
    </xf>
    <xf numFmtId="0" fontId="65" fillId="63" borderId="16" xfId="102" applyBorder="1" applyProtection="1">
      <alignment horizontal="center" vertical="center"/>
      <protection locked="0"/>
    </xf>
    <xf numFmtId="0" fontId="65" fillId="63" borderId="38" xfId="102" applyBorder="1" applyProtection="1">
      <alignment horizontal="center" vertical="center"/>
    </xf>
    <xf numFmtId="0" fontId="65" fillId="63" borderId="25" xfId="102" applyBorder="1" applyProtection="1">
      <alignment horizontal="center" vertical="center"/>
    </xf>
    <xf numFmtId="0" fontId="65" fillId="63" borderId="37" xfId="102" applyBorder="1" applyProtection="1">
      <alignment horizontal="center" vertical="center"/>
    </xf>
    <xf numFmtId="0" fontId="65" fillId="63" borderId="23" xfId="102" applyBorder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0" fontId="8" fillId="0" borderId="24" xfId="0" applyFont="1" applyFill="1" applyBorder="1" applyAlignment="1" applyProtection="1">
      <alignment horizontal="center" vertical="center" shrinkToFit="1"/>
      <protection locked="0"/>
    </xf>
    <xf numFmtId="0" fontId="8" fillId="0" borderId="25" xfId="0" applyFont="1" applyFill="1" applyBorder="1" applyAlignment="1" applyProtection="1">
      <alignment horizontal="center" vertical="center" shrinkToFit="1"/>
      <protection locked="0"/>
    </xf>
    <xf numFmtId="0" fontId="65" fillId="63" borderId="3" xfId="102" applyBorder="1" applyProtection="1">
      <alignment horizontal="center" vertical="center"/>
    </xf>
    <xf numFmtId="0" fontId="65" fillId="63" borderId="39" xfId="102" applyBorder="1" applyProtection="1">
      <alignment horizontal="center" vertical="center"/>
    </xf>
    <xf numFmtId="0" fontId="65" fillId="63" borderId="40" xfId="102" applyBorder="1" applyProtection="1">
      <alignment horizontal="center" vertical="center"/>
    </xf>
    <xf numFmtId="0" fontId="65" fillId="63" borderId="34" xfId="102" applyBorder="1" applyProtection="1">
      <alignment horizontal="center" vertical="center"/>
    </xf>
    <xf numFmtId="0" fontId="65" fillId="63" borderId="24" xfId="102" applyBorder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8" fillId="0" borderId="25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vertical="center"/>
    </xf>
    <xf numFmtId="0" fontId="8" fillId="0" borderId="29" xfId="0" applyFont="1" applyFill="1" applyBorder="1" applyAlignment="1" applyProtection="1">
      <alignment vertical="center"/>
    </xf>
    <xf numFmtId="0" fontId="8" fillId="0" borderId="23" xfId="0" applyFont="1" applyFill="1" applyBorder="1" applyAlignment="1" applyProtection="1">
      <alignment vertical="center"/>
    </xf>
    <xf numFmtId="0" fontId="8" fillId="0" borderId="24" xfId="0" applyNumberFormat="1" applyFont="1" applyFill="1" applyBorder="1" applyAlignment="1" applyProtection="1">
      <alignment horizontal="center" vertical="center" shrinkToFit="1"/>
    </xf>
    <xf numFmtId="0" fontId="8" fillId="0" borderId="25" xfId="0" applyNumberFormat="1" applyFont="1" applyFill="1" applyBorder="1" applyAlignment="1" applyProtection="1">
      <alignment horizontal="center" vertical="center" shrinkToFit="1"/>
    </xf>
    <xf numFmtId="14" fontId="8" fillId="0" borderId="24" xfId="0" applyNumberFormat="1" applyFont="1" applyFill="1" applyBorder="1" applyAlignment="1" applyProtection="1">
      <alignment horizontal="center" vertical="center"/>
    </xf>
    <xf numFmtId="14" fontId="8" fillId="0" borderId="36" xfId="0" applyNumberFormat="1" applyFont="1" applyFill="1" applyBorder="1" applyAlignment="1" applyProtection="1">
      <alignment horizontal="center"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30" xfId="0" applyNumberFormat="1" applyFont="1" applyFill="1" applyBorder="1" applyAlignment="1" applyProtection="1">
      <alignment horizontal="center" vertical="center"/>
    </xf>
    <xf numFmtId="14" fontId="8" fillId="0" borderId="23" xfId="0" applyNumberFormat="1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14" fontId="8" fillId="0" borderId="25" xfId="0" quotePrefix="1" applyNumberFormat="1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176" fontId="8" fillId="0" borderId="22" xfId="0" applyNumberFormat="1" applyFont="1" applyFill="1" applyBorder="1" applyAlignment="1" applyProtection="1">
      <alignment horizontal="center" vertical="center"/>
    </xf>
    <xf numFmtId="176" fontId="8" fillId="0" borderId="30" xfId="0" applyNumberFormat="1" applyFont="1" applyFill="1" applyBorder="1" applyAlignment="1" applyProtection="1">
      <alignment horizontal="center" vertical="center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3" xfId="0" applyNumberFormat="1" applyFont="1" applyFill="1" applyBorder="1" applyAlignment="1" applyProtection="1">
      <alignment horizontal="left" vertical="center"/>
      <protection locked="0"/>
    </xf>
    <xf numFmtId="0" fontId="8" fillId="0" borderId="22" xfId="0" applyFont="1" applyFill="1" applyBorder="1" applyAlignment="1">
      <alignment vertical="center"/>
    </xf>
    <xf numFmtId="0" fontId="8" fillId="0" borderId="29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49" fontId="8" fillId="0" borderId="24" xfId="0" applyNumberFormat="1" applyFont="1" applyFill="1" applyBorder="1" applyAlignment="1" applyProtection="1">
      <alignment horizontal="left" vertical="center"/>
      <protection locked="0"/>
    </xf>
    <xf numFmtId="49" fontId="8" fillId="0" borderId="25" xfId="0" applyNumberFormat="1" applyFont="1" applyFill="1" applyBorder="1" applyAlignment="1" applyProtection="1">
      <alignment horizontal="left" vertical="center"/>
      <protection locked="0"/>
    </xf>
    <xf numFmtId="0" fontId="8" fillId="0" borderId="25" xfId="0" applyFont="1" applyFill="1" applyBorder="1" applyAlignment="1">
      <alignment vertical="center"/>
    </xf>
    <xf numFmtId="0" fontId="8" fillId="0" borderId="22" xfId="0" applyNumberFormat="1" applyFont="1" applyFill="1" applyBorder="1" applyAlignment="1" applyProtection="1">
      <alignment horizontal="center" vertical="center"/>
    </xf>
    <xf numFmtId="0" fontId="8" fillId="0" borderId="23" xfId="0" applyNumberFormat="1" applyFont="1" applyFill="1" applyBorder="1" applyAlignment="1" applyProtection="1">
      <alignment horizontal="center" vertical="center"/>
    </xf>
    <xf numFmtId="0" fontId="8" fillId="0" borderId="23" xfId="0" applyFont="1" applyBorder="1" applyAlignment="1">
      <alignment vertical="center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49" fontId="8" fillId="0" borderId="21" xfId="0" applyNumberFormat="1" applyFont="1" applyFill="1" applyBorder="1" applyAlignment="1" applyProtection="1">
      <alignment vertical="center"/>
      <protection locked="0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10" fillId="0" borderId="0" xfId="0" applyNumberFormat="1" applyFont="1" applyFill="1" applyAlignment="1" applyProtection="1">
      <alignment horizontal="left" vertical="center"/>
    </xf>
    <xf numFmtId="183" fontId="8" fillId="0" borderId="0" xfId="0" applyNumberFormat="1" applyFont="1" applyFill="1" applyAlignment="1">
      <alignment horizontal="center" vertical="center"/>
    </xf>
    <xf numFmtId="0" fontId="11" fillId="35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0" fontId="33" fillId="0" borderId="17" xfId="0" applyNumberFormat="1" applyFont="1" applyFill="1" applyBorder="1" applyAlignment="1" applyProtection="1">
      <alignment horizontal="left" vertical="center"/>
      <protection locked="0"/>
    </xf>
    <xf numFmtId="0" fontId="33" fillId="0" borderId="21" xfId="0" applyNumberFormat="1" applyFont="1" applyFill="1" applyBorder="1" applyAlignment="1" applyProtection="1">
      <alignment horizontal="left" vertical="center"/>
      <protection locked="0"/>
    </xf>
    <xf numFmtId="0" fontId="33" fillId="0" borderId="17" xfId="0" applyNumberFormat="1" applyFont="1" applyFill="1" applyBorder="1" applyAlignment="1" applyProtection="1">
      <alignment vertical="center"/>
      <protection locked="0"/>
    </xf>
    <xf numFmtId="0" fontId="8" fillId="0" borderId="27" xfId="0" applyNumberFormat="1" applyFont="1" applyFill="1" applyBorder="1" applyAlignment="1" applyProtection="1">
      <alignment vertical="center"/>
      <protection locked="0"/>
    </xf>
    <xf numFmtId="0" fontId="8" fillId="0" borderId="21" xfId="0" applyNumberFormat="1" applyFont="1" applyFill="1" applyBorder="1" applyAlignment="1" applyProtection="1">
      <alignment vertical="center"/>
      <protection locked="0"/>
    </xf>
    <xf numFmtId="0" fontId="8" fillId="0" borderId="17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61" fillId="0" borderId="27" xfId="0" applyNumberFormat="1" applyFont="1" applyFill="1" applyBorder="1" applyAlignment="1" applyProtection="1">
      <alignment vertical="center"/>
      <protection locked="0"/>
    </xf>
    <xf numFmtId="0" fontId="61" fillId="0" borderId="21" xfId="0" applyNumberFormat="1" applyFont="1" applyFill="1" applyBorder="1" applyAlignment="1" applyProtection="1">
      <alignment vertical="center"/>
      <protection locked="0"/>
    </xf>
    <xf numFmtId="0" fontId="8" fillId="0" borderId="22" xfId="0" applyNumberFormat="1" applyFont="1" applyFill="1" applyBorder="1" applyAlignment="1" applyProtection="1">
      <alignment horizontal="left" vertical="center"/>
      <protection locked="0"/>
    </xf>
    <xf numFmtId="0" fontId="8" fillId="0" borderId="23" xfId="0" applyNumberFormat="1" applyFont="1" applyFill="1" applyBorder="1" applyAlignment="1" applyProtection="1">
      <alignment horizontal="left" vertical="center"/>
      <protection locked="0"/>
    </xf>
    <xf numFmtId="0" fontId="33" fillId="0" borderId="22" xfId="0" applyNumberFormat="1" applyFont="1" applyFill="1" applyBorder="1" applyAlignment="1" applyProtection="1">
      <alignment vertical="center"/>
      <protection locked="0"/>
    </xf>
    <xf numFmtId="0" fontId="33" fillId="0" borderId="29" xfId="0" applyNumberFormat="1" applyFont="1" applyFill="1" applyBorder="1" applyAlignment="1" applyProtection="1">
      <alignment vertical="center"/>
      <protection locked="0"/>
    </xf>
    <xf numFmtId="0" fontId="33" fillId="0" borderId="23" xfId="0" applyNumberFormat="1" applyFont="1" applyFill="1" applyBorder="1" applyAlignment="1" applyProtection="1">
      <alignment vertical="center"/>
      <protection locked="0"/>
    </xf>
    <xf numFmtId="0" fontId="8" fillId="0" borderId="22" xfId="0" applyNumberFormat="1" applyFont="1" applyFill="1" applyBorder="1" applyAlignment="1" applyProtection="1">
      <alignment vertical="center" shrinkToFit="1"/>
      <protection locked="0"/>
    </xf>
    <xf numFmtId="0" fontId="8" fillId="0" borderId="29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8" fillId="0" borderId="0" xfId="0" applyFont="1" applyFill="1">
      <alignment vertical="center"/>
    </xf>
    <xf numFmtId="0" fontId="33" fillId="0" borderId="17" xfId="115" applyNumberFormat="1" applyFont="1" applyFill="1" applyBorder="1" applyAlignment="1" applyProtection="1">
      <alignment vertical="center"/>
      <protection locked="0"/>
    </xf>
    <xf numFmtId="0" fontId="12" fillId="0" borderId="27" xfId="115" applyNumberFormat="1" applyFill="1" applyBorder="1" applyAlignment="1" applyProtection="1">
      <alignment vertical="center"/>
      <protection locked="0"/>
    </xf>
    <xf numFmtId="0" fontId="12" fillId="0" borderId="21" xfId="115" applyNumberFormat="1" applyFill="1" applyBorder="1" applyAlignment="1" applyProtection="1">
      <alignment vertical="center"/>
      <protection locked="0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49" xfId="0" applyFont="1" applyFill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14" fontId="8" fillId="0" borderId="57" xfId="0" applyNumberFormat="1" applyFont="1" applyFill="1" applyBorder="1" applyAlignment="1">
      <alignment vertical="center"/>
    </xf>
    <xf numFmtId="14" fontId="8" fillId="0" borderId="56" xfId="0" applyNumberFormat="1" applyFont="1" applyBorder="1" applyAlignment="1">
      <alignment vertical="center"/>
    </xf>
    <xf numFmtId="14" fontId="8" fillId="0" borderId="55" xfId="0" applyNumberFormat="1" applyFont="1" applyBorder="1" applyAlignment="1">
      <alignment vertical="center"/>
    </xf>
    <xf numFmtId="0" fontId="65" fillId="63" borderId="60" xfId="102" applyBorder="1">
      <alignment horizontal="center" vertical="center"/>
    </xf>
    <xf numFmtId="0" fontId="65" fillId="63" borderId="5" xfId="102" applyBorder="1">
      <alignment horizontal="center" vertical="center"/>
    </xf>
    <xf numFmtId="0" fontId="65" fillId="63" borderId="11" xfId="102" applyBorder="1">
      <alignment horizontal="center" vertical="center"/>
    </xf>
  </cellXfs>
  <cellStyles count="116">
    <cellStyle name="00.0" xfId="104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9"/>
    <cellStyle name="ExcelHelp_1" xfId="112"/>
    <cellStyle name="H_標準" xfId="102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10" builtinId="8" hidden="1"/>
    <cellStyle name="ハイパーリンク" xfId="113" builtinId="8" hidden="1"/>
    <cellStyle name="ハイパーリンク" xfId="115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6"/>
    <cellStyle name="数値[千単位]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通貨[千単位]" xfId="108"/>
    <cellStyle name="日時" xfId="101"/>
    <cellStyle name="日付 [yyyy/m]" xfId="99"/>
    <cellStyle name="日付 [yyyy/mm/dd]" xfId="105"/>
    <cellStyle name="入力" xfId="41" builtinId="20" hidden="1" customBuiltin="1"/>
    <cellStyle name="入力" xfId="87" builtinId="20" hidden="1" customBuiltin="1"/>
    <cellStyle name="標準" xfId="0" builtinId="0" customBuiltin="1"/>
    <cellStyle name="表示済みのハイパーリンク" xfId="91" builtinId="9" hidden="1"/>
    <cellStyle name="表示済みのハイパーリンク" xfId="98" builtinId="9" hidden="1"/>
    <cellStyle name="表示済みのハイパーリンク" xfId="111" builtinId="9" hidden="1"/>
    <cellStyle name="表示済みのハイパーリンク" xfId="114" builtinId="9" hidden="1"/>
    <cellStyle name="不要" xfId="100"/>
    <cellStyle name="要確認" xfId="107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3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4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5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9" sqref="A9"/>
      <selection pane="topRight" activeCell="A9" sqref="A9"/>
      <selection pane="bottomLeft" activeCell="A9" sqref="A9"/>
      <selection pane="bottomRight" activeCell="B13" sqref="B13"/>
    </sheetView>
  </sheetViews>
  <sheetFormatPr defaultRowHeight="15" customHeight="1"/>
  <cols>
    <col min="1" max="1" width="25.7109375" style="105" customWidth="1"/>
    <col min="2" max="2" width="25.7109375" style="106" customWidth="1"/>
    <col min="3" max="3" width="5.7109375" style="105" customWidth="1"/>
    <col min="4" max="4" width="25.7109375" style="105" customWidth="1"/>
    <col min="5" max="5" width="25.7109375" style="106" customWidth="1"/>
    <col min="6" max="6" width="5.7109375" style="105" customWidth="1"/>
    <col min="7" max="7" width="27.85546875" style="94" customWidth="1"/>
    <col min="8" max="8" width="13.42578125" style="94" customWidth="1"/>
    <col min="9" max="9" width="34.7109375" style="94" customWidth="1"/>
    <col min="10" max="10" width="26.85546875" style="94" customWidth="1"/>
    <col min="11" max="11" width="7.42578125" customWidth="1"/>
    <col min="12" max="12" width="9.5703125" style="94" customWidth="1"/>
    <col min="13" max="14" width="26.85546875" style="94" customWidth="1"/>
    <col min="15" max="16" width="15.7109375" customWidth="1"/>
    <col min="17" max="17" width="16.42578125" style="94" customWidth="1"/>
    <col min="18" max="18" width="34.7109375" style="94" customWidth="1"/>
    <col min="19" max="19" width="5.7109375" style="92" customWidth="1"/>
    <col min="20" max="20" width="22.85546875" style="94" customWidth="1"/>
    <col min="21" max="21" width="40.28515625" style="94" customWidth="1"/>
    <col min="22" max="22" width="5.7109375" style="92" customWidth="1"/>
    <col min="23" max="16384" width="9.140625" style="94"/>
  </cols>
  <sheetData>
    <row r="1" spans="1:24" ht="15" customHeight="1">
      <c r="A1" s="180">
        <v>1</v>
      </c>
      <c r="B1" s="181">
        <v>2</v>
      </c>
      <c r="C1" s="180">
        <v>3</v>
      </c>
      <c r="D1" s="180">
        <v>4</v>
      </c>
      <c r="E1" s="181">
        <v>5</v>
      </c>
      <c r="F1" s="180">
        <v>6</v>
      </c>
      <c r="G1" s="91">
        <v>7</v>
      </c>
      <c r="H1" s="91">
        <v>8</v>
      </c>
      <c r="I1" s="91">
        <v>9</v>
      </c>
      <c r="J1" s="91">
        <v>10</v>
      </c>
      <c r="K1">
        <v>11</v>
      </c>
      <c r="L1" s="91">
        <v>12</v>
      </c>
      <c r="M1" s="91">
        <v>13</v>
      </c>
      <c r="N1" s="91">
        <v>14</v>
      </c>
      <c r="O1">
        <v>15</v>
      </c>
      <c r="P1">
        <v>16</v>
      </c>
      <c r="Q1" s="94">
        <v>17</v>
      </c>
      <c r="R1" s="94">
        <v>18</v>
      </c>
    </row>
    <row r="3" spans="1:24" ht="15" customHeight="1">
      <c r="A3" s="169" t="s">
        <v>261</v>
      </c>
      <c r="B3" s="170"/>
      <c r="D3" s="103" t="s">
        <v>262</v>
      </c>
      <c r="E3" s="104"/>
      <c r="G3" s="103" t="s">
        <v>273</v>
      </c>
      <c r="Q3" s="90" t="s">
        <v>148</v>
      </c>
      <c r="R3" s="91"/>
      <c r="T3" s="90" t="s">
        <v>109</v>
      </c>
      <c r="U3" s="93"/>
    </row>
    <row r="4" spans="1:24" ht="15" customHeight="1">
      <c r="A4" s="171" t="s">
        <v>110</v>
      </c>
      <c r="B4" s="171" t="s">
        <v>111</v>
      </c>
      <c r="D4" s="162" t="s">
        <v>110</v>
      </c>
      <c r="E4" s="162" t="s">
        <v>111</v>
      </c>
      <c r="G4" s="151" t="s">
        <v>347</v>
      </c>
      <c r="H4" s="151" t="s">
        <v>344</v>
      </c>
      <c r="I4" s="151" t="s">
        <v>345</v>
      </c>
      <c r="J4" s="151" t="s">
        <v>346</v>
      </c>
      <c r="L4" s="171" t="s">
        <v>356</v>
      </c>
      <c r="M4" s="171" t="s">
        <v>357</v>
      </c>
      <c r="N4"/>
      <c r="Q4" s="95" t="s">
        <v>110</v>
      </c>
      <c r="R4" s="95" t="s">
        <v>111</v>
      </c>
      <c r="T4" s="95" t="s">
        <v>110</v>
      </c>
      <c r="U4" s="95" t="s">
        <v>111</v>
      </c>
    </row>
    <row r="5" spans="1:24" ht="15" customHeight="1">
      <c r="A5" s="172" t="s">
        <v>263</v>
      </c>
      <c r="B5" s="173" t="s">
        <v>264</v>
      </c>
      <c r="D5" s="179" t="s">
        <v>265</v>
      </c>
      <c r="E5" s="179" t="s">
        <v>266</v>
      </c>
      <c r="G5" s="155" t="s">
        <v>144</v>
      </c>
      <c r="H5" s="155" t="s">
        <v>340</v>
      </c>
      <c r="I5" s="158" t="s">
        <v>253</v>
      </c>
      <c r="J5" s="158" t="s">
        <v>235</v>
      </c>
      <c r="L5" s="159">
        <v>2</v>
      </c>
      <c r="M5" s="159" t="s">
        <v>427</v>
      </c>
      <c r="N5"/>
      <c r="O5" s="113"/>
      <c r="P5" s="113"/>
      <c r="Q5" s="114" t="s">
        <v>227</v>
      </c>
      <c r="R5" s="99" t="s">
        <v>228</v>
      </c>
      <c r="S5" s="94"/>
      <c r="T5" s="115" t="s">
        <v>69</v>
      </c>
      <c r="U5" s="116" t="s">
        <v>249</v>
      </c>
      <c r="V5" s="94"/>
    </row>
    <row r="6" spans="1:24" ht="15" customHeight="1">
      <c r="A6" s="172" t="s">
        <v>267</v>
      </c>
      <c r="B6" s="174" t="b">
        <v>1</v>
      </c>
      <c r="D6" s="163" t="s">
        <v>263</v>
      </c>
      <c r="E6" s="164" t="s">
        <v>264</v>
      </c>
      <c r="G6" s="156" t="s">
        <v>208</v>
      </c>
      <c r="H6" s="156" t="s">
        <v>341</v>
      </c>
      <c r="I6" s="159" t="s">
        <v>254</v>
      </c>
      <c r="J6" s="159" t="s">
        <v>236</v>
      </c>
      <c r="L6" s="159">
        <v>3</v>
      </c>
      <c r="M6" s="159" t="s">
        <v>428</v>
      </c>
      <c r="N6" s="100"/>
      <c r="O6" s="113"/>
      <c r="P6" s="113"/>
      <c r="Q6" s="114" t="s">
        <v>232</v>
      </c>
      <c r="R6" s="99" t="s">
        <v>258</v>
      </c>
      <c r="S6" s="94"/>
      <c r="T6" s="115" t="s">
        <v>4</v>
      </c>
      <c r="U6" s="117">
        <v>43634</v>
      </c>
      <c r="V6" s="94"/>
    </row>
    <row r="7" spans="1:24" ht="15" customHeight="1">
      <c r="A7" s="172" t="s">
        <v>268</v>
      </c>
      <c r="B7" s="174" t="b">
        <v>1</v>
      </c>
      <c r="D7" s="163" t="s">
        <v>267</v>
      </c>
      <c r="E7" s="165" t="b">
        <v>1</v>
      </c>
      <c r="G7" s="156" t="s">
        <v>210</v>
      </c>
      <c r="H7" s="156" t="s">
        <v>342</v>
      </c>
      <c r="I7" s="159" t="s">
        <v>229</v>
      </c>
      <c r="J7" s="159" t="s">
        <v>237</v>
      </c>
      <c r="L7" s="159">
        <v>4</v>
      </c>
      <c r="M7" s="159" t="s">
        <v>429</v>
      </c>
      <c r="N7" s="100"/>
      <c r="O7" s="113"/>
      <c r="P7" s="113"/>
      <c r="Q7" s="114" t="s">
        <v>276</v>
      </c>
      <c r="R7" s="118" t="s">
        <v>259</v>
      </c>
      <c r="S7" s="94"/>
      <c r="T7" s="115" t="s">
        <v>149</v>
      </c>
      <c r="U7" s="119" t="s">
        <v>250</v>
      </c>
      <c r="V7" s="94"/>
      <c r="X7" s="94" t="s">
        <v>310</v>
      </c>
    </row>
    <row r="8" spans="1:24" ht="15" customHeight="1">
      <c r="A8" s="172" t="s">
        <v>269</v>
      </c>
      <c r="B8" s="173" t="s">
        <v>270</v>
      </c>
      <c r="D8" s="163" t="s">
        <v>268</v>
      </c>
      <c r="E8" s="165" t="b">
        <v>1</v>
      </c>
      <c r="G8" s="156" t="s">
        <v>256</v>
      </c>
      <c r="H8" s="156" t="s">
        <v>228</v>
      </c>
      <c r="I8" s="159" t="s">
        <v>230</v>
      </c>
      <c r="J8" s="159" t="s">
        <v>238</v>
      </c>
      <c r="L8" s="159">
        <v>5</v>
      </c>
      <c r="M8" s="159" t="s">
        <v>430</v>
      </c>
      <c r="N8" s="100"/>
      <c r="O8" s="113"/>
      <c r="P8" s="113"/>
      <c r="Q8" s="114" t="s">
        <v>246</v>
      </c>
      <c r="R8" s="120"/>
      <c r="S8" s="94"/>
      <c r="T8" s="115" t="s">
        <v>217</v>
      </c>
      <c r="U8" s="112">
        <v>43634</v>
      </c>
      <c r="V8" s="94"/>
    </row>
    <row r="9" spans="1:24" ht="15" customHeight="1">
      <c r="A9" s="172" t="s">
        <v>271</v>
      </c>
      <c r="B9" s="173" t="s">
        <v>272</v>
      </c>
      <c r="D9" s="163" t="s">
        <v>269</v>
      </c>
      <c r="E9" s="164" t="s">
        <v>270</v>
      </c>
      <c r="G9" s="156" t="s">
        <v>145</v>
      </c>
      <c r="H9" s="156" t="s">
        <v>343</v>
      </c>
      <c r="I9" s="159" t="s">
        <v>255</v>
      </c>
      <c r="J9" s="159"/>
      <c r="L9" s="159">
        <v>6</v>
      </c>
      <c r="M9" s="159" t="s">
        <v>431</v>
      </c>
      <c r="N9" s="100"/>
      <c r="O9" s="113"/>
      <c r="P9" s="113"/>
      <c r="Q9" s="114" t="s">
        <v>247</v>
      </c>
      <c r="R9" s="120"/>
      <c r="S9" s="94"/>
      <c r="T9" s="115" t="s">
        <v>218</v>
      </c>
      <c r="U9" s="112" t="s">
        <v>257</v>
      </c>
      <c r="V9" s="94"/>
    </row>
    <row r="10" spans="1:24" ht="15" customHeight="1">
      <c r="A10" s="172"/>
      <c r="B10" s="173"/>
      <c r="D10" s="163"/>
      <c r="E10" s="164"/>
      <c r="G10" s="159" t="s">
        <v>468</v>
      </c>
      <c r="H10" s="156"/>
      <c r="I10" s="159"/>
      <c r="J10" s="159"/>
      <c r="L10" s="159">
        <v>7</v>
      </c>
      <c r="M10" s="159" t="s">
        <v>432</v>
      </c>
      <c r="N10" s="100"/>
      <c r="O10" s="113"/>
      <c r="P10" s="113"/>
      <c r="Q10" s="114"/>
      <c r="R10" s="120"/>
      <c r="S10" s="94"/>
      <c r="T10" s="115"/>
      <c r="U10" s="112"/>
      <c r="V10" s="94"/>
    </row>
    <row r="11" spans="1:24" ht="15" customHeight="1">
      <c r="A11" s="172" t="s">
        <v>339</v>
      </c>
      <c r="B11" s="156" t="s">
        <v>342</v>
      </c>
      <c r="D11" s="163"/>
      <c r="E11" s="164"/>
      <c r="G11" s="159"/>
      <c r="H11" s="160"/>
      <c r="I11" s="159" t="s">
        <v>234</v>
      </c>
      <c r="J11" s="159"/>
      <c r="L11" s="159">
        <v>8</v>
      </c>
      <c r="M11" s="159" t="s">
        <v>433</v>
      </c>
      <c r="N11" s="100"/>
      <c r="O11" s="113"/>
      <c r="P11" s="113"/>
      <c r="Q11" s="114" t="s">
        <v>233</v>
      </c>
      <c r="R11" s="120"/>
      <c r="S11" s="94"/>
      <c r="T11" s="115"/>
      <c r="U11" s="112"/>
      <c r="V11" s="94"/>
    </row>
    <row r="12" spans="1:24" ht="15" customHeight="1">
      <c r="A12" s="172" t="s">
        <v>274</v>
      </c>
      <c r="B12" s="156" t="s">
        <v>348</v>
      </c>
      <c r="D12" s="163"/>
      <c r="E12" s="164"/>
      <c r="G12" s="157"/>
      <c r="H12" s="161"/>
      <c r="I12" s="157" t="s">
        <v>245</v>
      </c>
      <c r="J12" s="157"/>
      <c r="L12" s="159">
        <v>9</v>
      </c>
      <c r="M12" s="159" t="s">
        <v>434</v>
      </c>
      <c r="N12" s="100"/>
      <c r="O12" s="113"/>
      <c r="P12" s="113"/>
      <c r="Q12" s="114" t="s">
        <v>121</v>
      </c>
      <c r="R12" s="120"/>
      <c r="S12" s="94"/>
      <c r="T12" s="115"/>
      <c r="U12" s="121" t="e">
        <f>プロジェクト名 &amp; IF(システム名="",""," ["&amp;システム名&amp;"]") &amp; "DB設計書"</f>
        <v>#NAME?</v>
      </c>
      <c r="V12" s="94"/>
    </row>
    <row r="13" spans="1:24" ht="15" customHeight="1">
      <c r="A13" s="172" t="s">
        <v>275</v>
      </c>
      <c r="B13" s="173" t="s">
        <v>469</v>
      </c>
      <c r="D13" s="163"/>
      <c r="E13" s="164"/>
      <c r="H13"/>
      <c r="L13" s="159">
        <v>10</v>
      </c>
      <c r="M13" s="159" t="s">
        <v>435</v>
      </c>
      <c r="O13" s="113"/>
      <c r="P13" s="113"/>
      <c r="Q13" s="114" t="s">
        <v>143</v>
      </c>
      <c r="R13" s="120"/>
      <c r="S13" s="94"/>
      <c r="V13" s="94"/>
    </row>
    <row r="14" spans="1:24" ht="15" customHeight="1">
      <c r="A14" s="172" t="s">
        <v>277</v>
      </c>
      <c r="B14" s="173" t="s">
        <v>478</v>
      </c>
      <c r="D14" s="163"/>
      <c r="E14" s="164"/>
      <c r="H14"/>
      <c r="L14" s="159">
        <v>11</v>
      </c>
      <c r="M14" s="159" t="s">
        <v>436</v>
      </c>
      <c r="O14" s="113"/>
      <c r="P14" s="113"/>
      <c r="Q14" s="114" t="s">
        <v>239</v>
      </c>
      <c r="R14" s="120"/>
      <c r="S14" s="94"/>
      <c r="T14" s="97"/>
      <c r="U14" s="97"/>
      <c r="V14" s="94"/>
    </row>
    <row r="15" spans="1:24" ht="15" customHeight="1">
      <c r="A15" s="175" t="s">
        <v>466</v>
      </c>
      <c r="B15" s="173"/>
      <c r="D15" s="163"/>
      <c r="E15" s="164"/>
      <c r="H15"/>
      <c r="L15" s="159">
        <v>12</v>
      </c>
      <c r="M15" s="159" t="s">
        <v>437</v>
      </c>
      <c r="O15" s="113"/>
      <c r="P15" s="113"/>
      <c r="Q15" s="114" t="s">
        <v>240</v>
      </c>
      <c r="R15" s="99" t="s">
        <v>251</v>
      </c>
      <c r="S15" s="94"/>
      <c r="T15" s="97"/>
      <c r="U15" s="97"/>
      <c r="V15" s="94"/>
    </row>
    <row r="16" spans="1:24" ht="15" customHeight="1">
      <c r="A16" s="175" t="s">
        <v>465</v>
      </c>
      <c r="B16" s="173"/>
      <c r="D16" s="163"/>
      <c r="E16" s="164"/>
      <c r="H16"/>
      <c r="L16" s="159">
        <v>13</v>
      </c>
      <c r="M16" s="159" t="s">
        <v>438</v>
      </c>
      <c r="O16" s="113"/>
      <c r="P16" s="113"/>
      <c r="Q16" s="114" t="s">
        <v>241</v>
      </c>
      <c r="R16" s="99" t="s">
        <v>252</v>
      </c>
      <c r="S16" s="94"/>
      <c r="T16" s="97"/>
      <c r="U16" s="97"/>
      <c r="V16" s="94"/>
    </row>
    <row r="17" spans="1:22" ht="15" customHeight="1">
      <c r="A17" s="172" t="s">
        <v>301</v>
      </c>
      <c r="B17" s="173"/>
      <c r="D17" s="179"/>
      <c r="E17" s="179"/>
      <c r="L17" s="159">
        <v>14</v>
      </c>
      <c r="M17" s="159" t="s">
        <v>439</v>
      </c>
      <c r="O17" s="113"/>
      <c r="P17" s="113"/>
      <c r="Q17" s="114"/>
      <c r="R17" s="99"/>
      <c r="S17" s="94"/>
      <c r="T17" s="97"/>
      <c r="U17" s="97"/>
      <c r="V17" s="94"/>
    </row>
    <row r="18" spans="1:22" ht="15" customHeight="1">
      <c r="A18" s="172" t="s">
        <v>302</v>
      </c>
      <c r="B18" s="173" t="s">
        <v>353</v>
      </c>
      <c r="D18" s="166"/>
      <c r="E18" s="164"/>
      <c r="L18" s="159">
        <v>16</v>
      </c>
      <c r="M18" s="159" t="s">
        <v>440</v>
      </c>
      <c r="O18" s="113"/>
      <c r="P18" s="113"/>
      <c r="S18" s="94"/>
      <c r="T18" s="97"/>
      <c r="U18" s="97"/>
      <c r="V18" s="94"/>
    </row>
    <row r="19" spans="1:22" ht="15" customHeight="1">
      <c r="A19" s="172"/>
      <c r="B19" s="173"/>
      <c r="D19" s="166"/>
      <c r="E19" s="164"/>
      <c r="H19" s="122"/>
      <c r="L19" s="159">
        <v>17</v>
      </c>
      <c r="M19" s="159" t="s">
        <v>441</v>
      </c>
      <c r="O19" s="113"/>
      <c r="P19" s="113"/>
      <c r="Q19" s="188" t="s">
        <v>112</v>
      </c>
      <c r="R19" s="189"/>
      <c r="S19" s="94"/>
      <c r="T19" s="97"/>
      <c r="U19" s="97"/>
      <c r="V19" s="94"/>
    </row>
    <row r="20" spans="1:22" ht="15" customHeight="1">
      <c r="A20" s="175" t="s">
        <v>303</v>
      </c>
      <c r="B20" s="176" t="s">
        <v>336</v>
      </c>
      <c r="D20" s="166"/>
      <c r="E20" s="164"/>
      <c r="H20" s="122"/>
      <c r="L20" s="159">
        <v>18</v>
      </c>
      <c r="M20" s="159" t="s">
        <v>442</v>
      </c>
      <c r="O20" s="113"/>
      <c r="P20" s="113"/>
      <c r="Q20" s="98" t="s">
        <v>242</v>
      </c>
      <c r="R20" s="99">
        <v>10</v>
      </c>
      <c r="S20" s="94"/>
      <c r="T20" s="97"/>
      <c r="U20" s="97"/>
      <c r="V20" s="94"/>
    </row>
    <row r="21" spans="1:22" ht="15" customHeight="1">
      <c r="A21" s="175" t="s">
        <v>304</v>
      </c>
      <c r="B21" s="173" t="s">
        <v>337</v>
      </c>
      <c r="D21" s="166"/>
      <c r="E21" s="164"/>
      <c r="H21" s="122"/>
      <c r="L21" s="159">
        <v>19</v>
      </c>
      <c r="M21" s="159" t="s">
        <v>443</v>
      </c>
      <c r="O21" s="113"/>
      <c r="P21" s="113"/>
      <c r="Q21" s="98" t="s">
        <v>72</v>
      </c>
      <c r="R21" s="99">
        <v>8192</v>
      </c>
      <c r="S21" s="94"/>
      <c r="T21" s="97"/>
      <c r="U21" s="97"/>
      <c r="V21" s="94"/>
    </row>
    <row r="22" spans="1:22" ht="15" customHeight="1">
      <c r="A22" s="172" t="s">
        <v>306</v>
      </c>
      <c r="B22" s="173" t="s">
        <v>338</v>
      </c>
      <c r="D22" s="163"/>
      <c r="E22" s="164"/>
      <c r="H22" s="122"/>
      <c r="L22" s="159">
        <v>20</v>
      </c>
      <c r="M22" s="159" t="s">
        <v>444</v>
      </c>
      <c r="O22" s="113"/>
      <c r="P22" s="113"/>
      <c r="Q22" s="98"/>
      <c r="R22" s="99"/>
      <c r="S22" s="94"/>
      <c r="T22" s="97"/>
      <c r="U22" s="97"/>
      <c r="V22" s="94"/>
    </row>
    <row r="23" spans="1:22" ht="15" customHeight="1">
      <c r="A23" s="172" t="s">
        <v>307</v>
      </c>
      <c r="B23" s="173" t="s">
        <v>308</v>
      </c>
      <c r="D23" s="166"/>
      <c r="E23" s="164"/>
      <c r="H23" s="122"/>
      <c r="L23" s="159">
        <v>21</v>
      </c>
      <c r="M23" s="159" t="s">
        <v>445</v>
      </c>
      <c r="O23" s="113"/>
      <c r="P23" s="113"/>
      <c r="S23" s="94"/>
      <c r="T23" s="97"/>
      <c r="U23" s="97"/>
      <c r="V23" s="94"/>
    </row>
    <row r="24" spans="1:22" ht="15" customHeight="1">
      <c r="A24" s="172"/>
      <c r="B24" s="173"/>
      <c r="D24" s="166"/>
      <c r="E24" s="164"/>
      <c r="H24" s="122"/>
      <c r="L24" s="159">
        <v>64</v>
      </c>
      <c r="M24" s="159" t="s">
        <v>446</v>
      </c>
      <c r="O24" s="113"/>
      <c r="P24" s="113"/>
      <c r="Q24" s="188"/>
      <c r="R24" s="189"/>
      <c r="S24" s="94"/>
      <c r="T24" s="97"/>
      <c r="U24" s="97"/>
      <c r="V24" s="94"/>
    </row>
    <row r="25" spans="1:22" ht="15" customHeight="1">
      <c r="A25" s="172"/>
      <c r="B25" s="173"/>
      <c r="D25" s="163"/>
      <c r="E25" s="164"/>
      <c r="H25" s="122"/>
      <c r="L25" s="159">
        <v>72</v>
      </c>
      <c r="M25" s="159" t="s">
        <v>447</v>
      </c>
      <c r="O25" s="113"/>
      <c r="P25" s="113"/>
      <c r="Q25" s="98"/>
      <c r="R25" s="99"/>
      <c r="S25" s="94"/>
      <c r="V25" s="94"/>
    </row>
    <row r="26" spans="1:22" ht="15" customHeight="1">
      <c r="A26" s="172" t="s">
        <v>324</v>
      </c>
      <c r="B26" s="173">
        <v>289</v>
      </c>
      <c r="D26" s="163"/>
      <c r="E26" s="164"/>
      <c r="H26" s="122"/>
      <c r="L26" s="159">
        <v>128</v>
      </c>
      <c r="M26" s="159" t="s">
        <v>448</v>
      </c>
      <c r="O26" s="113"/>
      <c r="P26" s="113"/>
      <c r="Q26" s="98" t="s">
        <v>72</v>
      </c>
      <c r="R26" s="99">
        <v>8192</v>
      </c>
      <c r="S26" s="94"/>
      <c r="T26" s="97"/>
      <c r="U26" s="97"/>
      <c r="V26" s="94"/>
    </row>
    <row r="27" spans="1:22" ht="15" customHeight="1">
      <c r="A27" s="172" t="s">
        <v>325</v>
      </c>
      <c r="B27" s="173">
        <v>1852</v>
      </c>
      <c r="D27" s="163"/>
      <c r="E27" s="164"/>
      <c r="H27" s="122"/>
      <c r="L27" s="159">
        <v>129</v>
      </c>
      <c r="M27" s="159" t="s">
        <v>449</v>
      </c>
      <c r="O27" s="113"/>
      <c r="P27" s="113"/>
      <c r="Q27" s="98" t="s">
        <v>243</v>
      </c>
      <c r="R27" s="99">
        <v>1</v>
      </c>
      <c r="S27" s="94"/>
      <c r="T27" s="97"/>
      <c r="U27" s="97"/>
      <c r="V27" s="94"/>
    </row>
    <row r="28" spans="1:22" ht="15" customHeight="1">
      <c r="A28" s="172"/>
      <c r="B28" s="173"/>
      <c r="D28" s="163"/>
      <c r="E28" s="164"/>
      <c r="H28" s="100"/>
      <c r="L28" s="159">
        <v>130</v>
      </c>
      <c r="M28" s="159" t="s">
        <v>450</v>
      </c>
      <c r="O28" s="113"/>
      <c r="P28" s="113"/>
      <c r="S28" s="94"/>
      <c r="T28" s="97"/>
      <c r="U28" s="97"/>
      <c r="V28" s="94"/>
    </row>
    <row r="29" spans="1:22" ht="15" customHeight="1">
      <c r="A29" s="172"/>
      <c r="B29" s="173"/>
      <c r="D29" s="163"/>
      <c r="E29" s="164"/>
      <c r="H29" s="100"/>
      <c r="L29" s="159">
        <v>131</v>
      </c>
      <c r="M29" s="159" t="s">
        <v>451</v>
      </c>
      <c r="O29" s="113"/>
      <c r="P29" s="113"/>
      <c r="S29" s="94"/>
      <c r="V29" s="94"/>
    </row>
    <row r="30" spans="1:22" ht="15" customHeight="1">
      <c r="A30" s="172"/>
      <c r="B30" s="173"/>
      <c r="D30" s="163"/>
      <c r="E30" s="164"/>
      <c r="H30" s="100"/>
      <c r="L30" s="159">
        <v>132</v>
      </c>
      <c r="M30" s="159" t="s">
        <v>452</v>
      </c>
      <c r="O30" s="113"/>
      <c r="P30" s="113"/>
      <c r="S30" s="94"/>
      <c r="V30" s="94"/>
    </row>
    <row r="31" spans="1:22" ht="15" customHeight="1">
      <c r="A31" s="172"/>
      <c r="B31" s="173"/>
      <c r="D31" s="163"/>
      <c r="E31" s="164"/>
      <c r="H31" s="100"/>
      <c r="L31" s="159">
        <v>133</v>
      </c>
      <c r="M31" s="159" t="s">
        <v>453</v>
      </c>
      <c r="O31" s="113"/>
      <c r="P31" s="113"/>
      <c r="S31" s="94"/>
      <c r="V31" s="94"/>
    </row>
    <row r="32" spans="1:22" ht="15" customHeight="1">
      <c r="A32" s="172"/>
      <c r="B32" s="173"/>
      <c r="D32" s="163"/>
      <c r="E32" s="164"/>
      <c r="H32" s="100"/>
      <c r="L32" s="159">
        <v>134</v>
      </c>
      <c r="M32" s="159" t="s">
        <v>454</v>
      </c>
      <c r="O32" s="113"/>
      <c r="P32" s="113"/>
      <c r="S32" s="94"/>
      <c r="V32" s="94"/>
    </row>
    <row r="33" spans="1:22" ht="15" customHeight="1">
      <c r="A33" s="172"/>
      <c r="B33" s="173"/>
      <c r="D33" s="163"/>
      <c r="E33" s="164"/>
      <c r="H33" s="100"/>
      <c r="L33" s="159">
        <v>135</v>
      </c>
      <c r="M33" s="159" t="s">
        <v>455</v>
      </c>
      <c r="O33" s="113"/>
      <c r="P33" s="113"/>
      <c r="S33" s="94"/>
      <c r="V33" s="94"/>
    </row>
    <row r="34" spans="1:22" ht="15" customHeight="1">
      <c r="A34" s="172"/>
      <c r="B34" s="173"/>
      <c r="D34" s="163"/>
      <c r="E34" s="164"/>
      <c r="H34" s="100"/>
      <c r="L34" s="159">
        <v>136</v>
      </c>
      <c r="M34" s="159" t="s">
        <v>456</v>
      </c>
      <c r="O34" s="113"/>
      <c r="P34" s="113"/>
      <c r="S34" s="94"/>
      <c r="V34" s="94"/>
    </row>
    <row r="35" spans="1:22" ht="15" customHeight="1">
      <c r="A35" s="172"/>
      <c r="B35" s="173"/>
      <c r="D35" s="163"/>
      <c r="E35" s="164"/>
      <c r="H35" s="100"/>
      <c r="L35" s="159">
        <v>138</v>
      </c>
      <c r="M35" s="159" t="s">
        <v>457</v>
      </c>
      <c r="O35" s="113"/>
      <c r="P35" s="113"/>
      <c r="S35" s="94"/>
      <c r="V35" s="94"/>
    </row>
    <row r="36" spans="1:22" ht="15" customHeight="1">
      <c r="A36" s="172"/>
      <c r="B36" s="173"/>
      <c r="D36" s="163"/>
      <c r="E36" s="164"/>
      <c r="H36" s="100"/>
      <c r="L36" s="159">
        <v>139</v>
      </c>
      <c r="M36" s="159" t="s">
        <v>458</v>
      </c>
      <c r="O36" s="113"/>
      <c r="P36" s="113"/>
      <c r="S36" s="94"/>
      <c r="V36" s="94"/>
    </row>
    <row r="37" spans="1:22" ht="15" customHeight="1">
      <c r="A37" s="172"/>
      <c r="B37" s="173"/>
      <c r="D37" s="163"/>
      <c r="E37" s="164"/>
      <c r="H37" s="100"/>
      <c r="L37" s="159">
        <v>200</v>
      </c>
      <c r="M37" s="159" t="s">
        <v>459</v>
      </c>
      <c r="O37" s="113"/>
      <c r="P37" s="113"/>
      <c r="S37" s="94"/>
      <c r="V37" s="94"/>
    </row>
    <row r="38" spans="1:22" ht="15" customHeight="1">
      <c r="A38" s="172"/>
      <c r="B38" s="173"/>
      <c r="D38" s="163"/>
      <c r="E38" s="164"/>
      <c r="H38" s="100"/>
      <c r="L38" s="159">
        <v>201</v>
      </c>
      <c r="M38" s="159" t="s">
        <v>460</v>
      </c>
      <c r="O38" s="113"/>
      <c r="P38" s="113"/>
      <c r="S38" s="94"/>
      <c r="V38" s="94"/>
    </row>
    <row r="39" spans="1:22" ht="15" customHeight="1">
      <c r="A39" s="172"/>
      <c r="B39" s="173"/>
      <c r="D39" s="163"/>
      <c r="E39" s="164"/>
      <c r="H39" s="100"/>
      <c r="L39" s="159">
        <v>202</v>
      </c>
      <c r="M39" s="159" t="s">
        <v>461</v>
      </c>
      <c r="O39" s="113"/>
      <c r="P39" s="113"/>
      <c r="S39" s="94"/>
      <c r="V39" s="94"/>
    </row>
    <row r="40" spans="1:22" ht="15" customHeight="1">
      <c r="A40" s="172"/>
      <c r="B40" s="173"/>
      <c r="D40" s="163"/>
      <c r="E40" s="164"/>
      <c r="H40" s="100"/>
      <c r="L40" s="159">
        <v>203</v>
      </c>
      <c r="M40" s="159" t="s">
        <v>462</v>
      </c>
      <c r="O40" s="113"/>
      <c r="P40" s="113"/>
      <c r="S40" s="94"/>
      <c r="V40" s="94"/>
    </row>
    <row r="41" spans="1:22" ht="15" customHeight="1">
      <c r="A41" s="172"/>
      <c r="B41" s="173"/>
      <c r="D41" s="163"/>
      <c r="E41" s="164"/>
      <c r="H41" s="100"/>
      <c r="L41" s="159">
        <v>204</v>
      </c>
      <c r="M41" s="159" t="s">
        <v>463</v>
      </c>
      <c r="O41" s="113"/>
      <c r="P41" s="113"/>
      <c r="S41" s="94"/>
      <c r="V41" s="94"/>
    </row>
    <row r="42" spans="1:22" ht="15" customHeight="1">
      <c r="A42" s="172"/>
      <c r="B42" s="173"/>
      <c r="D42" s="163"/>
      <c r="E42" s="164"/>
      <c r="H42" s="100"/>
      <c r="L42" s="157">
        <v>205</v>
      </c>
      <c r="M42" s="157" t="s">
        <v>464</v>
      </c>
      <c r="O42" s="113"/>
      <c r="P42" s="113"/>
      <c r="S42" s="94"/>
      <c r="V42" s="94"/>
    </row>
    <row r="43" spans="1:22" ht="15" customHeight="1">
      <c r="A43" s="172"/>
      <c r="B43" s="173"/>
      <c r="D43" s="163"/>
      <c r="E43" s="164"/>
      <c r="H43" s="100"/>
      <c r="O43" s="113"/>
      <c r="P43" s="113"/>
      <c r="S43" s="94"/>
      <c r="V43" s="94"/>
    </row>
    <row r="44" spans="1:22" ht="15" customHeight="1">
      <c r="A44" s="172"/>
      <c r="B44" s="173"/>
      <c r="D44" s="163"/>
      <c r="E44" s="164"/>
      <c r="H44" s="100"/>
      <c r="O44" s="113"/>
      <c r="P44" s="113"/>
      <c r="S44" s="94"/>
      <c r="V44" s="94"/>
    </row>
    <row r="45" spans="1:22" ht="15" customHeight="1">
      <c r="A45" s="172"/>
      <c r="B45" s="173"/>
      <c r="D45" s="163"/>
      <c r="E45" s="164"/>
      <c r="H45" s="100"/>
      <c r="O45" s="113"/>
      <c r="P45" s="113"/>
      <c r="S45" s="94"/>
      <c r="V45" s="94"/>
    </row>
    <row r="46" spans="1:22" ht="15" customHeight="1">
      <c r="A46" s="172"/>
      <c r="B46" s="173"/>
      <c r="D46" s="163"/>
      <c r="E46" s="164"/>
      <c r="H46" s="100"/>
      <c r="O46" s="113"/>
      <c r="P46" s="113"/>
      <c r="S46" s="94"/>
      <c r="V46" s="94"/>
    </row>
    <row r="47" spans="1:22" ht="15" customHeight="1">
      <c r="A47" s="172"/>
      <c r="B47" s="173"/>
      <c r="D47" s="163"/>
      <c r="E47" s="164"/>
      <c r="H47" s="100"/>
      <c r="O47" s="113"/>
      <c r="P47" s="113"/>
      <c r="S47" s="94"/>
      <c r="V47" s="94"/>
    </row>
    <row r="48" spans="1:22" ht="15" customHeight="1">
      <c r="A48" s="172"/>
      <c r="B48" s="173"/>
      <c r="D48" s="163"/>
      <c r="E48" s="164"/>
      <c r="H48" s="100"/>
      <c r="O48" s="113"/>
      <c r="P48" s="113"/>
      <c r="S48" s="94"/>
      <c r="V48" s="94"/>
    </row>
    <row r="49" spans="1:22" ht="15" customHeight="1">
      <c r="A49" s="172"/>
      <c r="B49" s="173"/>
      <c r="D49" s="163"/>
      <c r="E49" s="164"/>
      <c r="H49" s="100"/>
      <c r="O49" s="113"/>
      <c r="P49" s="113"/>
      <c r="S49" s="94"/>
      <c r="V49" s="94"/>
    </row>
    <row r="50" spans="1:22" ht="15" customHeight="1">
      <c r="A50" s="172"/>
      <c r="B50" s="173"/>
      <c r="D50" s="163"/>
      <c r="E50" s="164"/>
      <c r="H50" s="100"/>
      <c r="O50" s="113"/>
      <c r="P50" s="113"/>
      <c r="S50" s="94"/>
      <c r="V50" s="94"/>
    </row>
    <row r="51" spans="1:22" ht="15" customHeight="1">
      <c r="A51" s="172"/>
      <c r="B51" s="173"/>
      <c r="D51" s="163"/>
      <c r="E51" s="164"/>
      <c r="H51" s="100"/>
      <c r="O51" s="113"/>
      <c r="P51" s="113"/>
      <c r="S51" s="94"/>
      <c r="V51" s="94"/>
    </row>
    <row r="52" spans="1:22" ht="15" customHeight="1">
      <c r="A52" s="172"/>
      <c r="B52" s="173"/>
      <c r="D52" s="163"/>
      <c r="E52" s="164"/>
      <c r="H52" s="100"/>
      <c r="O52" s="113"/>
      <c r="P52" s="113"/>
      <c r="S52" s="94"/>
      <c r="T52" s="97"/>
      <c r="U52" s="97"/>
      <c r="V52" s="94"/>
    </row>
    <row r="53" spans="1:22" ht="15" customHeight="1">
      <c r="A53" s="172"/>
      <c r="B53" s="173"/>
      <c r="D53" s="163"/>
      <c r="E53" s="164"/>
      <c r="H53" s="100"/>
      <c r="O53" s="113"/>
      <c r="P53" s="113"/>
      <c r="S53" s="94"/>
      <c r="T53" s="97"/>
      <c r="U53" s="97"/>
      <c r="V53" s="94"/>
    </row>
    <row r="54" spans="1:22" ht="15" customHeight="1">
      <c r="A54" s="172"/>
      <c r="B54" s="173"/>
      <c r="D54" s="163"/>
      <c r="E54" s="164"/>
      <c r="H54" s="100"/>
      <c r="O54" s="113"/>
      <c r="P54" s="113"/>
      <c r="S54" s="94"/>
      <c r="T54" s="97"/>
      <c r="U54" s="97"/>
      <c r="V54" s="94"/>
    </row>
    <row r="55" spans="1:22" ht="15" customHeight="1">
      <c r="A55" s="172"/>
      <c r="B55" s="173"/>
      <c r="D55" s="163"/>
      <c r="E55" s="164"/>
      <c r="H55" s="100"/>
      <c r="O55" s="113"/>
      <c r="P55" s="113"/>
      <c r="S55" s="94"/>
      <c r="V55" s="94"/>
    </row>
    <row r="56" spans="1:22" ht="15" customHeight="1">
      <c r="A56" s="172"/>
      <c r="B56" s="173"/>
      <c r="D56" s="163"/>
      <c r="E56" s="164"/>
      <c r="H56" s="100"/>
      <c r="O56" s="113"/>
      <c r="P56" s="113"/>
      <c r="S56" s="94"/>
      <c r="V56" s="94"/>
    </row>
    <row r="57" spans="1:22" ht="15" customHeight="1">
      <c r="A57" s="172"/>
      <c r="B57" s="173"/>
      <c r="D57" s="163"/>
      <c r="E57" s="164"/>
      <c r="H57" s="100"/>
      <c r="O57" s="113"/>
      <c r="P57" s="113"/>
      <c r="S57" s="94"/>
      <c r="V57" s="94"/>
    </row>
    <row r="58" spans="1:22" ht="15" customHeight="1">
      <c r="A58" s="172"/>
      <c r="B58" s="173"/>
      <c r="D58" s="163"/>
      <c r="E58" s="164"/>
      <c r="H58" s="100"/>
      <c r="O58" s="113"/>
      <c r="P58" s="113"/>
      <c r="S58" s="94"/>
      <c r="V58" s="94"/>
    </row>
    <row r="59" spans="1:22" ht="15" customHeight="1">
      <c r="A59" s="172"/>
      <c r="B59" s="173"/>
      <c r="D59" s="163"/>
      <c r="E59" s="164"/>
      <c r="H59" s="100"/>
      <c r="O59" s="113"/>
      <c r="P59" s="113"/>
      <c r="S59" s="94"/>
      <c r="V59" s="94"/>
    </row>
    <row r="60" spans="1:22" ht="15" customHeight="1">
      <c r="A60" s="172"/>
      <c r="B60" s="173"/>
      <c r="D60" s="163"/>
      <c r="E60" s="164"/>
      <c r="H60" s="100"/>
      <c r="O60" s="113"/>
      <c r="P60" s="113"/>
      <c r="S60" s="94"/>
      <c r="V60" s="94"/>
    </row>
    <row r="61" spans="1:22" ht="15" customHeight="1">
      <c r="A61" s="172"/>
      <c r="B61" s="173"/>
      <c r="D61" s="163"/>
      <c r="E61" s="164"/>
      <c r="H61" s="100"/>
      <c r="O61" s="113"/>
      <c r="P61" s="113"/>
      <c r="S61" s="94"/>
      <c r="V61" s="94"/>
    </row>
    <row r="62" spans="1:22" ht="15" customHeight="1">
      <c r="A62" s="177"/>
      <c r="B62" s="178"/>
      <c r="D62" s="167"/>
      <c r="E62" s="168"/>
      <c r="H62" s="100"/>
      <c r="O62" s="113"/>
      <c r="P62" s="113"/>
      <c r="S62" s="94"/>
      <c r="V62" s="94"/>
    </row>
    <row r="63" spans="1:22" ht="15" customHeight="1">
      <c r="H63" s="100"/>
    </row>
    <row r="64" spans="1:22" ht="15" customHeight="1">
      <c r="H64" s="100"/>
    </row>
    <row r="65" spans="8:8" ht="15" customHeight="1">
      <c r="H65" s="100"/>
    </row>
    <row r="66" spans="8:8" ht="15" customHeight="1">
      <c r="H66" s="100"/>
    </row>
    <row r="67" spans="8:8" ht="15" customHeight="1">
      <c r="H67" s="100"/>
    </row>
    <row r="68" spans="8:8" ht="15" customHeight="1">
      <c r="H68" s="100"/>
    </row>
    <row r="69" spans="8:8" ht="15" customHeight="1">
      <c r="H69" s="100"/>
    </row>
    <row r="70" spans="8:8" ht="15" customHeight="1">
      <c r="H70" s="100"/>
    </row>
    <row r="71" spans="8:8" ht="15" customHeight="1">
      <c r="H71" s="100"/>
    </row>
    <row r="72" spans="8:8" ht="15" customHeight="1">
      <c r="H72" s="100"/>
    </row>
    <row r="73" spans="8:8" ht="15" customHeight="1">
      <c r="H73" s="100"/>
    </row>
    <row r="74" spans="8:8" ht="15" customHeight="1">
      <c r="H74" s="100"/>
    </row>
    <row r="75" spans="8:8" ht="15" customHeight="1">
      <c r="H75" s="100"/>
    </row>
    <row r="76" spans="8:8" ht="15" customHeight="1">
      <c r="H76" s="100"/>
    </row>
    <row r="77" spans="8:8" ht="15" customHeight="1">
      <c r="H77" s="100"/>
    </row>
    <row r="78" spans="8:8" ht="15" customHeight="1">
      <c r="H78" s="100"/>
    </row>
    <row r="79" spans="8:8" ht="15" customHeight="1">
      <c r="H79" s="100"/>
    </row>
    <row r="80" spans="8:8" ht="15" customHeight="1">
      <c r="H80" s="100"/>
    </row>
    <row r="81" spans="8:8" ht="15" customHeight="1">
      <c r="H81" s="100"/>
    </row>
    <row r="82" spans="8:8" ht="15" customHeight="1">
      <c r="H82" s="100"/>
    </row>
    <row r="83" spans="8:8" ht="15" customHeight="1">
      <c r="H83" s="100"/>
    </row>
    <row r="84" spans="8:8" ht="15" customHeight="1">
      <c r="H84" s="100"/>
    </row>
    <row r="85" spans="8:8" ht="15" customHeight="1">
      <c r="H85" s="100"/>
    </row>
    <row r="86" spans="8:8" ht="15" customHeight="1">
      <c r="H86" s="100"/>
    </row>
    <row r="87" spans="8:8" ht="15" customHeight="1">
      <c r="H87" s="100"/>
    </row>
    <row r="88" spans="8:8" ht="15" customHeight="1">
      <c r="H88" s="100"/>
    </row>
    <row r="89" spans="8:8" ht="15" customHeight="1">
      <c r="H89" s="100"/>
    </row>
    <row r="90" spans="8:8" ht="15" customHeight="1">
      <c r="H90" s="100"/>
    </row>
    <row r="91" spans="8:8" ht="15" customHeight="1">
      <c r="H91" s="100"/>
    </row>
    <row r="92" spans="8:8" ht="15" customHeight="1">
      <c r="H92" s="100"/>
    </row>
    <row r="93" spans="8:8" ht="15" customHeight="1">
      <c r="H93" s="100"/>
    </row>
    <row r="94" spans="8:8" ht="15" customHeight="1">
      <c r="H94" s="100"/>
    </row>
    <row r="95" spans="8:8" ht="15" customHeight="1">
      <c r="H95" s="100"/>
    </row>
    <row r="96" spans="8:8" ht="15" customHeight="1">
      <c r="H96" s="100"/>
    </row>
    <row r="97" spans="8:8" ht="15" customHeight="1">
      <c r="H97" s="100"/>
    </row>
    <row r="98" spans="8:8" ht="15" customHeight="1">
      <c r="H98" s="100"/>
    </row>
    <row r="99" spans="8:8" ht="15" customHeight="1">
      <c r="H99" s="100"/>
    </row>
    <row r="100" spans="8:8" ht="15" customHeight="1">
      <c r="H100" s="100"/>
    </row>
    <row r="101" spans="8:8" ht="15" customHeight="1">
      <c r="H101" s="100"/>
    </row>
    <row r="102" spans="8:8" ht="15" customHeight="1">
      <c r="H102" s="100"/>
    </row>
    <row r="103" spans="8:8" ht="15" customHeight="1">
      <c r="H103" s="101"/>
    </row>
    <row r="104" spans="8:8" ht="15" customHeight="1">
      <c r="H104" s="102"/>
    </row>
    <row r="105" spans="8:8" ht="15" customHeight="1">
      <c r="H105" s="102"/>
    </row>
    <row r="106" spans="8:8" ht="15" customHeight="1">
      <c r="H106" s="102"/>
    </row>
    <row r="107" spans="8:8" ht="15" customHeight="1">
      <c r="H107" s="102"/>
    </row>
    <row r="108" spans="8:8" ht="15" customHeight="1">
      <c r="H108" s="102"/>
    </row>
    <row r="109" spans="8:8" ht="15" customHeight="1">
      <c r="H109" s="102"/>
    </row>
    <row r="110" spans="8:8" ht="15" customHeight="1">
      <c r="H110" s="102"/>
    </row>
    <row r="111" spans="8:8" ht="15" customHeight="1">
      <c r="H111" s="102"/>
    </row>
    <row r="112" spans="8:8" ht="15" customHeight="1">
      <c r="H112" s="102"/>
    </row>
    <row r="113" spans="8:8" ht="15" customHeight="1">
      <c r="H113" s="102"/>
    </row>
    <row r="114" spans="8:8" ht="15" customHeight="1">
      <c r="H114" s="102"/>
    </row>
    <row r="115" spans="8:8" ht="15" customHeight="1">
      <c r="H115" s="102"/>
    </row>
    <row r="116" spans="8:8" ht="15" customHeight="1">
      <c r="H116" s="102"/>
    </row>
    <row r="117" spans="8:8" ht="15" customHeight="1">
      <c r="H117" s="102"/>
    </row>
    <row r="118" spans="8:8" ht="15" customHeight="1">
      <c r="H118" s="102"/>
    </row>
    <row r="119" spans="8:8" ht="15" customHeight="1">
      <c r="H119" s="102"/>
    </row>
    <row r="120" spans="8:8" ht="15" customHeight="1">
      <c r="H120" s="102"/>
    </row>
    <row r="121" spans="8:8" ht="15" customHeight="1">
      <c r="H121" s="102"/>
    </row>
    <row r="122" spans="8:8" ht="15" customHeight="1">
      <c r="H122" s="102"/>
    </row>
    <row r="123" spans="8:8" ht="15" customHeight="1">
      <c r="H123" s="102"/>
    </row>
    <row r="124" spans="8:8" ht="15" customHeight="1">
      <c r="H124" s="102"/>
    </row>
    <row r="125" spans="8:8" ht="15" customHeight="1">
      <c r="H125" s="102"/>
    </row>
    <row r="126" spans="8:8" ht="15" customHeight="1">
      <c r="H126" s="102"/>
    </row>
    <row r="127" spans="8:8" ht="15" customHeight="1">
      <c r="H127" s="102"/>
    </row>
    <row r="128" spans="8:8" ht="15" customHeight="1">
      <c r="H128" s="102"/>
    </row>
    <row r="129" spans="8:8" ht="15" customHeight="1">
      <c r="H129" s="102"/>
    </row>
    <row r="130" spans="8:8" ht="15" customHeight="1">
      <c r="H130" s="102"/>
    </row>
    <row r="131" spans="8:8" ht="15" customHeight="1">
      <c r="H131" s="102"/>
    </row>
    <row r="132" spans="8:8" ht="15" customHeight="1">
      <c r="H132" s="102"/>
    </row>
    <row r="133" spans="8:8" ht="15" customHeight="1">
      <c r="H133" s="102"/>
    </row>
    <row r="134" spans="8:8" ht="15" customHeight="1">
      <c r="H134" s="102"/>
    </row>
    <row r="135" spans="8:8" ht="15" customHeight="1">
      <c r="H135" s="102"/>
    </row>
    <row r="136" spans="8:8" ht="15" customHeight="1">
      <c r="H136" s="102"/>
    </row>
    <row r="137" spans="8:8" ht="15" customHeight="1">
      <c r="H137" s="102"/>
    </row>
    <row r="138" spans="8:8" ht="15" customHeight="1">
      <c r="H138" s="102"/>
    </row>
    <row r="139" spans="8:8" ht="15" customHeight="1">
      <c r="H139" s="102"/>
    </row>
    <row r="140" spans="8:8" ht="15" customHeight="1">
      <c r="H140" s="102"/>
    </row>
    <row r="141" spans="8:8" ht="15" customHeight="1">
      <c r="H141" s="102"/>
    </row>
    <row r="142" spans="8:8" ht="15" customHeight="1">
      <c r="H142" s="102"/>
    </row>
    <row r="143" spans="8:8" ht="15" customHeight="1">
      <c r="H143" s="102"/>
    </row>
    <row r="144" spans="8:8" ht="15" customHeight="1">
      <c r="H144" s="102"/>
    </row>
    <row r="145" spans="8:8" ht="15" customHeight="1">
      <c r="H145" s="102"/>
    </row>
    <row r="146" spans="8:8" ht="15" customHeight="1">
      <c r="H146" s="102"/>
    </row>
    <row r="147" spans="8:8" ht="15" customHeight="1">
      <c r="H147" s="102"/>
    </row>
    <row r="148" spans="8:8" ht="15" customHeight="1">
      <c r="H148" s="102"/>
    </row>
    <row r="149" spans="8:8" ht="15" customHeight="1">
      <c r="H149" s="102"/>
    </row>
    <row r="150" spans="8:8" ht="15" customHeight="1">
      <c r="H150" s="102"/>
    </row>
    <row r="151" spans="8:8" ht="15" customHeight="1">
      <c r="H151" s="102"/>
    </row>
    <row r="152" spans="8:8" ht="15" customHeight="1">
      <c r="H152" s="102"/>
    </row>
    <row r="153" spans="8:8" ht="15" customHeight="1">
      <c r="H153" s="102"/>
    </row>
    <row r="154" spans="8:8" ht="15" customHeight="1">
      <c r="H154" s="102"/>
    </row>
    <row r="155" spans="8:8" ht="15" customHeight="1">
      <c r="H155" s="102"/>
    </row>
    <row r="156" spans="8:8" ht="15" customHeight="1">
      <c r="H156" s="102"/>
    </row>
    <row r="157" spans="8:8" ht="15" customHeight="1">
      <c r="H157" s="102"/>
    </row>
    <row r="158" spans="8:8" ht="15" customHeight="1">
      <c r="H158" s="102"/>
    </row>
    <row r="159" spans="8:8" ht="15" customHeight="1">
      <c r="H159" s="102"/>
    </row>
    <row r="160" spans="8:8" ht="15" customHeight="1">
      <c r="H160" s="102"/>
    </row>
    <row r="161" spans="8:8" ht="15" customHeight="1">
      <c r="H161" s="102"/>
    </row>
    <row r="162" spans="8:8" ht="15" customHeight="1">
      <c r="H162" s="102"/>
    </row>
    <row r="163" spans="8:8" ht="15" customHeight="1">
      <c r="H163" s="102"/>
    </row>
    <row r="164" spans="8:8" ht="15" customHeight="1">
      <c r="H164" s="102"/>
    </row>
    <row r="165" spans="8:8" ht="15" customHeight="1">
      <c r="H165" s="102"/>
    </row>
    <row r="166" spans="8:8" ht="15" customHeight="1">
      <c r="H166" s="102"/>
    </row>
    <row r="167" spans="8:8" ht="15" customHeight="1">
      <c r="H167" s="102"/>
    </row>
    <row r="168" spans="8:8" ht="15" customHeight="1">
      <c r="H168" s="102"/>
    </row>
    <row r="169" spans="8:8" ht="15" customHeight="1">
      <c r="H169" s="102"/>
    </row>
    <row r="170" spans="8:8" ht="15" customHeight="1">
      <c r="H170" s="102"/>
    </row>
    <row r="171" spans="8:8" ht="15" customHeight="1">
      <c r="H171" s="102"/>
    </row>
    <row r="172" spans="8:8" ht="15" customHeight="1">
      <c r="H172" s="102"/>
    </row>
    <row r="173" spans="8:8" ht="15" customHeight="1">
      <c r="H173" s="102"/>
    </row>
    <row r="174" spans="8:8" ht="15" customHeight="1">
      <c r="H174" s="102"/>
    </row>
    <row r="175" spans="8:8" ht="15" customHeight="1">
      <c r="H175" s="102"/>
    </row>
    <row r="176" spans="8:8" ht="15" customHeight="1">
      <c r="H176" s="102"/>
    </row>
    <row r="177" spans="8:8" ht="15" customHeight="1">
      <c r="H177" s="102"/>
    </row>
    <row r="178" spans="8:8" ht="15" customHeight="1">
      <c r="H178" s="102"/>
    </row>
    <row r="179" spans="8:8" ht="15" customHeight="1">
      <c r="H179" s="102"/>
    </row>
    <row r="180" spans="8:8" ht="15" customHeight="1">
      <c r="H180" s="102"/>
    </row>
    <row r="181" spans="8:8" ht="15" customHeight="1">
      <c r="H181" s="102"/>
    </row>
    <row r="182" spans="8:8" ht="15" customHeight="1">
      <c r="H182" s="102"/>
    </row>
    <row r="183" spans="8:8" ht="15" customHeight="1">
      <c r="H183" s="96"/>
    </row>
  </sheetData>
  <sheetProtection selectLockedCells="1"/>
  <customSheetViews>
    <customSheetView guid="{809E84AF-EE5E-4456-99E6-0390B35F6AD9}" scale="80" showGridLines="0">
      <pageMargins left="0.75" right="0.75" top="1" bottom="1" header="0.51200000000000001" footer="0.51200000000000001"/>
      <pageSetup paperSize="9" scale="63" orientation="portrait" verticalDpi="360" r:id="rId1"/>
      <headerFooter alignWithMargins="0"/>
    </customSheetView>
    <customSheetView guid="{898DF6CC-64C7-4F2D-A13E-0A476B60DF75}" scale="80" showGridLines="0">
      <pageMargins left="0.75" right="0.75" top="1" bottom="1" header="0.51200000000000001" footer="0.51200000000000001"/>
      <pageSetup paperSize="9" scale="63" orientation="portrait" verticalDpi="360" r:id="rId2"/>
      <headerFooter alignWithMargins="0"/>
    </customSheetView>
    <customSheetView guid="{1D8BE6F4-405A-4FC6-B1E3-D9618F9FD7A8}" scale="80" showGridLines="0">
      <pageMargins left="0.75" right="0.75" top="1" bottom="1" header="0.51200000000000001" footer="0.51200000000000001"/>
      <pageSetup paperSize="9" scale="63" orientation="portrait" verticalDpi="360" r:id="rId3"/>
      <headerFooter alignWithMargins="0"/>
    </customSheetView>
    <customSheetView guid="{11FF3D1A-B611-4935-A0EC-72FFAD7F9EAF}" scale="80" showGridLines="0">
      <selection activeCell="B6" sqref="B6"/>
      <pageMargins left="0.75" right="0.75" top="1" bottom="1" header="0.51200000000000001" footer="0.51200000000000001"/>
      <pageSetup paperSize="9" scale="63" orientation="portrait" verticalDpi="360" r:id="rId4"/>
      <headerFooter alignWithMargins="0"/>
    </customSheetView>
  </customSheetViews>
  <mergeCells count="2">
    <mergeCell ref="Q19:R19"/>
    <mergeCell ref="Q24:R24"/>
  </mergeCells>
  <phoneticPr fontId="4"/>
  <dataValidations xWindow="383" yWindow="390"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5"/>
  <headerFooter alignWithMargins="0">
    <oddFooter>&amp;R&amp;"Arial,標準"&amp;8Sharp Business Solutions Corporation&amp;C&amp;P / &amp;N</oddFoot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8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9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10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C53"/>
  <sheetViews>
    <sheetView showGridLines="0" zoomScaleNormal="100" workbookViewId="0">
      <pane ySplit="1" topLeftCell="A2" activePane="bottomLeft" state="frozen"/>
      <selection activeCell="A9" sqref="A9"/>
      <selection pane="bottomLeft" activeCell="M24" sqref="M24"/>
    </sheetView>
  </sheetViews>
  <sheetFormatPr defaultRowHeight="15" customHeight="1"/>
  <cols>
    <col min="1" max="1" width="9.140625" style="134"/>
    <col min="2" max="2" width="80.7109375" style="135" customWidth="1"/>
    <col min="3" max="3" width="9.140625" style="108"/>
    <col min="4" max="16384" width="9.140625" style="109"/>
  </cols>
  <sheetData>
    <row r="1" spans="1:3" ht="15" customHeight="1">
      <c r="A1" s="107" t="s">
        <v>260</v>
      </c>
      <c r="B1" s="107" t="s">
        <v>278</v>
      </c>
    </row>
    <row r="2" spans="1:3" ht="15" customHeight="1">
      <c r="A2" s="110"/>
      <c r="B2" s="111" t="s">
        <v>314</v>
      </c>
      <c r="C2" s="109"/>
    </row>
    <row r="3" spans="1:3" ht="15" customHeight="1">
      <c r="A3" s="129">
        <v>1</v>
      </c>
      <c r="B3" s="130" t="s">
        <v>279</v>
      </c>
    </row>
    <row r="4" spans="1:3" ht="15" customHeight="1">
      <c r="A4" s="129">
        <v>2</v>
      </c>
      <c r="B4" s="130" t="s">
        <v>280</v>
      </c>
    </row>
    <row r="5" spans="1:3" ht="15" customHeight="1">
      <c r="A5" s="129">
        <v>3</v>
      </c>
      <c r="B5" s="130" t="s">
        <v>281</v>
      </c>
    </row>
    <row r="6" spans="1:3" ht="15" customHeight="1">
      <c r="A6" s="129">
        <v>4</v>
      </c>
      <c r="B6" s="130" t="s">
        <v>282</v>
      </c>
    </row>
    <row r="7" spans="1:3" ht="15" customHeight="1">
      <c r="A7" s="129">
        <v>5</v>
      </c>
      <c r="B7" s="130"/>
    </row>
    <row r="8" spans="1:3" ht="15" customHeight="1">
      <c r="A8" s="129"/>
      <c r="B8" s="130"/>
    </row>
    <row r="9" spans="1:3" ht="15" customHeight="1">
      <c r="A9" s="129">
        <v>10</v>
      </c>
      <c r="B9" s="130" t="s">
        <v>315</v>
      </c>
    </row>
    <row r="10" spans="1:3" ht="15" customHeight="1">
      <c r="A10" s="129"/>
      <c r="B10" s="130"/>
    </row>
    <row r="11" spans="1:3" ht="15" customHeight="1">
      <c r="A11" s="129"/>
      <c r="B11" s="130"/>
    </row>
    <row r="12" spans="1:3" ht="15" customHeight="1">
      <c r="A12" s="129"/>
      <c r="B12" s="130"/>
    </row>
    <row r="13" spans="1:3" ht="15" customHeight="1">
      <c r="A13" s="129">
        <v>100</v>
      </c>
      <c r="B13" s="130" t="s">
        <v>283</v>
      </c>
    </row>
    <row r="14" spans="1:3" ht="15" customHeight="1">
      <c r="A14" s="129"/>
      <c r="B14" s="130"/>
    </row>
    <row r="15" spans="1:3" ht="15" customHeight="1">
      <c r="A15" s="129">
        <v>200</v>
      </c>
      <c r="B15" s="130" t="s">
        <v>284</v>
      </c>
    </row>
    <row r="16" spans="1:3" ht="15" customHeight="1">
      <c r="A16" s="129">
        <v>201</v>
      </c>
      <c r="B16" s="130" t="s">
        <v>285</v>
      </c>
    </row>
    <row r="17" spans="1:2" ht="15" customHeight="1">
      <c r="A17" s="129">
        <v>202</v>
      </c>
      <c r="B17" s="130" t="s">
        <v>286</v>
      </c>
    </row>
    <row r="18" spans="1:2" ht="15" customHeight="1">
      <c r="A18" s="129">
        <v>203</v>
      </c>
      <c r="B18" s="130" t="s">
        <v>287</v>
      </c>
    </row>
    <row r="19" spans="1:2" ht="15" customHeight="1">
      <c r="A19" s="129">
        <v>204</v>
      </c>
      <c r="B19" s="130" t="s">
        <v>288</v>
      </c>
    </row>
    <row r="20" spans="1:2" ht="15" customHeight="1">
      <c r="A20" s="129">
        <v>205</v>
      </c>
      <c r="B20" s="130" t="s">
        <v>289</v>
      </c>
    </row>
    <row r="21" spans="1:2" ht="15" customHeight="1">
      <c r="A21" s="129"/>
      <c r="B21" s="130"/>
    </row>
    <row r="22" spans="1:2" ht="15" customHeight="1">
      <c r="A22" s="129"/>
      <c r="B22" s="133"/>
    </row>
    <row r="23" spans="1:2" ht="15" customHeight="1">
      <c r="A23" s="129"/>
      <c r="B23" s="130"/>
    </row>
    <row r="24" spans="1:2" ht="15" customHeight="1">
      <c r="A24" s="110"/>
      <c r="B24" s="111" t="s">
        <v>316</v>
      </c>
    </row>
    <row r="25" spans="1:2" ht="15" customHeight="1">
      <c r="A25" s="129">
        <v>400</v>
      </c>
      <c r="B25" s="133" t="s">
        <v>317</v>
      </c>
    </row>
    <row r="26" spans="1:2" ht="15" customHeight="1">
      <c r="A26" s="129">
        <v>401</v>
      </c>
      <c r="B26" s="130" t="s">
        <v>290</v>
      </c>
    </row>
    <row r="27" spans="1:2" ht="15" customHeight="1">
      <c r="A27" s="129">
        <v>402</v>
      </c>
      <c r="B27" s="130" t="s">
        <v>291</v>
      </c>
    </row>
    <row r="28" spans="1:2" ht="15" customHeight="1">
      <c r="A28" s="129">
        <v>403</v>
      </c>
      <c r="B28" s="133" t="s">
        <v>318</v>
      </c>
    </row>
    <row r="29" spans="1:2" ht="15" customHeight="1">
      <c r="A29" s="129">
        <v>404</v>
      </c>
      <c r="B29" s="130" t="s">
        <v>319</v>
      </c>
    </row>
    <row r="30" spans="1:2" ht="15" customHeight="1">
      <c r="A30" s="129">
        <v>405</v>
      </c>
      <c r="B30" s="130" t="s">
        <v>292</v>
      </c>
    </row>
    <row r="31" spans="1:2" ht="15" customHeight="1">
      <c r="A31" s="129">
        <v>406</v>
      </c>
      <c r="B31" s="130" t="s">
        <v>293</v>
      </c>
    </row>
    <row r="32" spans="1:2" ht="15" customHeight="1">
      <c r="A32" s="129">
        <v>407</v>
      </c>
      <c r="B32" s="133" t="s">
        <v>320</v>
      </c>
    </row>
    <row r="33" spans="1:2" ht="15" customHeight="1">
      <c r="A33" s="129">
        <v>408</v>
      </c>
      <c r="B33" s="130" t="s">
        <v>294</v>
      </c>
    </row>
    <row r="34" spans="1:2" ht="15" customHeight="1">
      <c r="A34" s="129">
        <v>409</v>
      </c>
      <c r="B34" s="133" t="s">
        <v>321</v>
      </c>
    </row>
    <row r="35" spans="1:2" ht="15" customHeight="1">
      <c r="A35" s="129">
        <v>410</v>
      </c>
      <c r="B35" s="130" t="s">
        <v>322</v>
      </c>
    </row>
    <row r="36" spans="1:2" ht="15" customHeight="1">
      <c r="A36" s="129"/>
      <c r="B36" s="133"/>
    </row>
    <row r="37" spans="1:2" ht="15" customHeight="1">
      <c r="A37" s="129"/>
      <c r="B37" s="133"/>
    </row>
    <row r="38" spans="1:2" ht="15" customHeight="1">
      <c r="A38" s="129"/>
      <c r="B38" s="133"/>
    </row>
    <row r="39" spans="1:2" ht="15" customHeight="1">
      <c r="A39" s="129"/>
      <c r="B39" s="133"/>
    </row>
    <row r="40" spans="1:2" ht="15" customHeight="1">
      <c r="A40" s="129"/>
      <c r="B40" s="133"/>
    </row>
    <row r="41" spans="1:2" ht="15" customHeight="1">
      <c r="A41" s="129"/>
      <c r="B41" s="133"/>
    </row>
    <row r="42" spans="1:2" ht="15" customHeight="1">
      <c r="A42" s="129"/>
      <c r="B42" s="133"/>
    </row>
    <row r="43" spans="1:2" ht="15" customHeight="1">
      <c r="A43" s="110"/>
      <c r="B43" s="111" t="s">
        <v>323</v>
      </c>
    </row>
    <row r="44" spans="1:2" ht="15" customHeight="1">
      <c r="A44" s="129"/>
      <c r="B44" s="130"/>
    </row>
    <row r="45" spans="1:2" ht="15" customHeight="1">
      <c r="A45" s="129"/>
      <c r="B45" s="130"/>
    </row>
    <row r="46" spans="1:2" ht="15" customHeight="1">
      <c r="A46" s="129"/>
      <c r="B46" s="130"/>
    </row>
    <row r="47" spans="1:2" ht="15" customHeight="1">
      <c r="A47" s="129"/>
      <c r="B47" s="130"/>
    </row>
    <row r="48" spans="1:2" ht="15" customHeight="1">
      <c r="A48" s="110"/>
      <c r="B48" s="111"/>
    </row>
    <row r="49" spans="1:2" ht="15" customHeight="1">
      <c r="A49" s="129">
        <v>9</v>
      </c>
      <c r="B49" s="130" t="s">
        <v>295</v>
      </c>
    </row>
    <row r="50" spans="1:2" ht="15" customHeight="1">
      <c r="A50" s="129">
        <v>13</v>
      </c>
      <c r="B50" s="130" t="s">
        <v>296</v>
      </c>
    </row>
    <row r="51" spans="1:2" ht="15" customHeight="1">
      <c r="A51" s="129">
        <v>53</v>
      </c>
      <c r="B51" s="130" t="s">
        <v>313</v>
      </c>
    </row>
    <row r="52" spans="1:2" ht="15" customHeight="1">
      <c r="A52" s="129">
        <v>91</v>
      </c>
      <c r="B52" s="130" t="s">
        <v>297</v>
      </c>
    </row>
    <row r="53" spans="1:2" ht="15" customHeight="1">
      <c r="A53" s="131">
        <v>1004</v>
      </c>
      <c r="B53" s="132" t="s">
        <v>298</v>
      </c>
    </row>
  </sheetData>
  <phoneticPr fontId="1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O73"/>
  <sheetViews>
    <sheetView showGridLines="0" topLeftCell="L1" zoomScaleNormal="100" workbookViewId="0">
      <pane ySplit="2" topLeftCell="A15" activePane="bottomLeft" state="frozen"/>
      <selection activeCell="A9" sqref="A9"/>
      <selection pane="bottomLeft" activeCell="M3" sqref="M3:M40"/>
    </sheetView>
  </sheetViews>
  <sheetFormatPr defaultRowHeight="20.100000000000001" customHeight="1"/>
  <cols>
    <col min="1" max="1" width="23.42578125" style="127" customWidth="1"/>
    <col min="2" max="2" width="31.28515625" style="127" customWidth="1"/>
    <col min="3" max="3" width="64.42578125" style="127" customWidth="1"/>
    <col min="4" max="4" width="23.42578125" style="127" customWidth="1"/>
    <col min="5" max="5" width="31.28515625" style="127" customWidth="1"/>
    <col min="6" max="6" width="64.42578125" style="127" customWidth="1"/>
    <col min="7" max="7" width="23.42578125" style="127" customWidth="1"/>
    <col min="8" max="8" width="31.28515625" style="127" customWidth="1"/>
    <col min="9" max="9" width="64.42578125" style="127" customWidth="1"/>
    <col min="10" max="10" width="23.42578125" style="127" customWidth="1"/>
    <col min="11" max="11" width="31.28515625" style="127" customWidth="1"/>
    <col min="12" max="12" width="64.42578125" style="127" customWidth="1"/>
    <col min="13" max="13" width="23.42578125" style="127" customWidth="1"/>
    <col min="14" max="14" width="31.28515625" style="127" customWidth="1"/>
    <col min="15" max="15" width="64.42578125" style="127" customWidth="1"/>
    <col min="16" max="16384" width="9.140625" style="127"/>
  </cols>
  <sheetData>
    <row r="1" spans="1:15" ht="20.100000000000001" customHeight="1">
      <c r="A1" s="147" t="s">
        <v>130</v>
      </c>
      <c r="B1" s="148"/>
      <c r="C1" s="149"/>
      <c r="D1" s="147" t="s">
        <v>132</v>
      </c>
      <c r="E1" s="148"/>
      <c r="F1" s="149"/>
      <c r="G1" s="147" t="s">
        <v>135</v>
      </c>
      <c r="H1" s="148"/>
      <c r="I1" s="149"/>
      <c r="J1" s="147" t="s">
        <v>305</v>
      </c>
      <c r="K1" s="148"/>
      <c r="L1" s="149"/>
      <c r="M1" s="147" t="s">
        <v>255</v>
      </c>
      <c r="N1" s="148"/>
      <c r="O1" s="149"/>
    </row>
    <row r="2" spans="1:15" ht="20.100000000000001" customHeight="1">
      <c r="A2" s="150" t="s">
        <v>119</v>
      </c>
      <c r="B2" s="151" t="s">
        <v>299</v>
      </c>
      <c r="C2" s="152" t="s">
        <v>300</v>
      </c>
      <c r="D2" s="150" t="s">
        <v>119</v>
      </c>
      <c r="E2" s="151" t="s">
        <v>299</v>
      </c>
      <c r="F2" s="152" t="s">
        <v>300</v>
      </c>
      <c r="G2" s="150" t="s">
        <v>119</v>
      </c>
      <c r="H2" s="151" t="s">
        <v>299</v>
      </c>
      <c r="I2" s="152" t="s">
        <v>300</v>
      </c>
      <c r="J2" s="150" t="s">
        <v>119</v>
      </c>
      <c r="K2" s="151" t="s">
        <v>299</v>
      </c>
      <c r="L2" s="152" t="s">
        <v>300</v>
      </c>
      <c r="M2" s="150" t="s">
        <v>119</v>
      </c>
      <c r="N2" s="151" t="s">
        <v>299</v>
      </c>
      <c r="O2" s="152" t="s">
        <v>300</v>
      </c>
    </row>
    <row r="3" spans="1:15" ht="20.100000000000001" customHeight="1">
      <c r="A3" s="153" t="s">
        <v>59</v>
      </c>
      <c r="B3" s="153" t="s">
        <v>59</v>
      </c>
      <c r="C3" s="153" t="s">
        <v>73</v>
      </c>
      <c r="D3" s="153" t="s">
        <v>113</v>
      </c>
      <c r="E3" s="153"/>
      <c r="F3" s="153" t="s">
        <v>133</v>
      </c>
      <c r="G3" s="153" t="s">
        <v>136</v>
      </c>
      <c r="H3" s="153" t="s">
        <v>59</v>
      </c>
      <c r="I3" s="153" t="s">
        <v>137</v>
      </c>
      <c r="J3" s="153" t="s">
        <v>216</v>
      </c>
      <c r="K3" s="153" t="s">
        <v>216</v>
      </c>
      <c r="L3" s="153" t="s">
        <v>215</v>
      </c>
      <c r="M3" s="153" t="s">
        <v>358</v>
      </c>
      <c r="N3" s="153" t="s">
        <v>358</v>
      </c>
      <c r="O3" s="153" t="s">
        <v>359</v>
      </c>
    </row>
    <row r="4" spans="1:15" ht="20.100000000000001" customHeight="1">
      <c r="A4" s="154" t="s">
        <v>74</v>
      </c>
      <c r="B4" s="154" t="s">
        <v>37</v>
      </c>
      <c r="C4" s="154" t="s">
        <v>38</v>
      </c>
      <c r="D4" s="154" t="s">
        <v>75</v>
      </c>
      <c r="E4" s="154" t="s">
        <v>104</v>
      </c>
      <c r="F4" s="154" t="s">
        <v>24</v>
      </c>
      <c r="G4" s="154" t="s">
        <v>74</v>
      </c>
      <c r="H4" s="154" t="s">
        <v>37</v>
      </c>
      <c r="I4" s="154" t="s">
        <v>38</v>
      </c>
      <c r="J4" s="183" t="s">
        <v>9</v>
      </c>
      <c r="K4" s="183" t="s">
        <v>9</v>
      </c>
      <c r="L4" s="154" t="s">
        <v>155</v>
      </c>
      <c r="M4" s="183" t="s">
        <v>360</v>
      </c>
      <c r="N4" s="183" t="s">
        <v>360</v>
      </c>
      <c r="O4" s="183" t="s">
        <v>361</v>
      </c>
    </row>
    <row r="5" spans="1:15" ht="20.100000000000001" customHeight="1">
      <c r="A5" s="154" t="s">
        <v>75</v>
      </c>
      <c r="B5" s="154" t="s">
        <v>76</v>
      </c>
      <c r="C5" s="154" t="s">
        <v>24</v>
      </c>
      <c r="D5" s="154" t="s">
        <v>74</v>
      </c>
      <c r="E5" s="154" t="s">
        <v>95</v>
      </c>
      <c r="F5" s="154" t="s">
        <v>0</v>
      </c>
      <c r="G5" s="154" t="s">
        <v>75</v>
      </c>
      <c r="H5" s="154" t="s">
        <v>76</v>
      </c>
      <c r="I5" s="154" t="s">
        <v>138</v>
      </c>
      <c r="J5" s="154" t="s">
        <v>205</v>
      </c>
      <c r="K5" s="154" t="s">
        <v>182</v>
      </c>
      <c r="L5" s="154" t="s">
        <v>183</v>
      </c>
      <c r="M5" s="154" t="s">
        <v>362</v>
      </c>
      <c r="N5" s="154" t="s">
        <v>362</v>
      </c>
      <c r="O5" s="154" t="s">
        <v>56</v>
      </c>
    </row>
    <row r="6" spans="1:15" ht="20.100000000000001" customHeight="1">
      <c r="A6" s="154" t="s">
        <v>30</v>
      </c>
      <c r="B6" s="154" t="s">
        <v>30</v>
      </c>
      <c r="C6" s="154" t="s">
        <v>31</v>
      </c>
      <c r="D6" s="154" t="s">
        <v>30</v>
      </c>
      <c r="E6" s="154" t="s">
        <v>96</v>
      </c>
      <c r="F6" s="154" t="s">
        <v>134</v>
      </c>
      <c r="G6" s="154" t="s">
        <v>139</v>
      </c>
      <c r="H6" s="154" t="s">
        <v>140</v>
      </c>
      <c r="I6" s="154" t="s">
        <v>141</v>
      </c>
      <c r="J6" s="154" t="s">
        <v>14</v>
      </c>
      <c r="K6" s="154" t="s">
        <v>14</v>
      </c>
      <c r="L6" s="154" t="s">
        <v>188</v>
      </c>
      <c r="M6" s="154" t="s">
        <v>363</v>
      </c>
      <c r="N6" s="154" t="s">
        <v>363</v>
      </c>
      <c r="O6" s="154" t="s">
        <v>34</v>
      </c>
    </row>
    <row r="7" spans="1:15" ht="20.100000000000001" customHeight="1">
      <c r="A7" s="154" t="s">
        <v>131</v>
      </c>
      <c r="B7" s="154" t="s">
        <v>78</v>
      </c>
      <c r="C7" s="154" t="s">
        <v>65</v>
      </c>
      <c r="D7" s="154" t="s">
        <v>146</v>
      </c>
      <c r="E7" s="154" t="s">
        <v>93</v>
      </c>
      <c r="F7" s="154" t="s">
        <v>212</v>
      </c>
      <c r="G7" s="154" t="s">
        <v>150</v>
      </c>
      <c r="H7" s="154" t="s">
        <v>30</v>
      </c>
      <c r="I7" s="154" t="s">
        <v>31</v>
      </c>
      <c r="J7" s="154" t="s">
        <v>201</v>
      </c>
      <c r="K7" s="154" t="s">
        <v>81</v>
      </c>
      <c r="L7" s="154" t="s">
        <v>163</v>
      </c>
      <c r="M7" s="154" t="s">
        <v>364</v>
      </c>
      <c r="N7" s="154" t="s">
        <v>364</v>
      </c>
      <c r="O7" s="154" t="s">
        <v>365</v>
      </c>
    </row>
    <row r="8" spans="1:15" ht="20.100000000000001" customHeight="1">
      <c r="A8" s="154" t="s">
        <v>64</v>
      </c>
      <c r="B8" s="154" t="s">
        <v>78</v>
      </c>
      <c r="C8" s="154" t="s">
        <v>65</v>
      </c>
      <c r="D8" s="154" t="s">
        <v>64</v>
      </c>
      <c r="E8" s="154" t="s">
        <v>95</v>
      </c>
      <c r="F8" s="154" t="s">
        <v>108</v>
      </c>
      <c r="G8" s="154" t="s">
        <v>64</v>
      </c>
      <c r="H8" s="154" t="s">
        <v>78</v>
      </c>
      <c r="I8" s="154" t="s">
        <v>65</v>
      </c>
      <c r="J8" s="154" t="s">
        <v>30</v>
      </c>
      <c r="K8" s="154" t="s">
        <v>30</v>
      </c>
      <c r="L8" s="154" t="s">
        <v>173</v>
      </c>
      <c r="M8" s="154" t="s">
        <v>366</v>
      </c>
      <c r="N8" s="154" t="s">
        <v>366</v>
      </c>
      <c r="O8" s="154" t="s">
        <v>367</v>
      </c>
    </row>
    <row r="9" spans="1:15" ht="20.100000000000001" customHeight="1">
      <c r="A9" s="154" t="s">
        <v>79</v>
      </c>
      <c r="B9" s="154" t="s">
        <v>80</v>
      </c>
      <c r="C9" s="154" t="s">
        <v>25</v>
      </c>
      <c r="D9" s="154" t="s">
        <v>89</v>
      </c>
      <c r="E9" s="154" t="s">
        <v>96</v>
      </c>
      <c r="F9" s="154" t="s">
        <v>213</v>
      </c>
      <c r="G9" s="154" t="s">
        <v>79</v>
      </c>
      <c r="H9" s="154" t="s">
        <v>80</v>
      </c>
      <c r="I9" s="154" t="s">
        <v>25</v>
      </c>
      <c r="J9" s="154" t="s">
        <v>146</v>
      </c>
      <c r="K9" s="154" t="s">
        <v>146</v>
      </c>
      <c r="L9" s="154" t="s">
        <v>172</v>
      </c>
      <c r="M9" s="154" t="s">
        <v>368</v>
      </c>
      <c r="N9" s="154" t="s">
        <v>368</v>
      </c>
      <c r="O9" s="154" t="s">
        <v>369</v>
      </c>
    </row>
    <row r="10" spans="1:15" ht="20.100000000000001" customHeight="1">
      <c r="A10" s="154" t="s">
        <v>60</v>
      </c>
      <c r="B10" s="154" t="s">
        <v>60</v>
      </c>
      <c r="C10" s="154" t="s">
        <v>24</v>
      </c>
      <c r="D10" s="154" t="s">
        <v>60</v>
      </c>
      <c r="E10" s="154" t="s">
        <v>105</v>
      </c>
      <c r="F10" s="154"/>
      <c r="G10" s="154" t="s">
        <v>60</v>
      </c>
      <c r="H10" s="154" t="s">
        <v>60</v>
      </c>
      <c r="I10" s="154" t="s">
        <v>24</v>
      </c>
      <c r="J10" s="154" t="s">
        <v>175</v>
      </c>
      <c r="K10" s="154" t="s">
        <v>175</v>
      </c>
      <c r="L10" s="154" t="s">
        <v>176</v>
      </c>
      <c r="M10" s="154" t="s">
        <v>370</v>
      </c>
      <c r="N10" s="154" t="s">
        <v>370</v>
      </c>
      <c r="O10" s="154" t="s">
        <v>371</v>
      </c>
    </row>
    <row r="11" spans="1:15" ht="20.100000000000001" customHeight="1">
      <c r="A11" s="154" t="s">
        <v>32</v>
      </c>
      <c r="B11" s="154" t="s">
        <v>33</v>
      </c>
      <c r="C11" s="154" t="s">
        <v>34</v>
      </c>
      <c r="D11" s="154" t="s">
        <v>221</v>
      </c>
      <c r="E11" s="154" t="s">
        <v>93</v>
      </c>
      <c r="F11" s="154" t="s">
        <v>94</v>
      </c>
      <c r="G11" s="154" t="s">
        <v>142</v>
      </c>
      <c r="H11" s="154"/>
      <c r="I11" s="154"/>
      <c r="J11" s="154" t="s">
        <v>177</v>
      </c>
      <c r="K11" s="154" t="s">
        <v>177</v>
      </c>
      <c r="L11" s="154" t="s">
        <v>178</v>
      </c>
      <c r="M11" s="154" t="s">
        <v>372</v>
      </c>
      <c r="N11" s="154" t="s">
        <v>372</v>
      </c>
      <c r="O11" s="154" t="s">
        <v>373</v>
      </c>
    </row>
    <row r="12" spans="1:15" ht="20.100000000000001" customHeight="1">
      <c r="A12" s="154" t="s">
        <v>17</v>
      </c>
      <c r="B12" s="154" t="s">
        <v>18</v>
      </c>
      <c r="C12" s="154" t="s">
        <v>19</v>
      </c>
      <c r="D12" s="154" t="s">
        <v>222</v>
      </c>
      <c r="E12" s="154" t="s">
        <v>95</v>
      </c>
      <c r="F12" s="154" t="s">
        <v>102</v>
      </c>
      <c r="G12" s="154"/>
      <c r="H12" s="154"/>
      <c r="I12" s="154"/>
      <c r="J12" s="154" t="s">
        <v>198</v>
      </c>
      <c r="K12" s="154" t="s">
        <v>156</v>
      </c>
      <c r="L12" s="154" t="s">
        <v>157</v>
      </c>
      <c r="M12" s="154" t="s">
        <v>374</v>
      </c>
      <c r="N12" s="154" t="s">
        <v>374</v>
      </c>
      <c r="O12" s="154" t="s">
        <v>375</v>
      </c>
    </row>
    <row r="13" spans="1:15" ht="20.100000000000001" customHeight="1">
      <c r="A13" s="154" t="s">
        <v>57</v>
      </c>
      <c r="B13" s="154" t="s">
        <v>57</v>
      </c>
      <c r="C13" s="154" t="s">
        <v>58</v>
      </c>
      <c r="D13" s="154" t="s">
        <v>9</v>
      </c>
      <c r="E13" s="154" t="s">
        <v>93</v>
      </c>
      <c r="F13" s="154" t="s">
        <v>103</v>
      </c>
      <c r="G13" s="154"/>
      <c r="H13" s="154"/>
      <c r="I13" s="154"/>
      <c r="J13" s="154" t="s">
        <v>200</v>
      </c>
      <c r="K13" s="154" t="s">
        <v>160</v>
      </c>
      <c r="L13" s="154" t="s">
        <v>161</v>
      </c>
      <c r="M13" s="154" t="s">
        <v>376</v>
      </c>
      <c r="N13" s="154" t="s">
        <v>376</v>
      </c>
      <c r="O13" s="154" t="s">
        <v>377</v>
      </c>
    </row>
    <row r="14" spans="1:15" ht="20.100000000000001" customHeight="1">
      <c r="A14" s="154" t="s">
        <v>14</v>
      </c>
      <c r="B14" s="154" t="s">
        <v>14</v>
      </c>
      <c r="C14" s="154" t="s">
        <v>15</v>
      </c>
      <c r="D14" s="154" t="s">
        <v>223</v>
      </c>
      <c r="E14" s="154" t="s">
        <v>96</v>
      </c>
      <c r="F14" s="154" t="s">
        <v>97</v>
      </c>
      <c r="G14" s="154"/>
      <c r="H14" s="154"/>
      <c r="I14" s="154"/>
      <c r="J14" s="183" t="s">
        <v>74</v>
      </c>
      <c r="K14" s="183" t="s">
        <v>74</v>
      </c>
      <c r="L14" s="154" t="s">
        <v>154</v>
      </c>
      <c r="M14" s="183" t="s">
        <v>378</v>
      </c>
      <c r="N14" s="183" t="s">
        <v>378</v>
      </c>
      <c r="O14" s="183" t="s">
        <v>379</v>
      </c>
    </row>
    <row r="15" spans="1:15" ht="20.100000000000001" customHeight="1">
      <c r="A15" s="154" t="s">
        <v>12</v>
      </c>
      <c r="B15" s="154" t="s">
        <v>13</v>
      </c>
      <c r="C15" s="154" t="s">
        <v>82</v>
      </c>
      <c r="D15" s="154" t="s">
        <v>57</v>
      </c>
      <c r="E15" s="154" t="s">
        <v>98</v>
      </c>
      <c r="F15" s="154" t="s">
        <v>99</v>
      </c>
      <c r="G15" s="154"/>
      <c r="H15" s="154"/>
      <c r="I15" s="154"/>
      <c r="J15" s="154" t="s">
        <v>46</v>
      </c>
      <c r="K15" s="154" t="s">
        <v>46</v>
      </c>
      <c r="L15" s="154" t="s">
        <v>181</v>
      </c>
      <c r="M15" s="154" t="s">
        <v>380</v>
      </c>
      <c r="N15" s="154" t="s">
        <v>380</v>
      </c>
      <c r="O15" s="154" t="s">
        <v>381</v>
      </c>
    </row>
    <row r="16" spans="1:15" ht="20.100000000000001" customHeight="1">
      <c r="A16" s="154" t="s">
        <v>10</v>
      </c>
      <c r="B16" s="154" t="s">
        <v>9</v>
      </c>
      <c r="C16" s="154" t="s">
        <v>11</v>
      </c>
      <c r="D16" s="154" t="s">
        <v>151</v>
      </c>
      <c r="E16" s="154" t="s">
        <v>100</v>
      </c>
      <c r="F16" s="154" t="s">
        <v>101</v>
      </c>
      <c r="G16" s="154"/>
      <c r="H16" s="154"/>
      <c r="I16" s="154"/>
      <c r="J16" s="154" t="s">
        <v>203</v>
      </c>
      <c r="K16" s="154" t="s">
        <v>165</v>
      </c>
      <c r="L16" s="154" t="s">
        <v>166</v>
      </c>
      <c r="M16" s="154" t="s">
        <v>382</v>
      </c>
      <c r="N16" s="154" t="s">
        <v>382</v>
      </c>
      <c r="O16" s="154" t="s">
        <v>383</v>
      </c>
    </row>
    <row r="17" spans="1:15" ht="20.100000000000001" customHeight="1">
      <c r="A17" s="154" t="s">
        <v>26</v>
      </c>
      <c r="B17" s="154" t="s">
        <v>26</v>
      </c>
      <c r="C17" s="154" t="s">
        <v>27</v>
      </c>
      <c r="D17" s="154" t="s">
        <v>79</v>
      </c>
      <c r="E17" s="154" t="s">
        <v>104</v>
      </c>
      <c r="F17" s="154"/>
      <c r="G17" s="154"/>
      <c r="H17" s="154"/>
      <c r="I17" s="154"/>
      <c r="J17" s="154" t="s">
        <v>169</v>
      </c>
      <c r="K17" s="154" t="s">
        <v>169</v>
      </c>
      <c r="L17" s="154"/>
      <c r="M17" s="154" t="s">
        <v>384</v>
      </c>
      <c r="N17" s="154" t="s">
        <v>384</v>
      </c>
      <c r="O17" s="154" t="s">
        <v>385</v>
      </c>
    </row>
    <row r="18" spans="1:15" ht="20.100000000000001" customHeight="1">
      <c r="A18" s="154" t="s">
        <v>35</v>
      </c>
      <c r="B18" s="154" t="s">
        <v>35</v>
      </c>
      <c r="C18" s="154" t="s">
        <v>36</v>
      </c>
      <c r="D18" s="154" t="s">
        <v>224</v>
      </c>
      <c r="E18" s="154" t="s">
        <v>104</v>
      </c>
      <c r="F18" s="154"/>
      <c r="G18" s="154"/>
      <c r="H18" s="154"/>
      <c r="I18" s="154"/>
      <c r="J18" s="154" t="s">
        <v>199</v>
      </c>
      <c r="K18" s="154" t="s">
        <v>158</v>
      </c>
      <c r="L18" s="154" t="s">
        <v>159</v>
      </c>
      <c r="M18" s="154" t="s">
        <v>386</v>
      </c>
      <c r="N18" s="154" t="s">
        <v>386</v>
      </c>
      <c r="O18" s="154" t="s">
        <v>387</v>
      </c>
    </row>
    <row r="19" spans="1:15" ht="20.100000000000001" customHeight="1">
      <c r="A19" s="154" t="s">
        <v>44</v>
      </c>
      <c r="B19" s="154" t="s">
        <v>44</v>
      </c>
      <c r="C19" s="154" t="s">
        <v>45</v>
      </c>
      <c r="D19" s="154" t="s">
        <v>225</v>
      </c>
      <c r="E19" s="154" t="s">
        <v>106</v>
      </c>
      <c r="F19" s="154"/>
      <c r="G19" s="154"/>
      <c r="H19" s="154"/>
      <c r="I19" s="154"/>
      <c r="J19" s="154" t="s">
        <v>204</v>
      </c>
      <c r="K19" s="154" t="s">
        <v>167</v>
      </c>
      <c r="L19" s="154" t="s">
        <v>168</v>
      </c>
      <c r="M19" s="154" t="s">
        <v>388</v>
      </c>
      <c r="N19" s="154" t="s">
        <v>388</v>
      </c>
      <c r="O19" s="154" t="s">
        <v>389</v>
      </c>
    </row>
    <row r="20" spans="1:15" ht="20.100000000000001" customHeight="1">
      <c r="A20" s="154" t="s">
        <v>22</v>
      </c>
      <c r="B20" s="154" t="s">
        <v>22</v>
      </c>
      <c r="C20" s="154" t="s">
        <v>23</v>
      </c>
      <c r="D20" s="154" t="s">
        <v>226</v>
      </c>
      <c r="E20" s="154" t="s">
        <v>107</v>
      </c>
      <c r="F20" s="154"/>
      <c r="G20" s="154"/>
      <c r="H20" s="154"/>
      <c r="I20" s="154"/>
      <c r="J20" s="154" t="s">
        <v>55</v>
      </c>
      <c r="K20" s="154" t="s">
        <v>55</v>
      </c>
      <c r="L20" s="154" t="s">
        <v>162</v>
      </c>
      <c r="M20" s="154" t="s">
        <v>390</v>
      </c>
      <c r="N20" s="154" t="s">
        <v>390</v>
      </c>
      <c r="O20" s="154" t="s">
        <v>391</v>
      </c>
    </row>
    <row r="21" spans="1:15" ht="20.100000000000001" customHeight="1">
      <c r="A21" s="154" t="s">
        <v>83</v>
      </c>
      <c r="B21" s="154" t="s">
        <v>84</v>
      </c>
      <c r="C21" s="154" t="s">
        <v>16</v>
      </c>
      <c r="D21" s="154"/>
      <c r="E21" s="154"/>
      <c r="F21" s="154"/>
      <c r="G21" s="154"/>
      <c r="H21" s="154"/>
      <c r="I21" s="154"/>
      <c r="J21" s="154" t="s">
        <v>170</v>
      </c>
      <c r="K21" s="154" t="s">
        <v>170</v>
      </c>
      <c r="L21" s="154" t="s">
        <v>171</v>
      </c>
      <c r="M21" s="154" t="s">
        <v>392</v>
      </c>
      <c r="N21" s="154" t="s">
        <v>392</v>
      </c>
      <c r="O21" s="154" t="s">
        <v>393</v>
      </c>
    </row>
    <row r="22" spans="1:15" ht="20.100000000000001" customHeight="1">
      <c r="A22" s="154" t="s">
        <v>46</v>
      </c>
      <c r="B22" s="154" t="s">
        <v>46</v>
      </c>
      <c r="C22" s="154" t="s">
        <v>47</v>
      </c>
      <c r="D22" s="154"/>
      <c r="E22" s="154"/>
      <c r="F22" s="154"/>
      <c r="G22" s="154"/>
      <c r="H22" s="154"/>
      <c r="I22" s="154"/>
      <c r="J22" s="154" t="s">
        <v>57</v>
      </c>
      <c r="K22" s="154" t="s">
        <v>57</v>
      </c>
      <c r="L22" s="154" t="s">
        <v>153</v>
      </c>
      <c r="M22" s="154" t="s">
        <v>394</v>
      </c>
      <c r="N22" s="154" t="s">
        <v>394</v>
      </c>
      <c r="O22" s="154" t="s">
        <v>395</v>
      </c>
    </row>
    <row r="23" spans="1:15" ht="20.100000000000001" customHeight="1">
      <c r="A23" s="154" t="s">
        <v>85</v>
      </c>
      <c r="B23" s="154" t="s">
        <v>86</v>
      </c>
      <c r="C23" s="154" t="s">
        <v>39</v>
      </c>
      <c r="D23" s="154"/>
      <c r="E23" s="154"/>
      <c r="F23" s="154"/>
      <c r="G23" s="154"/>
      <c r="H23" s="154"/>
      <c r="I23" s="154"/>
      <c r="J23" s="154" t="s">
        <v>179</v>
      </c>
      <c r="K23" s="154" t="s">
        <v>179</v>
      </c>
      <c r="L23" s="154" t="s">
        <v>180</v>
      </c>
      <c r="M23" s="154" t="s">
        <v>396</v>
      </c>
      <c r="N23" s="154" t="s">
        <v>396</v>
      </c>
      <c r="O23" s="154" t="s">
        <v>397</v>
      </c>
    </row>
    <row r="24" spans="1:15" ht="20.100000000000001" customHeight="1">
      <c r="A24" s="154" t="s">
        <v>62</v>
      </c>
      <c r="B24" s="154" t="s">
        <v>87</v>
      </c>
      <c r="C24" s="154" t="s">
        <v>63</v>
      </c>
      <c r="D24" s="154"/>
      <c r="E24" s="154"/>
      <c r="F24" s="154"/>
      <c r="G24" s="154"/>
      <c r="H24" s="154"/>
      <c r="I24" s="154"/>
      <c r="J24" s="154" t="s">
        <v>196</v>
      </c>
      <c r="K24" s="154" t="s">
        <v>196</v>
      </c>
      <c r="L24" s="154" t="s">
        <v>197</v>
      </c>
      <c r="M24" s="154" t="s">
        <v>398</v>
      </c>
      <c r="N24" s="154" t="s">
        <v>398</v>
      </c>
      <c r="O24" s="154" t="s">
        <v>399</v>
      </c>
    </row>
    <row r="25" spans="1:15" ht="20.100000000000001" customHeight="1">
      <c r="A25" s="154" t="s">
        <v>66</v>
      </c>
      <c r="B25" s="154" t="s">
        <v>88</v>
      </c>
      <c r="C25" s="154" t="s">
        <v>67</v>
      </c>
      <c r="D25" s="154"/>
      <c r="E25" s="154"/>
      <c r="F25" s="154"/>
      <c r="G25" s="154"/>
      <c r="H25" s="154"/>
      <c r="I25" s="154"/>
      <c r="J25" s="154" t="s">
        <v>189</v>
      </c>
      <c r="K25" s="154" t="s">
        <v>189</v>
      </c>
      <c r="L25" s="154" t="s">
        <v>190</v>
      </c>
      <c r="M25" s="154" t="s">
        <v>400</v>
      </c>
      <c r="N25" s="154" t="s">
        <v>400</v>
      </c>
      <c r="O25" s="154" t="s">
        <v>369</v>
      </c>
    </row>
    <row r="26" spans="1:15" ht="20.100000000000001" customHeight="1">
      <c r="A26" s="154" t="s">
        <v>89</v>
      </c>
      <c r="B26" s="154" t="s">
        <v>90</v>
      </c>
      <c r="C26" s="154" t="s">
        <v>61</v>
      </c>
      <c r="D26" s="154"/>
      <c r="E26" s="154"/>
      <c r="F26" s="154"/>
      <c r="G26" s="154"/>
      <c r="H26" s="154"/>
      <c r="I26" s="154"/>
      <c r="J26" s="154" t="s">
        <v>60</v>
      </c>
      <c r="K26" s="154" t="s">
        <v>60</v>
      </c>
      <c r="L26" s="154"/>
      <c r="M26" s="154" t="s">
        <v>401</v>
      </c>
      <c r="N26" s="154" t="s">
        <v>401</v>
      </c>
      <c r="O26" s="154" t="s">
        <v>402</v>
      </c>
    </row>
    <row r="27" spans="1:15" ht="20.100000000000001" customHeight="1">
      <c r="A27" s="154" t="s">
        <v>91</v>
      </c>
      <c r="B27" s="154" t="s">
        <v>92</v>
      </c>
      <c r="C27" s="154" t="s">
        <v>48</v>
      </c>
      <c r="D27" s="154"/>
      <c r="E27" s="154"/>
      <c r="F27" s="154"/>
      <c r="G27" s="154"/>
      <c r="H27" s="154"/>
      <c r="I27" s="154"/>
      <c r="J27" s="154" t="s">
        <v>89</v>
      </c>
      <c r="K27" s="154" t="s">
        <v>89</v>
      </c>
      <c r="L27" s="154" t="s">
        <v>174</v>
      </c>
      <c r="M27" s="154" t="s">
        <v>403</v>
      </c>
      <c r="N27" s="154" t="s">
        <v>403</v>
      </c>
      <c r="O27" s="154" t="s">
        <v>381</v>
      </c>
    </row>
    <row r="28" spans="1:15" ht="20.100000000000001" customHeight="1">
      <c r="A28" s="154" t="s">
        <v>55</v>
      </c>
      <c r="B28" s="154" t="s">
        <v>55</v>
      </c>
      <c r="C28" s="154" t="s">
        <v>56</v>
      </c>
      <c r="D28" s="154"/>
      <c r="E28" s="154"/>
      <c r="F28" s="154"/>
      <c r="G28" s="154"/>
      <c r="H28" s="154"/>
      <c r="I28" s="154"/>
      <c r="J28" s="154" t="s">
        <v>64</v>
      </c>
      <c r="K28" s="154" t="s">
        <v>64</v>
      </c>
      <c r="L28" s="154" t="s">
        <v>195</v>
      </c>
      <c r="M28" s="154" t="s">
        <v>404</v>
      </c>
      <c r="N28" s="154" t="s">
        <v>404</v>
      </c>
      <c r="O28" s="154" t="s">
        <v>405</v>
      </c>
    </row>
    <row r="29" spans="1:15" ht="20.100000000000001" customHeight="1">
      <c r="A29" s="154" t="s">
        <v>28</v>
      </c>
      <c r="B29" s="154" t="s">
        <v>28</v>
      </c>
      <c r="C29" s="154" t="s">
        <v>29</v>
      </c>
      <c r="D29" s="154"/>
      <c r="E29" s="154"/>
      <c r="F29" s="154"/>
      <c r="G29" s="154"/>
      <c r="H29" s="154"/>
      <c r="I29" s="154"/>
      <c r="J29" s="154" t="s">
        <v>151</v>
      </c>
      <c r="K29" s="154" t="s">
        <v>151</v>
      </c>
      <c r="L29" s="154" t="s">
        <v>152</v>
      </c>
      <c r="M29" s="154" t="s">
        <v>406</v>
      </c>
      <c r="N29" s="154" t="s">
        <v>406</v>
      </c>
      <c r="O29" s="154" t="s">
        <v>407</v>
      </c>
    </row>
    <row r="30" spans="1:15" ht="20.100000000000001" customHeight="1">
      <c r="A30" s="154" t="s">
        <v>51</v>
      </c>
      <c r="B30" s="154" t="s">
        <v>51</v>
      </c>
      <c r="C30" s="154" t="s">
        <v>52</v>
      </c>
      <c r="D30" s="154"/>
      <c r="E30" s="154"/>
      <c r="F30" s="154"/>
      <c r="G30" s="154"/>
      <c r="H30" s="154"/>
      <c r="I30" s="154"/>
      <c r="J30" s="154" t="s">
        <v>193</v>
      </c>
      <c r="K30" s="154" t="s">
        <v>193</v>
      </c>
      <c r="L30" s="154" t="s">
        <v>194</v>
      </c>
      <c r="M30" s="154" t="s">
        <v>408</v>
      </c>
      <c r="N30" s="154" t="s">
        <v>408</v>
      </c>
      <c r="O30" s="154" t="s">
        <v>409</v>
      </c>
    </row>
    <row r="31" spans="1:15" ht="20.100000000000001" customHeight="1">
      <c r="A31" s="154" t="s">
        <v>20</v>
      </c>
      <c r="B31" s="154" t="s">
        <v>20</v>
      </c>
      <c r="C31" s="154" t="s">
        <v>21</v>
      </c>
      <c r="D31" s="154"/>
      <c r="E31" s="154"/>
      <c r="F31" s="154"/>
      <c r="G31" s="154"/>
      <c r="H31" s="154"/>
      <c r="I31" s="154"/>
      <c r="J31" s="154" t="s">
        <v>206</v>
      </c>
      <c r="K31" s="154" t="s">
        <v>184</v>
      </c>
      <c r="L31" s="154" t="s">
        <v>185</v>
      </c>
      <c r="M31" s="154" t="s">
        <v>410</v>
      </c>
      <c r="N31" s="154" t="s">
        <v>410</v>
      </c>
      <c r="O31" s="154" t="s">
        <v>411</v>
      </c>
    </row>
    <row r="32" spans="1:15" ht="20.100000000000001" customHeight="1">
      <c r="A32" s="154" t="s">
        <v>49</v>
      </c>
      <c r="B32" s="154" t="s">
        <v>49</v>
      </c>
      <c r="C32" s="154" t="s">
        <v>50</v>
      </c>
      <c r="D32" s="154"/>
      <c r="E32" s="154"/>
      <c r="F32" s="154"/>
      <c r="G32" s="154"/>
      <c r="H32" s="154"/>
      <c r="I32" s="154"/>
      <c r="J32" s="154" t="s">
        <v>202</v>
      </c>
      <c r="K32" s="154" t="s">
        <v>77</v>
      </c>
      <c r="L32" s="154" t="s">
        <v>164</v>
      </c>
      <c r="M32" s="154" t="s">
        <v>412</v>
      </c>
      <c r="N32" s="154" t="s">
        <v>412</v>
      </c>
      <c r="O32" s="154" t="s">
        <v>413</v>
      </c>
    </row>
    <row r="33" spans="1:15" ht="20.100000000000001" customHeight="1">
      <c r="A33" s="154" t="s">
        <v>42</v>
      </c>
      <c r="B33" s="154" t="s">
        <v>42</v>
      </c>
      <c r="C33" s="154" t="s">
        <v>43</v>
      </c>
      <c r="D33" s="154"/>
      <c r="E33" s="154"/>
      <c r="F33" s="154"/>
      <c r="G33" s="154"/>
      <c r="H33" s="154"/>
      <c r="I33" s="154"/>
      <c r="J33" s="154" t="s">
        <v>207</v>
      </c>
      <c r="K33" s="154" t="s">
        <v>186</v>
      </c>
      <c r="L33" s="154" t="s">
        <v>187</v>
      </c>
      <c r="M33" s="154" t="s">
        <v>414</v>
      </c>
      <c r="N33" s="154" t="s">
        <v>414</v>
      </c>
      <c r="O33" s="154" t="s">
        <v>415</v>
      </c>
    </row>
    <row r="34" spans="1:15" ht="20.100000000000001" customHeight="1">
      <c r="A34" s="154" t="s">
        <v>53</v>
      </c>
      <c r="B34" s="154" t="s">
        <v>53</v>
      </c>
      <c r="C34" s="154" t="s">
        <v>54</v>
      </c>
      <c r="D34" s="154"/>
      <c r="E34" s="154"/>
      <c r="F34" s="154"/>
      <c r="G34" s="154"/>
      <c r="H34" s="154"/>
      <c r="I34" s="154"/>
      <c r="J34" s="154" t="s">
        <v>191</v>
      </c>
      <c r="K34" s="154" t="s">
        <v>191</v>
      </c>
      <c r="L34" s="154" t="s">
        <v>192</v>
      </c>
      <c r="M34" s="154" t="s">
        <v>416</v>
      </c>
      <c r="N34" s="154" t="s">
        <v>416</v>
      </c>
      <c r="O34" s="154" t="s">
        <v>356</v>
      </c>
    </row>
    <row r="35" spans="1:15" ht="20.100000000000001" customHeight="1">
      <c r="A35" s="154" t="s">
        <v>40</v>
      </c>
      <c r="B35" s="154" t="s">
        <v>40</v>
      </c>
      <c r="C35" s="154" t="s">
        <v>41</v>
      </c>
      <c r="D35" s="154"/>
      <c r="E35" s="154"/>
      <c r="F35" s="154"/>
      <c r="G35" s="154"/>
      <c r="H35" s="154"/>
      <c r="I35" s="154"/>
      <c r="J35" s="154"/>
      <c r="K35" s="154"/>
      <c r="L35" s="154"/>
      <c r="M35" s="154" t="s">
        <v>417</v>
      </c>
      <c r="N35" s="154" t="s">
        <v>417</v>
      </c>
      <c r="O35" s="154" t="s">
        <v>369</v>
      </c>
    </row>
    <row r="36" spans="1:15" ht="20.100000000000001" customHeight="1">
      <c r="A36" s="154"/>
      <c r="B36" s="154"/>
      <c r="C36" s="154"/>
      <c r="D36" s="154"/>
      <c r="E36" s="154"/>
      <c r="F36" s="154"/>
      <c r="G36" s="154"/>
      <c r="H36" s="154"/>
      <c r="I36" s="154"/>
      <c r="J36" s="154"/>
      <c r="K36" s="154"/>
      <c r="L36" s="154"/>
      <c r="M36" s="154" t="s">
        <v>418</v>
      </c>
      <c r="N36" s="154" t="s">
        <v>418</v>
      </c>
      <c r="O36" s="154" t="s">
        <v>419</v>
      </c>
    </row>
    <row r="37" spans="1:15" ht="20.100000000000001" customHeight="1">
      <c r="A37" s="154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L37" s="154"/>
      <c r="M37" s="154" t="s">
        <v>420</v>
      </c>
      <c r="N37" s="154" t="s">
        <v>420</v>
      </c>
      <c r="O37" s="154" t="s">
        <v>421</v>
      </c>
    </row>
    <row r="38" spans="1:15" ht="20.100000000000001" customHeight="1">
      <c r="A38" s="154"/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 t="s">
        <v>422</v>
      </c>
      <c r="N38" s="154" t="s">
        <v>422</v>
      </c>
      <c r="O38" s="154" t="s">
        <v>419</v>
      </c>
    </row>
    <row r="39" spans="1:15" ht="20.100000000000001" customHeight="1">
      <c r="A39" s="154"/>
      <c r="B39" s="154"/>
      <c r="C39" s="154"/>
      <c r="D39" s="154"/>
      <c r="E39" s="154"/>
      <c r="F39" s="154"/>
      <c r="G39" s="154"/>
      <c r="H39" s="154"/>
      <c r="I39" s="154"/>
      <c r="J39" s="154"/>
      <c r="K39" s="154"/>
      <c r="L39" s="154"/>
      <c r="M39" s="154" t="s">
        <v>423</v>
      </c>
      <c r="N39" s="154" t="s">
        <v>423</v>
      </c>
      <c r="O39" s="154" t="s">
        <v>424</v>
      </c>
    </row>
    <row r="40" spans="1:15" ht="20.100000000000001" customHeight="1">
      <c r="A40" s="184"/>
      <c r="B40" s="184"/>
      <c r="C40" s="184"/>
      <c r="D40" s="184"/>
      <c r="E40" s="184"/>
      <c r="F40" s="184"/>
      <c r="G40" s="184"/>
      <c r="H40" s="184"/>
      <c r="I40" s="184"/>
      <c r="J40" s="185"/>
      <c r="K40" s="184"/>
      <c r="L40" s="184"/>
      <c r="M40" s="185" t="s">
        <v>425</v>
      </c>
      <c r="N40" s="185" t="s">
        <v>425</v>
      </c>
      <c r="O40" s="184" t="s">
        <v>426</v>
      </c>
    </row>
    <row r="41" spans="1:15" ht="20.100000000000001" customHeight="1">
      <c r="J41" s="128"/>
      <c r="M41" s="128"/>
    </row>
    <row r="42" spans="1:15" ht="20.100000000000001" customHeight="1">
      <c r="J42" s="128"/>
      <c r="M42" s="128"/>
    </row>
    <row r="43" spans="1:15" ht="20.100000000000001" customHeight="1">
      <c r="J43" s="128"/>
      <c r="M43" s="128"/>
    </row>
    <row r="44" spans="1:15" ht="20.100000000000001" customHeight="1">
      <c r="J44" s="128"/>
      <c r="M44" s="128"/>
    </row>
    <row r="45" spans="1:15" ht="20.100000000000001" customHeight="1">
      <c r="J45" s="128"/>
      <c r="M45" s="128"/>
    </row>
    <row r="46" spans="1:15" ht="20.100000000000001" customHeight="1">
      <c r="J46" s="128"/>
      <c r="M46" s="128"/>
    </row>
    <row r="47" spans="1:15" ht="20.100000000000001" customHeight="1">
      <c r="J47" s="128"/>
      <c r="M47" s="128"/>
    </row>
    <row r="48" spans="1:15" ht="20.100000000000001" customHeight="1">
      <c r="J48" s="128"/>
      <c r="M48" s="128"/>
    </row>
    <row r="49" spans="10:13" ht="20.100000000000001" customHeight="1">
      <c r="J49" s="128"/>
      <c r="M49" s="128"/>
    </row>
    <row r="50" spans="10:13" ht="20.100000000000001" customHeight="1">
      <c r="J50" s="128"/>
      <c r="M50" s="128"/>
    </row>
    <row r="51" spans="10:13" ht="20.100000000000001" customHeight="1">
      <c r="J51" s="128"/>
      <c r="M51" s="128"/>
    </row>
    <row r="52" spans="10:13" ht="20.100000000000001" customHeight="1">
      <c r="J52" s="128"/>
      <c r="M52" s="128"/>
    </row>
    <row r="53" spans="10:13" ht="20.100000000000001" customHeight="1">
      <c r="J53" s="128"/>
      <c r="M53" s="128"/>
    </row>
    <row r="54" spans="10:13" ht="20.100000000000001" customHeight="1">
      <c r="J54" s="128"/>
      <c r="M54" s="128"/>
    </row>
    <row r="55" spans="10:13" ht="20.100000000000001" customHeight="1">
      <c r="J55" s="128"/>
      <c r="M55" s="128"/>
    </row>
    <row r="56" spans="10:13" ht="20.100000000000001" customHeight="1">
      <c r="J56" s="128"/>
      <c r="M56" s="128"/>
    </row>
    <row r="57" spans="10:13" ht="20.100000000000001" customHeight="1">
      <c r="J57" s="128"/>
      <c r="M57" s="128"/>
    </row>
    <row r="58" spans="10:13" ht="20.100000000000001" customHeight="1">
      <c r="J58" s="128"/>
      <c r="M58" s="128"/>
    </row>
    <row r="59" spans="10:13" ht="20.100000000000001" customHeight="1">
      <c r="J59" s="128"/>
      <c r="M59" s="128"/>
    </row>
    <row r="60" spans="10:13" ht="20.100000000000001" customHeight="1">
      <c r="J60" s="128"/>
      <c r="M60" s="128"/>
    </row>
    <row r="61" spans="10:13" ht="20.100000000000001" customHeight="1">
      <c r="J61" s="128"/>
      <c r="M61" s="128"/>
    </row>
    <row r="62" spans="10:13" ht="20.100000000000001" customHeight="1">
      <c r="J62" s="128"/>
      <c r="M62" s="128"/>
    </row>
    <row r="63" spans="10:13" ht="20.100000000000001" customHeight="1">
      <c r="J63" s="128"/>
      <c r="M63" s="128"/>
    </row>
    <row r="64" spans="10:13" ht="20.100000000000001" customHeight="1">
      <c r="J64" s="128"/>
      <c r="M64" s="128"/>
    </row>
    <row r="65" spans="10:13" ht="20.100000000000001" customHeight="1">
      <c r="J65" s="128"/>
      <c r="M65" s="128"/>
    </row>
    <row r="66" spans="10:13" ht="20.100000000000001" customHeight="1">
      <c r="J66" s="128"/>
      <c r="M66" s="128"/>
    </row>
    <row r="67" spans="10:13" ht="20.100000000000001" customHeight="1">
      <c r="J67" s="128"/>
      <c r="M67" s="128"/>
    </row>
    <row r="68" spans="10:13" ht="20.100000000000001" customHeight="1">
      <c r="J68" s="128"/>
      <c r="M68" s="128"/>
    </row>
    <row r="69" spans="10:13" ht="20.100000000000001" customHeight="1">
      <c r="J69" s="128"/>
      <c r="M69" s="128"/>
    </row>
    <row r="70" spans="10:13" ht="20.100000000000001" customHeight="1">
      <c r="J70" s="128"/>
      <c r="M70" s="128"/>
    </row>
    <row r="71" spans="10:13" ht="20.100000000000001" customHeight="1">
      <c r="J71" s="128"/>
      <c r="M71" s="128"/>
    </row>
    <row r="72" spans="10:13" ht="20.100000000000001" customHeight="1">
      <c r="J72" s="128"/>
      <c r="M72" s="128"/>
    </row>
    <row r="73" spans="10:13" ht="20.100000000000001" customHeight="1">
      <c r="J73" s="128"/>
      <c r="M73" s="128"/>
    </row>
  </sheetData>
  <sortState ref="J3:M35">
    <sortCondition ref="J3:J35"/>
  </sortState>
  <customSheetViews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/>
  <dimension ref="A1:AD28"/>
  <sheetViews>
    <sheetView showGridLines="0" tabSelected="1" zoomScaleNormal="100" workbookViewId="0">
      <pane ySplit="8" topLeftCell="A9" activePane="bottomLeft" state="frozen"/>
      <selection activeCell="A9" sqref="A9"/>
      <selection pane="bottomLeft" activeCell="E21" sqref="E21"/>
    </sheetView>
  </sheetViews>
  <sheetFormatPr defaultRowHeight="16.5"/>
  <cols>
    <col min="1" max="1" width="3.42578125" style="136" customWidth="1"/>
    <col min="2" max="2" width="5.7109375" style="47" customWidth="1"/>
    <col min="3" max="3" width="15.7109375" style="47" customWidth="1"/>
    <col min="4" max="5" width="25.7109375" style="47" customWidth="1"/>
    <col min="6" max="6" width="10.7109375" style="47" customWidth="1"/>
    <col min="7" max="7" width="18.7109375" style="47" customWidth="1"/>
    <col min="8" max="8" width="11.85546875" style="47" customWidth="1"/>
    <col min="9" max="9" width="9.5703125" style="47" customWidth="1"/>
    <col min="10" max="20" width="3" style="47" customWidth="1"/>
    <col min="21" max="21" width="12.140625" style="47" customWidth="1"/>
    <col min="22" max="22" width="15.7109375" style="47" customWidth="1"/>
    <col min="23" max="27" width="13.42578125" style="47" customWidth="1"/>
    <col min="28" max="28" width="9" style="123" customWidth="1"/>
    <col min="29" max="29" width="27.7109375" style="47" customWidth="1"/>
    <col min="30" max="16384" width="9.140625" style="47"/>
  </cols>
  <sheetData>
    <row r="1" spans="1:30" ht="12" customHeight="1" thickBot="1">
      <c r="A1" s="182"/>
    </row>
    <row r="2" spans="1:30" ht="15" customHeight="1">
      <c r="A2" s="182"/>
      <c r="B2" s="220" t="s">
        <v>467</v>
      </c>
      <c r="C2" s="221"/>
      <c r="D2" s="221"/>
      <c r="E2" s="222"/>
      <c r="F2" s="226" t="s">
        <v>2</v>
      </c>
      <c r="G2" s="227"/>
      <c r="H2" s="242" t="str">
        <f>ProjectName</f>
        <v>○△□プロジェクト</v>
      </c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4"/>
      <c r="V2" s="138" t="s">
        <v>3</v>
      </c>
      <c r="W2" s="255" t="str">
        <f>CreateBy</f>
        <v>○○　✕✕</v>
      </c>
      <c r="X2" s="256"/>
      <c r="Y2" s="138" t="s">
        <v>4</v>
      </c>
      <c r="Z2" s="250" t="str">
        <f>CreateAt</f>
        <v>2020/12/25</v>
      </c>
      <c r="AA2" s="251"/>
    </row>
    <row r="3" spans="1:30" ht="15" customHeight="1" thickBot="1">
      <c r="B3" s="223"/>
      <c r="C3" s="224"/>
      <c r="D3" s="224"/>
      <c r="E3" s="225"/>
      <c r="F3" s="228" t="s">
        <v>5</v>
      </c>
      <c r="G3" s="229"/>
      <c r="H3" s="257" t="str">
        <f>systemName</f>
        <v>○✕システム</v>
      </c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9"/>
      <c r="V3" s="139" t="s">
        <v>6</v>
      </c>
      <c r="W3" s="252"/>
      <c r="X3" s="254"/>
      <c r="Y3" s="139" t="s">
        <v>7</v>
      </c>
      <c r="Z3" s="252"/>
      <c r="AA3" s="253"/>
    </row>
    <row r="4" spans="1:30" ht="5.25" customHeight="1" thickBot="1">
      <c r="B4" s="212"/>
      <c r="C4" s="212"/>
    </row>
    <row r="5" spans="1:30" ht="15" customHeight="1">
      <c r="B5" s="226" t="s">
        <v>220</v>
      </c>
      <c r="C5" s="227"/>
      <c r="D5" s="235"/>
      <c r="E5" s="236"/>
      <c r="F5" s="241" t="s">
        <v>219</v>
      </c>
      <c r="G5" s="227"/>
      <c r="H5" s="242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4"/>
      <c r="V5" s="138" t="s">
        <v>248</v>
      </c>
      <c r="W5" s="248" t="str">
        <f>IF(DBName&lt;&gt;"",DBName,"")</f>
        <v>Database.accdb</v>
      </c>
      <c r="X5" s="249"/>
      <c r="Y5" s="138" t="s">
        <v>309</v>
      </c>
      <c r="Z5" s="230" t="str">
        <f>IF(Schema&lt;&gt;"",Schema,"")</f>
        <v/>
      </c>
      <c r="AA5" s="231"/>
    </row>
    <row r="6" spans="1:30" ht="15" customHeight="1" thickBot="1">
      <c r="B6" s="228" t="s">
        <v>120</v>
      </c>
      <c r="C6" s="229"/>
      <c r="D6" s="245"/>
      <c r="E6" s="246"/>
      <c r="F6" s="246"/>
      <c r="G6" s="246"/>
      <c r="H6" s="246"/>
      <c r="I6" s="246"/>
      <c r="J6" s="246"/>
      <c r="K6" s="246"/>
      <c r="L6" s="246"/>
      <c r="M6" s="246"/>
      <c r="N6" s="246"/>
      <c r="O6" s="246"/>
      <c r="P6" s="246"/>
      <c r="Q6" s="246"/>
      <c r="R6" s="246"/>
      <c r="S6" s="246"/>
      <c r="T6" s="246"/>
      <c r="U6" s="247"/>
      <c r="V6" s="139" t="s">
        <v>246</v>
      </c>
      <c r="W6" s="270" t="str">
        <f>IF(Instance&lt;&gt;"",Instance,"")</f>
        <v/>
      </c>
      <c r="X6" s="271"/>
      <c r="Y6" s="139"/>
      <c r="Z6" s="260"/>
      <c r="AA6" s="261"/>
    </row>
    <row r="7" spans="1:30" ht="13.5" customHeight="1" thickBot="1"/>
    <row r="8" spans="1:30" ht="20.100000000000001" customHeight="1" thickBot="1">
      <c r="A8" s="136" t="s">
        <v>349</v>
      </c>
      <c r="B8" s="143" t="s">
        <v>333</v>
      </c>
      <c r="C8" s="237" t="s">
        <v>311</v>
      </c>
      <c r="D8" s="240"/>
      <c r="E8" s="237" t="s">
        <v>312</v>
      </c>
      <c r="F8" s="240"/>
      <c r="G8" s="144" t="s">
        <v>1</v>
      </c>
      <c r="H8" s="144" t="s">
        <v>8</v>
      </c>
      <c r="I8" s="144" t="s">
        <v>122</v>
      </c>
      <c r="J8" s="144" t="s">
        <v>123</v>
      </c>
      <c r="K8" s="144" t="s">
        <v>124</v>
      </c>
      <c r="L8" s="144" t="s">
        <v>125</v>
      </c>
      <c r="M8" s="144" t="s">
        <v>334</v>
      </c>
      <c r="N8" s="144" t="s">
        <v>331</v>
      </c>
      <c r="O8" s="144" t="s">
        <v>326</v>
      </c>
      <c r="P8" s="144" t="s">
        <v>327</v>
      </c>
      <c r="Q8" s="144" t="s">
        <v>328</v>
      </c>
      <c r="R8" s="144" t="s">
        <v>329</v>
      </c>
      <c r="S8" s="144" t="s">
        <v>330</v>
      </c>
      <c r="T8" s="144" t="s">
        <v>332</v>
      </c>
      <c r="U8" s="145" t="s">
        <v>126</v>
      </c>
      <c r="V8" s="144" t="s">
        <v>118</v>
      </c>
      <c r="W8" s="237" t="s">
        <v>127</v>
      </c>
      <c r="X8" s="238"/>
      <c r="Y8" s="238"/>
      <c r="Z8" s="238"/>
      <c r="AA8" s="239"/>
    </row>
    <row r="9" spans="1:30" ht="20.100000000000001" customHeight="1">
      <c r="A9" s="136" t="s">
        <v>354</v>
      </c>
      <c r="B9" s="1">
        <f t="shared" ref="B9:B12" si="0">ROW()-8</f>
        <v>1</v>
      </c>
      <c r="C9" s="192"/>
      <c r="D9" s="193"/>
      <c r="E9" s="192"/>
      <c r="F9" s="193"/>
      <c r="G9" s="74"/>
      <c r="H9" s="67"/>
      <c r="I9" s="68"/>
      <c r="J9" s="64"/>
      <c r="K9" s="65"/>
      <c r="L9" s="65"/>
      <c r="M9" s="65"/>
      <c r="N9" s="65"/>
      <c r="O9" s="65"/>
      <c r="P9" s="65"/>
      <c r="Q9" s="65"/>
      <c r="R9" s="65"/>
      <c r="S9" s="65"/>
      <c r="T9" s="65"/>
      <c r="U9" s="66"/>
      <c r="V9" s="2"/>
      <c r="W9" s="232"/>
      <c r="X9" s="233"/>
      <c r="Y9" s="233"/>
      <c r="Z9" s="233"/>
      <c r="AA9" s="234"/>
    </row>
    <row r="10" spans="1:30" ht="20.100000000000001" customHeight="1">
      <c r="A10" s="136" t="s">
        <v>354</v>
      </c>
      <c r="B10" s="3">
        <f t="shared" si="0"/>
        <v>2</v>
      </c>
      <c r="C10" s="273"/>
      <c r="D10" s="274"/>
      <c r="E10" s="273"/>
      <c r="F10" s="274"/>
      <c r="G10" s="137"/>
      <c r="H10" s="67"/>
      <c r="I10" s="68"/>
      <c r="J10" s="64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6"/>
      <c r="V10" s="4"/>
      <c r="W10" s="275"/>
      <c r="X10" s="276"/>
      <c r="Y10" s="276"/>
      <c r="Z10" s="276"/>
      <c r="AA10" s="277"/>
    </row>
    <row r="11" spans="1:30" ht="20.100000000000001" customHeight="1">
      <c r="A11" s="136" t="s">
        <v>354</v>
      </c>
      <c r="B11" s="3">
        <f t="shared" si="0"/>
        <v>3</v>
      </c>
      <c r="C11" s="273"/>
      <c r="D11" s="274"/>
      <c r="E11" s="273"/>
      <c r="F11" s="274"/>
      <c r="G11" s="137"/>
      <c r="H11" s="67"/>
      <c r="I11" s="68"/>
      <c r="J11" s="64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6"/>
      <c r="V11" s="4"/>
      <c r="W11" s="275"/>
      <c r="X11" s="276"/>
      <c r="Y11" s="276"/>
      <c r="Z11" s="276"/>
      <c r="AA11" s="277"/>
    </row>
    <row r="12" spans="1:30" ht="20.100000000000001" customHeight="1" thickBot="1">
      <c r="A12" s="136" t="s">
        <v>354</v>
      </c>
      <c r="B12" s="5">
        <f t="shared" si="0"/>
        <v>4</v>
      </c>
      <c r="C12" s="190"/>
      <c r="D12" s="191"/>
      <c r="E12" s="190"/>
      <c r="F12" s="191"/>
      <c r="G12" s="72"/>
      <c r="H12" s="11"/>
      <c r="I12" s="6"/>
      <c r="J12" s="7"/>
      <c r="K12" s="8"/>
      <c r="L12" s="8"/>
      <c r="M12" s="8"/>
      <c r="N12" s="8"/>
      <c r="O12" s="8"/>
      <c r="P12" s="8"/>
      <c r="Q12" s="8"/>
      <c r="R12" s="8"/>
      <c r="S12" s="8"/>
      <c r="T12" s="8"/>
      <c r="U12" s="9"/>
      <c r="V12" s="10"/>
      <c r="W12" s="217"/>
      <c r="X12" s="218"/>
      <c r="Y12" s="218"/>
      <c r="Z12" s="218"/>
      <c r="AA12" s="219"/>
    </row>
    <row r="13" spans="1:30" ht="20.100000000000001" customHeight="1">
      <c r="A13" s="136" t="s">
        <v>352</v>
      </c>
      <c r="B13" s="186"/>
      <c r="C13" s="27"/>
      <c r="D13" s="27"/>
      <c r="E13" s="27"/>
      <c r="F13" s="27"/>
      <c r="G13" s="27"/>
      <c r="H13" s="28"/>
      <c r="I13" s="187"/>
      <c r="J13" s="29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1"/>
      <c r="V13" s="32"/>
      <c r="W13" s="33"/>
      <c r="X13" s="33"/>
      <c r="Y13" s="33"/>
      <c r="Z13" s="33"/>
      <c r="AA13" s="33"/>
    </row>
    <row r="14" spans="1:30" ht="20.100000000000001" customHeight="1">
      <c r="A14" s="136" t="s">
        <v>352</v>
      </c>
      <c r="B14" s="186"/>
      <c r="C14" s="27"/>
      <c r="D14" s="27"/>
      <c r="E14" s="27"/>
      <c r="F14" s="27"/>
      <c r="G14" s="27"/>
      <c r="H14" s="28"/>
      <c r="I14" s="187"/>
      <c r="J14" s="29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1"/>
      <c r="V14" s="32"/>
      <c r="W14" s="33"/>
      <c r="X14" s="33"/>
      <c r="Y14" s="33"/>
      <c r="Z14" s="33"/>
      <c r="AA14" s="33"/>
    </row>
    <row r="15" spans="1:30" ht="20.100000000000001" customHeight="1" thickBot="1">
      <c r="A15" s="136" t="s">
        <v>352</v>
      </c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</row>
    <row r="16" spans="1:30" s="62" customFormat="1" ht="20.100000000000001" customHeight="1" thickBot="1">
      <c r="A16" s="136" t="s">
        <v>350</v>
      </c>
      <c r="B16" s="143" t="s">
        <v>335</v>
      </c>
      <c r="C16" s="208" t="str">
        <f>"インデックス名"</f>
        <v>インデックス名</v>
      </c>
      <c r="D16" s="215"/>
      <c r="E16" s="146" t="str">
        <f>"ユニーク"</f>
        <v>ユニーク</v>
      </c>
      <c r="F16" s="208" t="str">
        <f>"タイプ"</f>
        <v>タイプ</v>
      </c>
      <c r="G16" s="215"/>
      <c r="H16" s="208" t="str">
        <f>"格納先"</f>
        <v>格納先</v>
      </c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8" t="str">
        <f>"備考"</f>
        <v>備考</v>
      </c>
      <c r="X16" s="209"/>
      <c r="Y16" s="209"/>
      <c r="Z16" s="209"/>
      <c r="AA16" s="214"/>
      <c r="AC16" s="47"/>
      <c r="AD16" s="47"/>
    </row>
    <row r="17" spans="1:30" s="123" customFormat="1" ht="20.100000000000001" customHeight="1">
      <c r="A17" s="136" t="s">
        <v>354</v>
      </c>
      <c r="B17" s="49"/>
      <c r="C17" s="267"/>
      <c r="D17" s="268"/>
      <c r="E17" s="63"/>
      <c r="F17" s="210"/>
      <c r="G17" s="216"/>
      <c r="H17" s="210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199"/>
      <c r="X17" s="200"/>
      <c r="Y17" s="200"/>
      <c r="Z17" s="200"/>
      <c r="AA17" s="201"/>
      <c r="AC17" s="47"/>
      <c r="AD17" s="47"/>
    </row>
    <row r="18" spans="1:30" s="123" customFormat="1" ht="20.100000000000001" customHeight="1">
      <c r="A18" s="136" t="s">
        <v>354</v>
      </c>
      <c r="B18" s="49"/>
      <c r="C18" s="197"/>
      <c r="D18" s="198"/>
      <c r="E18" s="63"/>
      <c r="F18" s="125"/>
      <c r="G18" s="126"/>
      <c r="H18" s="194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202"/>
      <c r="X18" s="203"/>
      <c r="Y18" s="203"/>
      <c r="Z18" s="203"/>
      <c r="AA18" s="204"/>
      <c r="AC18" s="47"/>
      <c r="AD18" s="47"/>
    </row>
    <row r="19" spans="1:30" s="123" customFormat="1" ht="20.100000000000001" customHeight="1">
      <c r="A19" s="136" t="s">
        <v>354</v>
      </c>
      <c r="B19" s="49"/>
      <c r="C19" s="197"/>
      <c r="D19" s="198"/>
      <c r="E19" s="63"/>
      <c r="F19" s="125"/>
      <c r="G19" s="126"/>
      <c r="H19" s="194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202"/>
      <c r="X19" s="203"/>
      <c r="Y19" s="203"/>
      <c r="Z19" s="203"/>
      <c r="AA19" s="204"/>
      <c r="AC19" s="47"/>
      <c r="AD19" s="47"/>
    </row>
    <row r="20" spans="1:30" s="123" customFormat="1" ht="20.100000000000001" customHeight="1">
      <c r="A20" s="136" t="s">
        <v>354</v>
      </c>
      <c r="B20" s="49"/>
      <c r="C20" s="197"/>
      <c r="D20" s="198"/>
      <c r="E20" s="63"/>
      <c r="F20" s="194"/>
      <c r="G20" s="213"/>
      <c r="H20" s="194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202"/>
      <c r="X20" s="203"/>
      <c r="Y20" s="203"/>
      <c r="Z20" s="203"/>
      <c r="AA20" s="204"/>
      <c r="AC20" s="47"/>
      <c r="AD20" s="47"/>
    </row>
    <row r="21" spans="1:30" ht="20.100000000000001" customHeight="1" thickBot="1">
      <c r="A21" s="136" t="s">
        <v>354</v>
      </c>
      <c r="B21" s="50"/>
      <c r="C21" s="262"/>
      <c r="D21" s="263"/>
      <c r="E21" s="89"/>
      <c r="F21" s="264"/>
      <c r="G21" s="272"/>
      <c r="H21" s="264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05"/>
      <c r="X21" s="206"/>
      <c r="Y21" s="206"/>
      <c r="Z21" s="206"/>
      <c r="AA21" s="207"/>
    </row>
    <row r="22" spans="1:30" ht="20.100000000000001" customHeight="1" thickBot="1">
      <c r="A22" s="136" t="s">
        <v>352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30" ht="20.100000000000001" customHeight="1" thickBot="1">
      <c r="A23" s="136" t="s">
        <v>351</v>
      </c>
      <c r="B23" s="143" t="s">
        <v>335</v>
      </c>
      <c r="C23" s="208" t="str">
        <f>"トリガー名"</f>
        <v>トリガー名</v>
      </c>
      <c r="D23" s="215"/>
      <c r="E23" s="208" t="str">
        <f>"タイミング"</f>
        <v>タイミング</v>
      </c>
      <c r="F23" s="209"/>
      <c r="G23" s="215"/>
      <c r="H23" s="208" t="str">
        <f>"処理"</f>
        <v>処理</v>
      </c>
      <c r="I23" s="209"/>
      <c r="J23" s="209"/>
      <c r="K23" s="209"/>
      <c r="L23" s="209"/>
      <c r="M23" s="209"/>
      <c r="N23" s="209"/>
      <c r="O23" s="209"/>
      <c r="P23" s="209"/>
      <c r="Q23" s="209"/>
      <c r="R23" s="209"/>
      <c r="S23" s="209"/>
      <c r="T23" s="209"/>
      <c r="U23" s="209"/>
      <c r="V23" s="209"/>
      <c r="W23" s="208" t="str">
        <f>"備考"</f>
        <v>備考</v>
      </c>
      <c r="X23" s="209"/>
      <c r="Y23" s="209"/>
      <c r="Z23" s="209"/>
      <c r="AA23" s="214"/>
      <c r="AB23" s="62"/>
    </row>
    <row r="24" spans="1:30" ht="20.100000000000001" customHeight="1">
      <c r="A24" s="136" t="s">
        <v>354</v>
      </c>
      <c r="B24" s="48"/>
      <c r="C24" s="267"/>
      <c r="D24" s="268"/>
      <c r="E24" s="210"/>
      <c r="F24" s="211"/>
      <c r="G24" s="269"/>
      <c r="H24" s="210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199"/>
      <c r="X24" s="200"/>
      <c r="Y24" s="200"/>
      <c r="Z24" s="200"/>
      <c r="AA24" s="201"/>
    </row>
    <row r="25" spans="1:30" ht="20.100000000000001" customHeight="1">
      <c r="A25" s="136" t="s">
        <v>354</v>
      </c>
      <c r="B25" s="49"/>
      <c r="C25" s="197"/>
      <c r="D25" s="198"/>
      <c r="E25" s="194"/>
      <c r="F25" s="195"/>
      <c r="G25" s="196"/>
      <c r="H25" s="194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195"/>
      <c r="T25" s="195"/>
      <c r="U25" s="195"/>
      <c r="V25" s="195"/>
      <c r="W25" s="202"/>
      <c r="X25" s="203"/>
      <c r="Y25" s="203"/>
      <c r="Z25" s="203"/>
      <c r="AA25" s="204"/>
    </row>
    <row r="26" spans="1:30" ht="20.100000000000001" customHeight="1">
      <c r="A26" s="136" t="s">
        <v>354</v>
      </c>
      <c r="B26" s="49"/>
      <c r="C26" s="197"/>
      <c r="D26" s="198"/>
      <c r="E26" s="194"/>
      <c r="F26" s="195"/>
      <c r="G26" s="196"/>
      <c r="H26" s="194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195"/>
      <c r="T26" s="195"/>
      <c r="U26" s="195"/>
      <c r="V26" s="195"/>
      <c r="W26" s="202"/>
      <c r="X26" s="203"/>
      <c r="Y26" s="203"/>
      <c r="Z26" s="203"/>
      <c r="AA26" s="204"/>
    </row>
    <row r="27" spans="1:30" ht="20.100000000000001" customHeight="1" thickBot="1">
      <c r="A27" s="136" t="s">
        <v>354</v>
      </c>
      <c r="B27" s="50"/>
      <c r="C27" s="262"/>
      <c r="D27" s="263"/>
      <c r="E27" s="264"/>
      <c r="F27" s="265"/>
      <c r="G27" s="266"/>
      <c r="H27" s="264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05"/>
      <c r="X27" s="206"/>
      <c r="Y27" s="206"/>
      <c r="Z27" s="206"/>
      <c r="AA27" s="207"/>
    </row>
    <row r="28" spans="1:30" s="53" customFormat="1" ht="13.5" customHeight="1">
      <c r="A28" s="136" t="s">
        <v>355</v>
      </c>
      <c r="AB28" s="124"/>
    </row>
  </sheetData>
  <customSheetViews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77">
    <mergeCell ref="W10:AA10"/>
    <mergeCell ref="C11:D11"/>
    <mergeCell ref="E11:F11"/>
    <mergeCell ref="W11:AA11"/>
    <mergeCell ref="Z6:AA6"/>
    <mergeCell ref="C27:D27"/>
    <mergeCell ref="E27:G27"/>
    <mergeCell ref="C24:D24"/>
    <mergeCell ref="E24:G24"/>
    <mergeCell ref="E23:G23"/>
    <mergeCell ref="C17:D17"/>
    <mergeCell ref="C23:D23"/>
    <mergeCell ref="C21:D21"/>
    <mergeCell ref="W6:X6"/>
    <mergeCell ref="F21:G21"/>
    <mergeCell ref="H21:V21"/>
    <mergeCell ref="W21:AA21"/>
    <mergeCell ref="W23:AA23"/>
    <mergeCell ref="H27:V27"/>
    <mergeCell ref="C10:D10"/>
    <mergeCell ref="Z2:AA2"/>
    <mergeCell ref="Z3:AA3"/>
    <mergeCell ref="W3:X3"/>
    <mergeCell ref="W2:X2"/>
    <mergeCell ref="H2:U2"/>
    <mergeCell ref="H3:U3"/>
    <mergeCell ref="B2:E3"/>
    <mergeCell ref="F2:G2"/>
    <mergeCell ref="F3:G3"/>
    <mergeCell ref="Z5:AA5"/>
    <mergeCell ref="W9:AA9"/>
    <mergeCell ref="B5:C5"/>
    <mergeCell ref="D5:E5"/>
    <mergeCell ref="W8:AA8"/>
    <mergeCell ref="C8:D8"/>
    <mergeCell ref="E8:F8"/>
    <mergeCell ref="B6:C6"/>
    <mergeCell ref="C9:D9"/>
    <mergeCell ref="F5:G5"/>
    <mergeCell ref="H5:U5"/>
    <mergeCell ref="D6:U6"/>
    <mergeCell ref="W5:X5"/>
    <mergeCell ref="B4:C4"/>
    <mergeCell ref="C20:D20"/>
    <mergeCell ref="F20:G20"/>
    <mergeCell ref="W16:AA16"/>
    <mergeCell ref="W17:AA17"/>
    <mergeCell ref="W18:AA18"/>
    <mergeCell ref="W19:AA19"/>
    <mergeCell ref="W20:AA20"/>
    <mergeCell ref="F16:G16"/>
    <mergeCell ref="F17:G17"/>
    <mergeCell ref="W12:AA12"/>
    <mergeCell ref="H16:V16"/>
    <mergeCell ref="H17:V17"/>
    <mergeCell ref="H18:V18"/>
    <mergeCell ref="H19:V19"/>
    <mergeCell ref="H20:V20"/>
    <mergeCell ref="W24:AA24"/>
    <mergeCell ref="W25:AA25"/>
    <mergeCell ref="W26:AA26"/>
    <mergeCell ref="W27:AA27"/>
    <mergeCell ref="H23:V23"/>
    <mergeCell ref="H24:V24"/>
    <mergeCell ref="H25:V25"/>
    <mergeCell ref="H26:V26"/>
    <mergeCell ref="C12:D12"/>
    <mergeCell ref="E9:F9"/>
    <mergeCell ref="E12:F12"/>
    <mergeCell ref="E25:G25"/>
    <mergeCell ref="E26:G26"/>
    <mergeCell ref="C18:D18"/>
    <mergeCell ref="C19:D19"/>
    <mergeCell ref="C25:D25"/>
    <mergeCell ref="C26:D26"/>
    <mergeCell ref="C16:D16"/>
    <mergeCell ref="E10:F10"/>
  </mergeCells>
  <phoneticPr fontId="4"/>
  <dataValidations xWindow="736" yWindow="489" count="7">
    <dataValidation imeMode="off" allowBlank="1" showInputMessage="1" showErrorMessage="1" sqref="Z5:Z6 J9:T14 H9:H14"/>
    <dataValidation type="textLength" imeMode="on" operator="lessThanOrEqual" allowBlank="1" showInputMessage="1" showErrorMessage="1" sqref="D5">
      <formula1>22</formula1>
    </dataValidation>
    <dataValidation type="list" allowBlank="1" showInputMessage="1" showErrorMessage="1" sqref="E17:E21">
      <formula1>インデックス_ユニーク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U9:U14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14">
      <formula1>63</formula1>
    </dataValidation>
    <dataValidation type="list" allowBlank="1" showInputMessage="1" showErrorMessage="1" sqref="G9:G14">
      <formula1>INDIRECT(DBMS)</formula1>
    </dataValidation>
    <dataValidation type="list" allowBlank="1" showInputMessage="1" showErrorMessage="1" sqref="B2:E3">
      <formula1>TableTypeList</formula1>
    </dataValidation>
  </dataValidations>
  <printOptions horizontalCentered="1"/>
  <pageMargins left="0.24" right="0.19685039370078741" top="0.4" bottom="0.4" header="0.2" footer="0"/>
  <pageSetup paperSize="9" scale="77" orientation="landscape" r:id="rId5"/>
  <headerFooter alignWithMargins="0"/>
  <rowBreaks count="1" manualBreakCount="1">
    <brk id="15" min="1" max="20" man="1"/>
  </rowBreaks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pageSetUpPr fitToPage="1"/>
  </sheetPr>
  <dimension ref="A1:AV40"/>
  <sheetViews>
    <sheetView showGridLines="0" zoomScaleNormal="100" workbookViewId="0">
      <selection activeCell="N28" sqref="N28"/>
    </sheetView>
  </sheetViews>
  <sheetFormatPr defaultColWidth="3" defaultRowHeight="13.5" customHeight="1"/>
  <cols>
    <col min="1" max="2" width="3" style="13" customWidth="1"/>
    <col min="3" max="3" width="3" style="16" customWidth="1"/>
    <col min="4" max="4" width="3" style="14" customWidth="1"/>
    <col min="5" max="45" width="3" style="13" customWidth="1"/>
    <col min="46" max="47" width="3.7109375" style="13" customWidth="1"/>
    <col min="48" max="16384" width="3" style="13"/>
  </cols>
  <sheetData>
    <row r="1" spans="1:48" ht="13.5" customHeight="1">
      <c r="A1" s="53"/>
      <c r="B1" s="278" t="e">
        <f>顧客名 &amp;" 御中"</f>
        <v>#NAME?</v>
      </c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12"/>
    </row>
    <row r="2" spans="1:48" ht="13.5" customHeight="1">
      <c r="A2" s="53"/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12"/>
    </row>
    <row r="3" spans="1:48" ht="13.5" customHeight="1">
      <c r="A3" s="53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12"/>
    </row>
    <row r="4" spans="1:48" ht="13.5" customHeight="1">
      <c r="A4" s="280" t="e">
        <f>表紙タイトル名称</f>
        <v>#NAME?</v>
      </c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  <c r="AE4" s="280"/>
      <c r="AF4" s="280"/>
      <c r="AG4" s="280"/>
      <c r="AH4" s="280"/>
      <c r="AI4" s="280"/>
      <c r="AJ4" s="280"/>
      <c r="AK4" s="280"/>
      <c r="AL4" s="280"/>
      <c r="AM4" s="280"/>
      <c r="AN4" s="280"/>
      <c r="AO4" s="280"/>
      <c r="AP4" s="280"/>
      <c r="AQ4" s="280"/>
      <c r="AR4" s="280"/>
      <c r="AS4" s="280"/>
      <c r="AT4" s="280"/>
      <c r="AU4" s="280"/>
      <c r="AV4" s="12"/>
    </row>
    <row r="5" spans="1:48" ht="13.5" customHeight="1">
      <c r="A5" s="280"/>
      <c r="B5" s="280"/>
      <c r="C5" s="280"/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  <c r="AE5" s="280"/>
      <c r="AF5" s="280"/>
      <c r="AG5" s="280"/>
      <c r="AH5" s="280"/>
      <c r="AI5" s="280"/>
      <c r="AJ5" s="280"/>
      <c r="AK5" s="280"/>
      <c r="AL5" s="280"/>
      <c r="AM5" s="280"/>
      <c r="AN5" s="280"/>
      <c r="AO5" s="280"/>
      <c r="AP5" s="280"/>
      <c r="AQ5" s="280"/>
      <c r="AR5" s="280"/>
      <c r="AS5" s="280"/>
      <c r="AT5" s="280"/>
      <c r="AU5" s="280"/>
      <c r="AV5" s="12"/>
    </row>
    <row r="6" spans="1:48" ht="13.5" customHeight="1">
      <c r="AV6" s="20"/>
    </row>
    <row r="7" spans="1:48" ht="13.5" customHeight="1">
      <c r="AV7" s="20"/>
    </row>
    <row r="8" spans="1:48" ht="13.5" customHeight="1"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AV8" s="20"/>
    </row>
    <row r="9" spans="1:48" ht="13.5" customHeight="1"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AV9" s="20"/>
    </row>
    <row r="10" spans="1:48" ht="13.5" customHeight="1">
      <c r="AV10" s="20"/>
    </row>
    <row r="11" spans="1:48" ht="13.5" customHeight="1">
      <c r="H11" s="17"/>
      <c r="AV11" s="20"/>
    </row>
    <row r="12" spans="1:48" ht="13.5" customHeight="1">
      <c r="H12" s="17"/>
      <c r="AV12" s="20"/>
    </row>
    <row r="13" spans="1:48" ht="13.5" customHeight="1">
      <c r="H13" s="17"/>
      <c r="AV13" s="20"/>
    </row>
    <row r="14" spans="1:48" ht="13.5" customHeight="1">
      <c r="H14" s="17"/>
      <c r="AV14" s="20"/>
    </row>
    <row r="15" spans="1:48" ht="13.5" customHeight="1">
      <c r="H15" s="17"/>
      <c r="AV15" s="20"/>
    </row>
    <row r="16" spans="1:48" ht="13.5" customHeight="1">
      <c r="H16" s="17"/>
      <c r="AV16" s="20"/>
    </row>
    <row r="17" spans="8:48" ht="13.5" customHeight="1">
      <c r="H17" s="17"/>
      <c r="AV17" s="20"/>
    </row>
    <row r="18" spans="8:48" ht="13.5" customHeight="1">
      <c r="H18" s="17"/>
      <c r="AV18" s="20"/>
    </row>
    <row r="19" spans="8:48" ht="13.5" customHeight="1">
      <c r="H19" s="17"/>
      <c r="AV19" s="20"/>
    </row>
    <row r="20" spans="8:48" ht="13.5" customHeight="1">
      <c r="H20" s="17"/>
      <c r="AV20" s="20"/>
    </row>
    <row r="21" spans="8:48" ht="13.5" customHeight="1">
      <c r="H21" s="17"/>
      <c r="AV21" s="20"/>
    </row>
    <row r="22" spans="8:48" ht="13.5" customHeight="1">
      <c r="H22" s="17"/>
      <c r="AV22" s="20"/>
    </row>
    <row r="23" spans="8:48" ht="13.5" customHeight="1">
      <c r="H23" s="17"/>
      <c r="AV23" s="20"/>
    </row>
    <row r="24" spans="8:48" ht="13.5" customHeight="1">
      <c r="H24" s="17"/>
      <c r="AV24" s="20"/>
    </row>
    <row r="25" spans="8:48" ht="13.5" customHeight="1">
      <c r="H25" s="17"/>
      <c r="AV25" s="20"/>
    </row>
    <row r="26" spans="8:48" ht="13.5" customHeight="1">
      <c r="H26" s="17"/>
      <c r="AV26" s="20"/>
    </row>
    <row r="27" spans="8:48" ht="13.5" customHeight="1">
      <c r="H27" s="17"/>
      <c r="AV27" s="20"/>
    </row>
    <row r="28" spans="8:48" ht="13.5" customHeight="1">
      <c r="H28" s="17"/>
      <c r="AV28" s="20"/>
    </row>
    <row r="29" spans="8:48" ht="13.5" customHeight="1">
      <c r="H29" s="17"/>
      <c r="AV29" s="20"/>
    </row>
    <row r="30" spans="8:48" ht="13.5" customHeight="1">
      <c r="H30" s="17"/>
      <c r="AV30" s="20"/>
    </row>
    <row r="31" spans="8:48" ht="13.5" customHeight="1">
      <c r="H31" s="17"/>
      <c r="AV31" s="20"/>
    </row>
    <row r="32" spans="8:48" ht="13.5" customHeight="1">
      <c r="H32" s="17"/>
      <c r="AV32" s="20"/>
    </row>
    <row r="33" spans="1:48" ht="13.5" customHeight="1">
      <c r="AV33" s="20"/>
    </row>
    <row r="34" spans="1:48" ht="13.5" customHeight="1">
      <c r="AV34" s="20"/>
    </row>
    <row r="35" spans="1:48" ht="13.5" customHeight="1">
      <c r="B35" s="85" t="s">
        <v>68</v>
      </c>
      <c r="C35" s="86"/>
      <c r="D35" s="87"/>
      <c r="E35" s="85" t="s">
        <v>68</v>
      </c>
      <c r="F35" s="86"/>
      <c r="G35" s="87"/>
      <c r="H35" s="85" t="s">
        <v>128</v>
      </c>
      <c r="I35" s="86"/>
      <c r="J35" s="87"/>
      <c r="K35" s="85" t="s">
        <v>129</v>
      </c>
      <c r="L35" s="86"/>
      <c r="M35" s="87"/>
      <c r="N35" s="73"/>
      <c r="O35" s="73"/>
      <c r="P35" s="73"/>
      <c r="AV35" s="20"/>
    </row>
    <row r="36" spans="1:48" ht="13.5" customHeight="1">
      <c r="B36" s="76"/>
      <c r="C36" s="77"/>
      <c r="D36" s="77"/>
      <c r="E36" s="76"/>
      <c r="F36" s="77"/>
      <c r="G36" s="77"/>
      <c r="H36" s="76"/>
      <c r="I36" s="77"/>
      <c r="J36" s="77"/>
      <c r="K36" s="76"/>
      <c r="L36" s="77"/>
      <c r="M36" s="78"/>
      <c r="N36" s="73"/>
      <c r="O36" s="73"/>
      <c r="P36" s="73"/>
      <c r="AV36" s="20"/>
    </row>
    <row r="37" spans="1:48" ht="13.5" customHeight="1">
      <c r="B37" s="79"/>
      <c r="C37" s="80"/>
      <c r="D37" s="80"/>
      <c r="E37" s="79"/>
      <c r="F37" s="80"/>
      <c r="G37" s="80"/>
      <c r="H37" s="79"/>
      <c r="I37" s="80"/>
      <c r="J37" s="80"/>
      <c r="K37" s="79"/>
      <c r="L37" s="80"/>
      <c r="M37" s="81"/>
      <c r="N37" s="73"/>
      <c r="O37" s="73"/>
      <c r="P37" s="73"/>
      <c r="AV37" s="20"/>
    </row>
    <row r="38" spans="1:48" ht="13.5" customHeight="1">
      <c r="B38" s="82"/>
      <c r="C38" s="83"/>
      <c r="D38" s="83"/>
      <c r="E38" s="82"/>
      <c r="F38" s="83"/>
      <c r="G38" s="83"/>
      <c r="H38" s="82"/>
      <c r="I38" s="83"/>
      <c r="J38" s="83"/>
      <c r="K38" s="82"/>
      <c r="L38" s="83"/>
      <c r="M38" s="84"/>
      <c r="N38" s="73"/>
      <c r="O38" s="73"/>
      <c r="P38" s="73"/>
      <c r="AL38" s="281">
        <f>MAX(変更履歴!C:C)</f>
        <v>0</v>
      </c>
      <c r="AM38" s="281"/>
      <c r="AN38" s="281"/>
      <c r="AO38" s="281"/>
      <c r="AP38" s="281"/>
      <c r="AQ38" s="281"/>
      <c r="AR38" s="279">
        <f>MAX(変更履歴!B:B)</f>
        <v>1</v>
      </c>
      <c r="AS38" s="279"/>
      <c r="AT38" s="279"/>
      <c r="AV38" s="20"/>
    </row>
    <row r="39" spans="1:48" ht="13.5" customHeight="1">
      <c r="AV39" s="20"/>
    </row>
    <row r="40" spans="1:48" ht="13.5" customHeight="1">
      <c r="A40" s="12"/>
      <c r="B40" s="12"/>
      <c r="C40" s="18"/>
      <c r="D40" s="19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</row>
  </sheetData>
  <customSheetViews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1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7" fitToHeight="0" orientation="landscape" useFirstPageNumber="1" horizontalDpi="300" verticalDpi="300" r:id="rId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pageSetUpPr fitToPage="1"/>
  </sheetPr>
  <dimension ref="A1:U105"/>
  <sheetViews>
    <sheetView showGridLines="0" zoomScaleNormal="100" zoomScaleSheetLayoutView="100" workbookViewId="0">
      <pane ySplit="5" topLeftCell="A6" activePane="bottomLeft" state="frozen"/>
      <selection activeCell="A9" sqref="A9"/>
      <selection pane="bottomLeft" activeCell="H13" sqref="H13:P13"/>
    </sheetView>
  </sheetViews>
  <sheetFormatPr defaultRowHeight="20.100000000000001" customHeight="1"/>
  <cols>
    <col min="1" max="1" width="3.42578125" style="47" customWidth="1"/>
    <col min="2" max="2" width="5.7109375" style="47" customWidth="1"/>
    <col min="3" max="3" width="24.7109375" style="47" customWidth="1"/>
    <col min="4" max="4" width="24.28515625" style="47" customWidth="1"/>
    <col min="5" max="5" width="25.7109375" style="47" customWidth="1"/>
    <col min="6" max="6" width="10.7109375" style="47" customWidth="1"/>
    <col min="7" max="7" width="14" style="47" customWidth="1"/>
    <col min="8" max="8" width="12" style="47" customWidth="1"/>
    <col min="9" max="9" width="9.5703125" style="47" hidden="1" customWidth="1"/>
    <col min="10" max="14" width="3" style="47" customWidth="1"/>
    <col min="15" max="15" width="12" style="47" customWidth="1"/>
    <col min="16" max="17" width="13.42578125" style="47" customWidth="1"/>
    <col min="18" max="18" width="10.5703125" style="47" customWidth="1"/>
    <col min="19" max="21" width="13.42578125" style="47" customWidth="1"/>
    <col min="22" max="16384" width="9.140625" style="47"/>
  </cols>
  <sheetData>
    <row r="1" spans="1:21" ht="12" customHeight="1" thickBot="1">
      <c r="A1" s="53"/>
    </row>
    <row r="2" spans="1:21" ht="15" customHeight="1">
      <c r="B2" s="220" t="s">
        <v>211</v>
      </c>
      <c r="C2" s="221"/>
      <c r="D2" s="221"/>
      <c r="E2" s="222"/>
      <c r="F2" s="226" t="s">
        <v>2</v>
      </c>
      <c r="G2" s="227"/>
      <c r="H2" s="242" t="str">
        <f>ProjectName</f>
        <v>○△□プロジェクト</v>
      </c>
      <c r="I2" s="243"/>
      <c r="J2" s="243"/>
      <c r="K2" s="243"/>
      <c r="L2" s="243"/>
      <c r="M2" s="243"/>
      <c r="N2" s="243"/>
      <c r="O2" s="244"/>
      <c r="P2" s="138" t="s">
        <v>3</v>
      </c>
      <c r="Q2" s="255" t="str">
        <f>CreateBy</f>
        <v>○○　✕✕</v>
      </c>
      <c r="R2" s="256"/>
      <c r="S2" s="138" t="s">
        <v>4</v>
      </c>
      <c r="T2" s="304" t="str">
        <f>CreateAt</f>
        <v>2020/12/25</v>
      </c>
      <c r="U2" s="305"/>
    </row>
    <row r="3" spans="1:21" ht="15" customHeight="1" thickBot="1">
      <c r="B3" s="223"/>
      <c r="C3" s="224"/>
      <c r="D3" s="224"/>
      <c r="E3" s="225"/>
      <c r="F3" s="228" t="s">
        <v>5</v>
      </c>
      <c r="G3" s="229"/>
      <c r="H3" s="257" t="str">
        <f>systemName</f>
        <v>○✕システム</v>
      </c>
      <c r="I3" s="258"/>
      <c r="J3" s="258"/>
      <c r="K3" s="258"/>
      <c r="L3" s="258"/>
      <c r="M3" s="258"/>
      <c r="N3" s="258"/>
      <c r="O3" s="259"/>
      <c r="P3" s="139" t="s">
        <v>6</v>
      </c>
      <c r="Q3" s="252"/>
      <c r="R3" s="254"/>
      <c r="S3" s="139" t="s">
        <v>7</v>
      </c>
      <c r="T3" s="306"/>
      <c r="U3" s="307"/>
    </row>
    <row r="4" spans="1:21" ht="5.25" customHeight="1" thickBot="1"/>
    <row r="5" spans="1:21" ht="20.100000000000001" customHeight="1" thickBot="1">
      <c r="B5" s="143" t="s">
        <v>333</v>
      </c>
      <c r="C5" s="237" t="s">
        <v>115</v>
      </c>
      <c r="D5" s="240"/>
      <c r="E5" s="237" t="s">
        <v>231</v>
      </c>
      <c r="F5" s="238"/>
      <c r="G5" s="240"/>
      <c r="H5" s="237" t="s">
        <v>244</v>
      </c>
      <c r="I5" s="238"/>
      <c r="J5" s="238"/>
      <c r="K5" s="238"/>
      <c r="L5" s="238"/>
      <c r="M5" s="238"/>
      <c r="N5" s="238"/>
      <c r="O5" s="238"/>
      <c r="P5" s="240"/>
      <c r="Q5" s="237" t="s">
        <v>120</v>
      </c>
      <c r="R5" s="238"/>
      <c r="S5" s="238"/>
      <c r="T5" s="238"/>
      <c r="U5" s="239"/>
    </row>
    <row r="6" spans="1:21" s="51" customFormat="1" ht="20.100000000000001" customHeight="1">
      <c r="B6" s="69">
        <f>ROW()-5</f>
        <v>1</v>
      </c>
      <c r="C6" s="282" t="s">
        <v>147</v>
      </c>
      <c r="D6" s="283"/>
      <c r="E6" s="301"/>
      <c r="F6" s="302"/>
      <c r="G6" s="303"/>
      <c r="H6" s="301" t="s">
        <v>470</v>
      </c>
      <c r="I6" s="302"/>
      <c r="J6" s="302"/>
      <c r="K6" s="302"/>
      <c r="L6" s="302"/>
      <c r="M6" s="302"/>
      <c r="N6" s="302"/>
      <c r="O6" s="302"/>
      <c r="P6" s="303"/>
      <c r="Q6" s="287"/>
      <c r="R6" s="288"/>
      <c r="S6" s="288"/>
      <c r="T6" s="288"/>
      <c r="U6" s="289"/>
    </row>
    <row r="7" spans="1:21" s="51" customFormat="1" ht="20.100000000000001" customHeight="1">
      <c r="B7" s="69">
        <f>ROW()-5</f>
        <v>2</v>
      </c>
      <c r="C7" s="282" t="s">
        <v>147</v>
      </c>
      <c r="D7" s="283"/>
      <c r="E7" s="301"/>
      <c r="F7" s="302"/>
      <c r="G7" s="303"/>
      <c r="H7" s="301" t="s">
        <v>471</v>
      </c>
      <c r="I7" s="302"/>
      <c r="J7" s="302"/>
      <c r="K7" s="302"/>
      <c r="L7" s="302"/>
      <c r="M7" s="302"/>
      <c r="N7" s="302"/>
      <c r="O7" s="302"/>
      <c r="P7" s="303"/>
      <c r="Q7" s="287"/>
      <c r="R7" s="288"/>
      <c r="S7" s="288"/>
      <c r="T7" s="288"/>
      <c r="U7" s="289"/>
    </row>
    <row r="8" spans="1:21" s="51" customFormat="1" ht="20.100000000000001" customHeight="1">
      <c r="B8" s="69">
        <f>ROW()-5</f>
        <v>3</v>
      </c>
      <c r="C8" s="282" t="s">
        <v>147</v>
      </c>
      <c r="D8" s="283"/>
      <c r="E8" s="301"/>
      <c r="F8" s="302"/>
      <c r="G8" s="303"/>
      <c r="H8" s="301" t="s">
        <v>472</v>
      </c>
      <c r="I8" s="302"/>
      <c r="J8" s="302"/>
      <c r="K8" s="302"/>
      <c r="L8" s="302"/>
      <c r="M8" s="302"/>
      <c r="N8" s="302"/>
      <c r="O8" s="302"/>
      <c r="P8" s="303"/>
      <c r="Q8" s="287"/>
      <c r="R8" s="288"/>
      <c r="S8" s="288"/>
      <c r="T8" s="288"/>
      <c r="U8" s="289"/>
    </row>
    <row r="9" spans="1:21" s="51" customFormat="1" ht="20.100000000000001" customHeight="1">
      <c r="B9" s="69">
        <f>ROW()-5</f>
        <v>4</v>
      </c>
      <c r="C9" s="282" t="s">
        <v>147</v>
      </c>
      <c r="D9" s="283"/>
      <c r="E9" s="301"/>
      <c r="F9" s="302"/>
      <c r="G9" s="303"/>
      <c r="H9" s="301" t="s">
        <v>473</v>
      </c>
      <c r="I9" s="302"/>
      <c r="J9" s="302"/>
      <c r="K9" s="302"/>
      <c r="L9" s="302"/>
      <c r="M9" s="302"/>
      <c r="N9" s="302"/>
      <c r="O9" s="302"/>
      <c r="P9" s="303"/>
      <c r="Q9" s="287"/>
      <c r="R9" s="288"/>
      <c r="S9" s="288"/>
      <c r="T9" s="288"/>
      <c r="U9" s="289"/>
    </row>
    <row r="10" spans="1:21" s="51" customFormat="1" ht="20.100000000000001" customHeight="1">
      <c r="B10" s="69">
        <f>ROW()-5</f>
        <v>5</v>
      </c>
      <c r="C10" s="300" t="s">
        <v>147</v>
      </c>
      <c r="D10" s="300"/>
      <c r="E10" s="284"/>
      <c r="F10" s="290"/>
      <c r="G10" s="291"/>
      <c r="H10" s="301" t="s">
        <v>474</v>
      </c>
      <c r="I10" s="302"/>
      <c r="J10" s="302"/>
      <c r="K10" s="302"/>
      <c r="L10" s="302"/>
      <c r="M10" s="302"/>
      <c r="N10" s="302"/>
      <c r="O10" s="302"/>
      <c r="P10" s="303"/>
      <c r="Q10" s="287"/>
      <c r="R10" s="288"/>
      <c r="S10" s="288"/>
      <c r="T10" s="288"/>
      <c r="U10" s="289"/>
    </row>
    <row r="11" spans="1:21" s="51" customFormat="1" ht="20.100000000000001" customHeight="1">
      <c r="B11" s="69">
        <f>ROW()-5</f>
        <v>6</v>
      </c>
      <c r="C11" s="282" t="s">
        <v>147</v>
      </c>
      <c r="D11" s="283"/>
      <c r="E11" s="284"/>
      <c r="F11" s="290"/>
      <c r="G11" s="291"/>
      <c r="H11" s="301" t="s">
        <v>475</v>
      </c>
      <c r="I11" s="302"/>
      <c r="J11" s="302"/>
      <c r="K11" s="302"/>
      <c r="L11" s="302"/>
      <c r="M11" s="302"/>
      <c r="N11" s="302"/>
      <c r="O11" s="302"/>
      <c r="P11" s="303"/>
      <c r="Q11" s="287"/>
      <c r="R11" s="288"/>
      <c r="S11" s="288"/>
      <c r="T11" s="288"/>
      <c r="U11" s="289"/>
    </row>
    <row r="12" spans="1:21" s="51" customFormat="1" ht="20.100000000000001" customHeight="1">
      <c r="B12" s="69">
        <f>ROW()-5</f>
        <v>7</v>
      </c>
      <c r="C12" s="282" t="s">
        <v>147</v>
      </c>
      <c r="D12" s="283"/>
      <c r="E12" s="284"/>
      <c r="F12" s="290"/>
      <c r="G12" s="291"/>
      <c r="H12" s="301" t="s">
        <v>477</v>
      </c>
      <c r="I12" s="302"/>
      <c r="J12" s="302"/>
      <c r="K12" s="302"/>
      <c r="L12" s="302"/>
      <c r="M12" s="302"/>
      <c r="N12" s="302"/>
      <c r="O12" s="302"/>
      <c r="P12" s="303"/>
      <c r="Q12" s="287"/>
      <c r="R12" s="288"/>
      <c r="S12" s="288"/>
      <c r="T12" s="288"/>
      <c r="U12" s="289"/>
    </row>
    <row r="13" spans="1:21" s="51" customFormat="1" ht="20.100000000000001" customHeight="1">
      <c r="B13" s="69">
        <f>ROW()-5</f>
        <v>8</v>
      </c>
      <c r="C13" s="282" t="s">
        <v>147</v>
      </c>
      <c r="D13" s="283"/>
      <c r="E13" s="284"/>
      <c r="F13" s="290"/>
      <c r="G13" s="291"/>
      <c r="H13" s="301" t="s">
        <v>476</v>
      </c>
      <c r="I13" s="302"/>
      <c r="J13" s="302"/>
      <c r="K13" s="302"/>
      <c r="L13" s="302"/>
      <c r="M13" s="302"/>
      <c r="N13" s="302"/>
      <c r="O13" s="302"/>
      <c r="P13" s="303"/>
      <c r="Q13" s="287"/>
      <c r="R13" s="288"/>
      <c r="S13" s="288"/>
      <c r="T13" s="288"/>
      <c r="U13" s="289"/>
    </row>
    <row r="14" spans="1:21" s="51" customFormat="1" ht="20.100000000000001" customHeight="1">
      <c r="B14" s="69">
        <f t="shared" ref="B10:B73" si="0">ROW()-5</f>
        <v>9</v>
      </c>
      <c r="C14" s="282"/>
      <c r="D14" s="283"/>
      <c r="E14" s="284"/>
      <c r="F14" s="290"/>
      <c r="G14" s="291"/>
      <c r="H14" s="284"/>
      <c r="I14" s="290"/>
      <c r="J14" s="290"/>
      <c r="K14" s="290"/>
      <c r="L14" s="290"/>
      <c r="M14" s="290"/>
      <c r="N14" s="290"/>
      <c r="O14" s="290"/>
      <c r="P14" s="291"/>
      <c r="Q14" s="287"/>
      <c r="R14" s="288"/>
      <c r="S14" s="288"/>
      <c r="T14" s="288"/>
      <c r="U14" s="289"/>
    </row>
    <row r="15" spans="1:21" s="51" customFormat="1" ht="20.100000000000001" customHeight="1">
      <c r="B15" s="69">
        <f t="shared" si="0"/>
        <v>10</v>
      </c>
      <c r="C15" s="282"/>
      <c r="D15" s="283"/>
      <c r="E15" s="284"/>
      <c r="F15" s="290"/>
      <c r="G15" s="291"/>
      <c r="H15" s="284"/>
      <c r="I15" s="290"/>
      <c r="J15" s="290"/>
      <c r="K15" s="290"/>
      <c r="L15" s="290"/>
      <c r="M15" s="290"/>
      <c r="N15" s="290"/>
      <c r="O15" s="290"/>
      <c r="P15" s="291"/>
      <c r="Q15" s="287"/>
      <c r="R15" s="288"/>
      <c r="S15" s="288"/>
      <c r="T15" s="288"/>
      <c r="U15" s="289"/>
    </row>
    <row r="16" spans="1:21" s="51" customFormat="1" ht="20.100000000000001" customHeight="1">
      <c r="B16" s="69">
        <f t="shared" si="0"/>
        <v>11</v>
      </c>
      <c r="C16" s="282"/>
      <c r="D16" s="283"/>
      <c r="E16" s="284"/>
      <c r="F16" s="290"/>
      <c r="G16" s="291"/>
      <c r="H16" s="284"/>
      <c r="I16" s="290"/>
      <c r="J16" s="290"/>
      <c r="K16" s="290"/>
      <c r="L16" s="290"/>
      <c r="M16" s="290"/>
      <c r="N16" s="290"/>
      <c r="O16" s="290"/>
      <c r="P16" s="291"/>
      <c r="Q16" s="287"/>
      <c r="R16" s="288"/>
      <c r="S16" s="288"/>
      <c r="T16" s="288"/>
      <c r="U16" s="289"/>
    </row>
    <row r="17" spans="2:21" s="51" customFormat="1" ht="20.100000000000001" customHeight="1">
      <c r="B17" s="69">
        <f t="shared" si="0"/>
        <v>12</v>
      </c>
      <c r="C17" s="282"/>
      <c r="D17" s="283"/>
      <c r="E17" s="284"/>
      <c r="F17" s="290"/>
      <c r="G17" s="291"/>
      <c r="H17" s="284"/>
      <c r="I17" s="290"/>
      <c r="J17" s="290"/>
      <c r="K17" s="290"/>
      <c r="L17" s="290"/>
      <c r="M17" s="290"/>
      <c r="N17" s="290"/>
      <c r="O17" s="290"/>
      <c r="P17" s="291"/>
      <c r="Q17" s="287"/>
      <c r="R17" s="288"/>
      <c r="S17" s="288"/>
      <c r="T17" s="288"/>
      <c r="U17" s="289"/>
    </row>
    <row r="18" spans="2:21" s="51" customFormat="1" ht="20.100000000000001" customHeight="1">
      <c r="B18" s="69">
        <f t="shared" si="0"/>
        <v>13</v>
      </c>
      <c r="C18" s="282"/>
      <c r="D18" s="283"/>
      <c r="E18" s="284"/>
      <c r="F18" s="290"/>
      <c r="G18" s="291"/>
      <c r="H18" s="284"/>
      <c r="I18" s="290"/>
      <c r="J18" s="290"/>
      <c r="K18" s="290"/>
      <c r="L18" s="290"/>
      <c r="M18" s="290"/>
      <c r="N18" s="290"/>
      <c r="O18" s="290"/>
      <c r="P18" s="291"/>
      <c r="Q18" s="287"/>
      <c r="R18" s="288"/>
      <c r="S18" s="288"/>
      <c r="T18" s="288"/>
      <c r="U18" s="289"/>
    </row>
    <row r="19" spans="2:21" s="51" customFormat="1" ht="20.100000000000001" customHeight="1">
      <c r="B19" s="69">
        <f t="shared" si="0"/>
        <v>14</v>
      </c>
      <c r="C19" s="282"/>
      <c r="D19" s="283"/>
      <c r="E19" s="284"/>
      <c r="F19" s="290"/>
      <c r="G19" s="291"/>
      <c r="H19" s="284"/>
      <c r="I19" s="290"/>
      <c r="J19" s="290"/>
      <c r="K19" s="290"/>
      <c r="L19" s="290"/>
      <c r="M19" s="290"/>
      <c r="N19" s="290"/>
      <c r="O19" s="290"/>
      <c r="P19" s="291"/>
      <c r="Q19" s="287"/>
      <c r="R19" s="288"/>
      <c r="S19" s="288"/>
      <c r="T19" s="288"/>
      <c r="U19" s="289"/>
    </row>
    <row r="20" spans="2:21" s="51" customFormat="1" ht="20.100000000000001" customHeight="1">
      <c r="B20" s="69">
        <f t="shared" si="0"/>
        <v>15</v>
      </c>
      <c r="C20" s="282"/>
      <c r="D20" s="283"/>
      <c r="E20" s="284"/>
      <c r="F20" s="290"/>
      <c r="G20" s="291"/>
      <c r="H20" s="284"/>
      <c r="I20" s="290"/>
      <c r="J20" s="290"/>
      <c r="K20" s="290"/>
      <c r="L20" s="290"/>
      <c r="M20" s="290"/>
      <c r="N20" s="290"/>
      <c r="O20" s="290"/>
      <c r="P20" s="291"/>
      <c r="Q20" s="287"/>
      <c r="R20" s="288"/>
      <c r="S20" s="288"/>
      <c r="T20" s="288"/>
      <c r="U20" s="289"/>
    </row>
    <row r="21" spans="2:21" s="51" customFormat="1" ht="20.100000000000001" customHeight="1">
      <c r="B21" s="69">
        <f t="shared" si="0"/>
        <v>16</v>
      </c>
      <c r="C21" s="282"/>
      <c r="D21" s="283"/>
      <c r="E21" s="284"/>
      <c r="F21" s="290"/>
      <c r="G21" s="291"/>
      <c r="H21" s="284"/>
      <c r="I21" s="290"/>
      <c r="J21" s="290"/>
      <c r="K21" s="290"/>
      <c r="L21" s="290"/>
      <c r="M21" s="290"/>
      <c r="N21" s="290"/>
      <c r="O21" s="290"/>
      <c r="P21" s="291"/>
      <c r="Q21" s="287"/>
      <c r="R21" s="288"/>
      <c r="S21" s="288"/>
      <c r="T21" s="288"/>
      <c r="U21" s="289"/>
    </row>
    <row r="22" spans="2:21" s="51" customFormat="1" ht="20.100000000000001" customHeight="1">
      <c r="B22" s="69">
        <f t="shared" si="0"/>
        <v>17</v>
      </c>
      <c r="C22" s="282"/>
      <c r="D22" s="283"/>
      <c r="E22" s="284"/>
      <c r="F22" s="290"/>
      <c r="G22" s="291"/>
      <c r="H22" s="284"/>
      <c r="I22" s="290"/>
      <c r="J22" s="290"/>
      <c r="K22" s="290"/>
      <c r="L22" s="290"/>
      <c r="M22" s="290"/>
      <c r="N22" s="290"/>
      <c r="O22" s="290"/>
      <c r="P22" s="291"/>
      <c r="Q22" s="287"/>
      <c r="R22" s="288"/>
      <c r="S22" s="288"/>
      <c r="T22" s="288"/>
      <c r="U22" s="289"/>
    </row>
    <row r="23" spans="2:21" s="51" customFormat="1" ht="20.100000000000001" customHeight="1">
      <c r="B23" s="69">
        <f t="shared" si="0"/>
        <v>18</v>
      </c>
      <c r="C23" s="282"/>
      <c r="D23" s="283"/>
      <c r="E23" s="284"/>
      <c r="F23" s="290"/>
      <c r="G23" s="291"/>
      <c r="H23" s="284"/>
      <c r="I23" s="290"/>
      <c r="J23" s="290"/>
      <c r="K23" s="290"/>
      <c r="L23" s="290"/>
      <c r="M23" s="290"/>
      <c r="N23" s="290"/>
      <c r="O23" s="290"/>
      <c r="P23" s="291"/>
      <c r="Q23" s="287"/>
      <c r="R23" s="288"/>
      <c r="S23" s="288"/>
      <c r="T23" s="288"/>
      <c r="U23" s="289"/>
    </row>
    <row r="24" spans="2:21" s="51" customFormat="1" ht="20.100000000000001" customHeight="1">
      <c r="B24" s="69">
        <f t="shared" si="0"/>
        <v>19</v>
      </c>
      <c r="C24" s="282"/>
      <c r="D24" s="283"/>
      <c r="E24" s="284"/>
      <c r="F24" s="290"/>
      <c r="G24" s="291"/>
      <c r="H24" s="284"/>
      <c r="I24" s="290"/>
      <c r="J24" s="290"/>
      <c r="K24" s="290"/>
      <c r="L24" s="290"/>
      <c r="M24" s="290"/>
      <c r="N24" s="290"/>
      <c r="O24" s="290"/>
      <c r="P24" s="291"/>
      <c r="Q24" s="287"/>
      <c r="R24" s="288"/>
      <c r="S24" s="288"/>
      <c r="T24" s="288"/>
      <c r="U24" s="289"/>
    </row>
    <row r="25" spans="2:21" s="51" customFormat="1" ht="20.100000000000001" customHeight="1">
      <c r="B25" s="69">
        <f t="shared" si="0"/>
        <v>20</v>
      </c>
      <c r="C25" s="282"/>
      <c r="D25" s="283"/>
      <c r="E25" s="284"/>
      <c r="F25" s="290"/>
      <c r="G25" s="291"/>
      <c r="H25" s="284"/>
      <c r="I25" s="290"/>
      <c r="J25" s="290"/>
      <c r="K25" s="290"/>
      <c r="L25" s="290"/>
      <c r="M25" s="290"/>
      <c r="N25" s="290"/>
      <c r="O25" s="290"/>
      <c r="P25" s="291"/>
      <c r="Q25" s="287"/>
      <c r="R25" s="288"/>
      <c r="S25" s="288"/>
      <c r="T25" s="288"/>
      <c r="U25" s="289"/>
    </row>
    <row r="26" spans="2:21" s="51" customFormat="1" ht="20.100000000000001" customHeight="1">
      <c r="B26" s="69">
        <f t="shared" si="0"/>
        <v>21</v>
      </c>
      <c r="C26" s="282"/>
      <c r="D26" s="283"/>
      <c r="E26" s="284"/>
      <c r="F26" s="290"/>
      <c r="G26" s="291"/>
      <c r="H26" s="284"/>
      <c r="I26" s="290"/>
      <c r="J26" s="290"/>
      <c r="K26" s="290"/>
      <c r="L26" s="290"/>
      <c r="M26" s="290"/>
      <c r="N26" s="290"/>
      <c r="O26" s="290"/>
      <c r="P26" s="291"/>
      <c r="Q26" s="287"/>
      <c r="R26" s="288"/>
      <c r="S26" s="288"/>
      <c r="T26" s="288"/>
      <c r="U26" s="289"/>
    </row>
    <row r="27" spans="2:21" s="51" customFormat="1" ht="20.100000000000001" customHeight="1">
      <c r="B27" s="69">
        <f t="shared" si="0"/>
        <v>22</v>
      </c>
      <c r="C27" s="282"/>
      <c r="D27" s="283"/>
      <c r="E27" s="284"/>
      <c r="F27" s="290"/>
      <c r="G27" s="291"/>
      <c r="H27" s="284"/>
      <c r="I27" s="290"/>
      <c r="J27" s="290"/>
      <c r="K27" s="290"/>
      <c r="L27" s="290"/>
      <c r="M27" s="290"/>
      <c r="N27" s="290"/>
      <c r="O27" s="290"/>
      <c r="P27" s="291"/>
      <c r="Q27" s="287"/>
      <c r="R27" s="288"/>
      <c r="S27" s="288"/>
      <c r="T27" s="288"/>
      <c r="U27" s="289"/>
    </row>
    <row r="28" spans="2:21" s="51" customFormat="1" ht="20.100000000000001" customHeight="1">
      <c r="B28" s="69">
        <f t="shared" si="0"/>
        <v>23</v>
      </c>
      <c r="C28" s="282"/>
      <c r="D28" s="283"/>
      <c r="E28" s="284"/>
      <c r="F28" s="290"/>
      <c r="G28" s="291"/>
      <c r="H28" s="284"/>
      <c r="I28" s="290"/>
      <c r="J28" s="290"/>
      <c r="K28" s="290"/>
      <c r="L28" s="290"/>
      <c r="M28" s="290"/>
      <c r="N28" s="290"/>
      <c r="O28" s="290"/>
      <c r="P28" s="291"/>
      <c r="Q28" s="287"/>
      <c r="R28" s="288"/>
      <c r="S28" s="288"/>
      <c r="T28" s="288"/>
      <c r="U28" s="289"/>
    </row>
    <row r="29" spans="2:21" s="51" customFormat="1" ht="20.100000000000001" customHeight="1">
      <c r="B29" s="69">
        <f t="shared" si="0"/>
        <v>24</v>
      </c>
      <c r="C29" s="282"/>
      <c r="D29" s="283"/>
      <c r="E29" s="284"/>
      <c r="F29" s="290"/>
      <c r="G29" s="291"/>
      <c r="H29" s="284"/>
      <c r="I29" s="290"/>
      <c r="J29" s="290"/>
      <c r="K29" s="290"/>
      <c r="L29" s="290"/>
      <c r="M29" s="290"/>
      <c r="N29" s="290"/>
      <c r="O29" s="290"/>
      <c r="P29" s="291"/>
      <c r="Q29" s="287"/>
      <c r="R29" s="288"/>
      <c r="S29" s="288"/>
      <c r="T29" s="288"/>
      <c r="U29" s="289"/>
    </row>
    <row r="30" spans="2:21" s="51" customFormat="1" ht="20.100000000000001" customHeight="1">
      <c r="B30" s="69">
        <f t="shared" si="0"/>
        <v>25</v>
      </c>
      <c r="C30" s="282"/>
      <c r="D30" s="283"/>
      <c r="E30" s="284"/>
      <c r="F30" s="290"/>
      <c r="G30" s="291"/>
      <c r="H30" s="284"/>
      <c r="I30" s="290"/>
      <c r="J30" s="290"/>
      <c r="K30" s="290"/>
      <c r="L30" s="290"/>
      <c r="M30" s="290"/>
      <c r="N30" s="290"/>
      <c r="O30" s="290"/>
      <c r="P30" s="291"/>
      <c r="Q30" s="287"/>
      <c r="R30" s="288"/>
      <c r="S30" s="288"/>
      <c r="T30" s="288"/>
      <c r="U30" s="289"/>
    </row>
    <row r="31" spans="2:21" s="51" customFormat="1" ht="20.100000000000001" customHeight="1">
      <c r="B31" s="69">
        <f t="shared" si="0"/>
        <v>26</v>
      </c>
      <c r="C31" s="282"/>
      <c r="D31" s="283"/>
      <c r="E31" s="284"/>
      <c r="F31" s="290"/>
      <c r="G31" s="291"/>
      <c r="H31" s="284"/>
      <c r="I31" s="290"/>
      <c r="J31" s="290"/>
      <c r="K31" s="290"/>
      <c r="L31" s="290"/>
      <c r="M31" s="290"/>
      <c r="N31" s="290"/>
      <c r="O31" s="290"/>
      <c r="P31" s="291"/>
      <c r="Q31" s="287"/>
      <c r="R31" s="288"/>
      <c r="S31" s="288"/>
      <c r="T31" s="288"/>
      <c r="U31" s="289"/>
    </row>
    <row r="32" spans="2:21" s="51" customFormat="1" ht="20.100000000000001" customHeight="1">
      <c r="B32" s="69">
        <f t="shared" si="0"/>
        <v>27</v>
      </c>
      <c r="C32" s="282"/>
      <c r="D32" s="283"/>
      <c r="E32" s="284"/>
      <c r="F32" s="290"/>
      <c r="G32" s="291"/>
      <c r="H32" s="284"/>
      <c r="I32" s="290"/>
      <c r="J32" s="290"/>
      <c r="K32" s="290"/>
      <c r="L32" s="290"/>
      <c r="M32" s="290"/>
      <c r="N32" s="290"/>
      <c r="O32" s="290"/>
      <c r="P32" s="291"/>
      <c r="Q32" s="287"/>
      <c r="R32" s="288"/>
      <c r="S32" s="288"/>
      <c r="T32" s="288"/>
      <c r="U32" s="289"/>
    </row>
    <row r="33" spans="2:21" s="51" customFormat="1" ht="20.100000000000001" customHeight="1">
      <c r="B33" s="69">
        <f t="shared" si="0"/>
        <v>28</v>
      </c>
      <c r="C33" s="282"/>
      <c r="D33" s="283"/>
      <c r="E33" s="284"/>
      <c r="F33" s="290"/>
      <c r="G33" s="291"/>
      <c r="H33" s="284"/>
      <c r="I33" s="290"/>
      <c r="J33" s="290"/>
      <c r="K33" s="290"/>
      <c r="L33" s="290"/>
      <c r="M33" s="290"/>
      <c r="N33" s="290"/>
      <c r="O33" s="290"/>
      <c r="P33" s="291"/>
      <c r="Q33" s="287"/>
      <c r="R33" s="288"/>
      <c r="S33" s="288"/>
      <c r="T33" s="288"/>
      <c r="U33" s="289"/>
    </row>
    <row r="34" spans="2:21" s="51" customFormat="1" ht="20.100000000000001" customHeight="1">
      <c r="B34" s="69">
        <f t="shared" si="0"/>
        <v>29</v>
      </c>
      <c r="C34" s="282"/>
      <c r="D34" s="283"/>
      <c r="E34" s="284"/>
      <c r="F34" s="290"/>
      <c r="G34" s="291"/>
      <c r="H34" s="284"/>
      <c r="I34" s="290"/>
      <c r="J34" s="290"/>
      <c r="K34" s="290"/>
      <c r="L34" s="290"/>
      <c r="M34" s="290"/>
      <c r="N34" s="290"/>
      <c r="O34" s="290"/>
      <c r="P34" s="291"/>
      <c r="Q34" s="287"/>
      <c r="R34" s="288"/>
      <c r="S34" s="288"/>
      <c r="T34" s="288"/>
      <c r="U34" s="289"/>
    </row>
    <row r="35" spans="2:21" s="51" customFormat="1" ht="20.100000000000001" customHeight="1">
      <c r="B35" s="69">
        <f t="shared" si="0"/>
        <v>30</v>
      </c>
      <c r="C35" s="282"/>
      <c r="D35" s="283"/>
      <c r="E35" s="284"/>
      <c r="F35" s="290"/>
      <c r="G35" s="291"/>
      <c r="H35" s="284"/>
      <c r="I35" s="290"/>
      <c r="J35" s="290"/>
      <c r="K35" s="290"/>
      <c r="L35" s="290"/>
      <c r="M35" s="290"/>
      <c r="N35" s="290"/>
      <c r="O35" s="290"/>
      <c r="P35" s="291"/>
      <c r="Q35" s="287"/>
      <c r="R35" s="288"/>
      <c r="S35" s="288"/>
      <c r="T35" s="288"/>
      <c r="U35" s="289"/>
    </row>
    <row r="36" spans="2:21" s="51" customFormat="1" ht="20.100000000000001" customHeight="1">
      <c r="B36" s="69">
        <f t="shared" si="0"/>
        <v>31</v>
      </c>
      <c r="C36" s="282"/>
      <c r="D36" s="283"/>
      <c r="E36" s="284"/>
      <c r="F36" s="290"/>
      <c r="G36" s="291"/>
      <c r="H36" s="284"/>
      <c r="I36" s="290"/>
      <c r="J36" s="290"/>
      <c r="K36" s="290"/>
      <c r="L36" s="290"/>
      <c r="M36" s="290"/>
      <c r="N36" s="290"/>
      <c r="O36" s="290"/>
      <c r="P36" s="291"/>
      <c r="Q36" s="287"/>
      <c r="R36" s="288"/>
      <c r="S36" s="288"/>
      <c r="T36" s="288"/>
      <c r="U36" s="289"/>
    </row>
    <row r="37" spans="2:21" s="51" customFormat="1" ht="20.100000000000001" customHeight="1">
      <c r="B37" s="69">
        <f t="shared" si="0"/>
        <v>32</v>
      </c>
      <c r="C37" s="282"/>
      <c r="D37" s="283"/>
      <c r="E37" s="284"/>
      <c r="F37" s="290"/>
      <c r="G37" s="291"/>
      <c r="H37" s="284"/>
      <c r="I37" s="290"/>
      <c r="J37" s="290"/>
      <c r="K37" s="290"/>
      <c r="L37" s="290"/>
      <c r="M37" s="290"/>
      <c r="N37" s="290"/>
      <c r="O37" s="290"/>
      <c r="P37" s="291"/>
      <c r="Q37" s="287"/>
      <c r="R37" s="288"/>
      <c r="S37" s="288"/>
      <c r="T37" s="288"/>
      <c r="U37" s="289"/>
    </row>
    <row r="38" spans="2:21" s="51" customFormat="1" ht="20.100000000000001" customHeight="1">
      <c r="B38" s="69">
        <f t="shared" si="0"/>
        <v>33</v>
      </c>
      <c r="C38" s="282"/>
      <c r="D38" s="283"/>
      <c r="E38" s="284"/>
      <c r="F38" s="290"/>
      <c r="G38" s="291"/>
      <c r="H38" s="284"/>
      <c r="I38" s="290"/>
      <c r="J38" s="290"/>
      <c r="K38" s="290"/>
      <c r="L38" s="290"/>
      <c r="M38" s="290"/>
      <c r="N38" s="290"/>
      <c r="O38" s="290"/>
      <c r="P38" s="291"/>
      <c r="Q38" s="287"/>
      <c r="R38" s="288"/>
      <c r="S38" s="288"/>
      <c r="T38" s="288"/>
      <c r="U38" s="289"/>
    </row>
    <row r="39" spans="2:21" s="51" customFormat="1" ht="20.100000000000001" customHeight="1">
      <c r="B39" s="69">
        <f t="shared" si="0"/>
        <v>34</v>
      </c>
      <c r="C39" s="282"/>
      <c r="D39" s="283"/>
      <c r="E39" s="284"/>
      <c r="F39" s="290"/>
      <c r="G39" s="291"/>
      <c r="H39" s="284"/>
      <c r="I39" s="290"/>
      <c r="J39" s="290"/>
      <c r="K39" s="290"/>
      <c r="L39" s="290"/>
      <c r="M39" s="290"/>
      <c r="N39" s="290"/>
      <c r="O39" s="290"/>
      <c r="P39" s="291"/>
      <c r="Q39" s="287"/>
      <c r="R39" s="288"/>
      <c r="S39" s="288"/>
      <c r="T39" s="288"/>
      <c r="U39" s="289"/>
    </row>
    <row r="40" spans="2:21" s="51" customFormat="1" ht="20.100000000000001" customHeight="1">
      <c r="B40" s="69">
        <f t="shared" si="0"/>
        <v>35</v>
      </c>
      <c r="C40" s="282"/>
      <c r="D40" s="283"/>
      <c r="E40" s="284"/>
      <c r="F40" s="285"/>
      <c r="G40" s="286"/>
      <c r="H40" s="284"/>
      <c r="I40" s="285"/>
      <c r="J40" s="285"/>
      <c r="K40" s="285"/>
      <c r="L40" s="285"/>
      <c r="M40" s="285"/>
      <c r="N40" s="285"/>
      <c r="O40" s="285"/>
      <c r="P40" s="286"/>
      <c r="Q40" s="287"/>
      <c r="R40" s="288"/>
      <c r="S40" s="288"/>
      <c r="T40" s="288"/>
      <c r="U40" s="289"/>
    </row>
    <row r="41" spans="2:21" s="51" customFormat="1" ht="20.100000000000001" customHeight="1">
      <c r="B41" s="69">
        <f t="shared" si="0"/>
        <v>36</v>
      </c>
      <c r="C41" s="282"/>
      <c r="D41" s="283"/>
      <c r="E41" s="284"/>
      <c r="F41" s="285"/>
      <c r="G41" s="286"/>
      <c r="H41" s="284"/>
      <c r="I41" s="285"/>
      <c r="J41" s="285"/>
      <c r="K41" s="285"/>
      <c r="L41" s="285"/>
      <c r="M41" s="285"/>
      <c r="N41" s="285"/>
      <c r="O41" s="285"/>
      <c r="P41" s="286"/>
      <c r="Q41" s="287"/>
      <c r="R41" s="288"/>
      <c r="S41" s="288"/>
      <c r="T41" s="288"/>
      <c r="U41" s="289"/>
    </row>
    <row r="42" spans="2:21" s="51" customFormat="1" ht="20.100000000000001" customHeight="1">
      <c r="B42" s="69">
        <f t="shared" si="0"/>
        <v>37</v>
      </c>
      <c r="C42" s="282"/>
      <c r="D42" s="283"/>
      <c r="E42" s="284"/>
      <c r="F42" s="285"/>
      <c r="G42" s="286"/>
      <c r="H42" s="284"/>
      <c r="I42" s="285"/>
      <c r="J42" s="285"/>
      <c r="K42" s="285"/>
      <c r="L42" s="285"/>
      <c r="M42" s="285"/>
      <c r="N42" s="285"/>
      <c r="O42" s="285"/>
      <c r="P42" s="286"/>
      <c r="Q42" s="287"/>
      <c r="R42" s="288"/>
      <c r="S42" s="288"/>
      <c r="T42" s="288"/>
      <c r="U42" s="289"/>
    </row>
    <row r="43" spans="2:21" s="51" customFormat="1" ht="20.100000000000001" customHeight="1">
      <c r="B43" s="69">
        <f t="shared" si="0"/>
        <v>38</v>
      </c>
      <c r="C43" s="282"/>
      <c r="D43" s="283"/>
      <c r="E43" s="284"/>
      <c r="F43" s="285"/>
      <c r="G43" s="286"/>
      <c r="H43" s="284"/>
      <c r="I43" s="285"/>
      <c r="J43" s="285"/>
      <c r="K43" s="285"/>
      <c r="L43" s="285"/>
      <c r="M43" s="285"/>
      <c r="N43" s="285"/>
      <c r="O43" s="285"/>
      <c r="P43" s="286"/>
      <c r="Q43" s="287"/>
      <c r="R43" s="288"/>
      <c r="S43" s="288"/>
      <c r="T43" s="288"/>
      <c r="U43" s="289"/>
    </row>
    <row r="44" spans="2:21" s="51" customFormat="1" ht="20.100000000000001" customHeight="1">
      <c r="B44" s="69">
        <f t="shared" si="0"/>
        <v>39</v>
      </c>
      <c r="C44" s="282"/>
      <c r="D44" s="283"/>
      <c r="E44" s="284"/>
      <c r="F44" s="285"/>
      <c r="G44" s="286"/>
      <c r="H44" s="284"/>
      <c r="I44" s="285"/>
      <c r="J44" s="285"/>
      <c r="K44" s="285"/>
      <c r="L44" s="285"/>
      <c r="M44" s="285"/>
      <c r="N44" s="285"/>
      <c r="O44" s="285"/>
      <c r="P44" s="286"/>
      <c r="Q44" s="287"/>
      <c r="R44" s="288"/>
      <c r="S44" s="288"/>
      <c r="T44" s="288"/>
      <c r="U44" s="289"/>
    </row>
    <row r="45" spans="2:21" s="51" customFormat="1" ht="20.100000000000001" customHeight="1">
      <c r="B45" s="69">
        <f t="shared" si="0"/>
        <v>40</v>
      </c>
      <c r="C45" s="282"/>
      <c r="D45" s="283"/>
      <c r="E45" s="284"/>
      <c r="F45" s="285"/>
      <c r="G45" s="286"/>
      <c r="H45" s="284"/>
      <c r="I45" s="285"/>
      <c r="J45" s="285"/>
      <c r="K45" s="285"/>
      <c r="L45" s="285"/>
      <c r="M45" s="285"/>
      <c r="N45" s="285"/>
      <c r="O45" s="285"/>
      <c r="P45" s="286"/>
      <c r="Q45" s="287"/>
      <c r="R45" s="288"/>
      <c r="S45" s="288"/>
      <c r="T45" s="288"/>
      <c r="U45" s="289"/>
    </row>
    <row r="46" spans="2:21" s="51" customFormat="1" ht="20.100000000000001" customHeight="1">
      <c r="B46" s="69">
        <f t="shared" si="0"/>
        <v>41</v>
      </c>
      <c r="C46" s="282"/>
      <c r="D46" s="283"/>
      <c r="E46" s="284"/>
      <c r="F46" s="285"/>
      <c r="G46" s="286"/>
      <c r="H46" s="284"/>
      <c r="I46" s="285"/>
      <c r="J46" s="285"/>
      <c r="K46" s="285"/>
      <c r="L46" s="285"/>
      <c r="M46" s="285"/>
      <c r="N46" s="285"/>
      <c r="O46" s="285"/>
      <c r="P46" s="286"/>
      <c r="Q46" s="287"/>
      <c r="R46" s="288"/>
      <c r="S46" s="288"/>
      <c r="T46" s="288"/>
      <c r="U46" s="289"/>
    </row>
    <row r="47" spans="2:21" s="51" customFormat="1" ht="20.100000000000001" customHeight="1">
      <c r="B47" s="69">
        <f t="shared" si="0"/>
        <v>42</v>
      </c>
      <c r="C47" s="282"/>
      <c r="D47" s="283"/>
      <c r="E47" s="284"/>
      <c r="F47" s="285"/>
      <c r="G47" s="286"/>
      <c r="H47" s="284"/>
      <c r="I47" s="285"/>
      <c r="J47" s="285"/>
      <c r="K47" s="285"/>
      <c r="L47" s="285"/>
      <c r="M47" s="285"/>
      <c r="N47" s="285"/>
      <c r="O47" s="285"/>
      <c r="P47" s="286"/>
      <c r="Q47" s="287"/>
      <c r="R47" s="288"/>
      <c r="S47" s="288"/>
      <c r="T47" s="288"/>
      <c r="U47" s="289"/>
    </row>
    <row r="48" spans="2:21" s="51" customFormat="1" ht="20.100000000000001" customHeight="1">
      <c r="B48" s="69">
        <f t="shared" si="0"/>
        <v>43</v>
      </c>
      <c r="C48" s="282"/>
      <c r="D48" s="283"/>
      <c r="E48" s="284"/>
      <c r="F48" s="285"/>
      <c r="G48" s="286"/>
      <c r="H48" s="284"/>
      <c r="I48" s="285"/>
      <c r="J48" s="285"/>
      <c r="K48" s="285"/>
      <c r="L48" s="285"/>
      <c r="M48" s="285"/>
      <c r="N48" s="285"/>
      <c r="O48" s="285"/>
      <c r="P48" s="286"/>
      <c r="Q48" s="287"/>
      <c r="R48" s="288"/>
      <c r="S48" s="288"/>
      <c r="T48" s="288"/>
      <c r="U48" s="289"/>
    </row>
    <row r="49" spans="2:21" s="51" customFormat="1" ht="20.100000000000001" customHeight="1">
      <c r="B49" s="69">
        <f t="shared" si="0"/>
        <v>44</v>
      </c>
      <c r="C49" s="282"/>
      <c r="D49" s="283"/>
      <c r="E49" s="284"/>
      <c r="F49" s="285"/>
      <c r="G49" s="286"/>
      <c r="H49" s="284"/>
      <c r="I49" s="285"/>
      <c r="J49" s="285"/>
      <c r="K49" s="285"/>
      <c r="L49" s="285"/>
      <c r="M49" s="285"/>
      <c r="N49" s="285"/>
      <c r="O49" s="285"/>
      <c r="P49" s="286"/>
      <c r="Q49" s="287"/>
      <c r="R49" s="288"/>
      <c r="S49" s="288"/>
      <c r="T49" s="288"/>
      <c r="U49" s="289"/>
    </row>
    <row r="50" spans="2:21" s="51" customFormat="1" ht="20.100000000000001" customHeight="1">
      <c r="B50" s="69">
        <f t="shared" si="0"/>
        <v>45</v>
      </c>
      <c r="C50" s="282"/>
      <c r="D50" s="283"/>
      <c r="E50" s="284"/>
      <c r="F50" s="285"/>
      <c r="G50" s="286"/>
      <c r="H50" s="284"/>
      <c r="I50" s="285"/>
      <c r="J50" s="285"/>
      <c r="K50" s="285"/>
      <c r="L50" s="285"/>
      <c r="M50" s="285"/>
      <c r="N50" s="285"/>
      <c r="O50" s="285"/>
      <c r="P50" s="286"/>
      <c r="Q50" s="287"/>
      <c r="R50" s="288"/>
      <c r="S50" s="288"/>
      <c r="T50" s="288"/>
      <c r="U50" s="289"/>
    </row>
    <row r="51" spans="2:21" s="51" customFormat="1" ht="20.100000000000001" customHeight="1">
      <c r="B51" s="69">
        <f t="shared" si="0"/>
        <v>46</v>
      </c>
      <c r="C51" s="282"/>
      <c r="D51" s="283"/>
      <c r="E51" s="284"/>
      <c r="F51" s="285"/>
      <c r="G51" s="286"/>
      <c r="H51" s="284"/>
      <c r="I51" s="285"/>
      <c r="J51" s="285"/>
      <c r="K51" s="285"/>
      <c r="L51" s="285"/>
      <c r="M51" s="285"/>
      <c r="N51" s="285"/>
      <c r="O51" s="285"/>
      <c r="P51" s="286"/>
      <c r="Q51" s="287"/>
      <c r="R51" s="288"/>
      <c r="S51" s="288"/>
      <c r="T51" s="288"/>
      <c r="U51" s="289"/>
    </row>
    <row r="52" spans="2:21" s="51" customFormat="1" ht="20.100000000000001" customHeight="1">
      <c r="B52" s="69">
        <f t="shared" si="0"/>
        <v>47</v>
      </c>
      <c r="C52" s="282"/>
      <c r="D52" s="283"/>
      <c r="E52" s="284"/>
      <c r="F52" s="285"/>
      <c r="G52" s="286"/>
      <c r="H52" s="284"/>
      <c r="I52" s="285"/>
      <c r="J52" s="285"/>
      <c r="K52" s="285"/>
      <c r="L52" s="285"/>
      <c r="M52" s="285"/>
      <c r="N52" s="285"/>
      <c r="O52" s="285"/>
      <c r="P52" s="286"/>
      <c r="Q52" s="287"/>
      <c r="R52" s="288"/>
      <c r="S52" s="288"/>
      <c r="T52" s="288"/>
      <c r="U52" s="289"/>
    </row>
    <row r="53" spans="2:21" s="51" customFormat="1" ht="20.100000000000001" customHeight="1">
      <c r="B53" s="69">
        <f t="shared" si="0"/>
        <v>48</v>
      </c>
      <c r="C53" s="282"/>
      <c r="D53" s="283"/>
      <c r="E53" s="284"/>
      <c r="F53" s="285"/>
      <c r="G53" s="286"/>
      <c r="H53" s="284"/>
      <c r="I53" s="285"/>
      <c r="J53" s="285"/>
      <c r="K53" s="285"/>
      <c r="L53" s="285"/>
      <c r="M53" s="285"/>
      <c r="N53" s="285"/>
      <c r="O53" s="285"/>
      <c r="P53" s="286"/>
      <c r="Q53" s="287"/>
      <c r="R53" s="288"/>
      <c r="S53" s="288"/>
      <c r="T53" s="288"/>
      <c r="U53" s="289"/>
    </row>
    <row r="54" spans="2:21" s="51" customFormat="1" ht="20.100000000000001" customHeight="1">
      <c r="B54" s="69">
        <f t="shared" si="0"/>
        <v>49</v>
      </c>
      <c r="C54" s="282"/>
      <c r="D54" s="283"/>
      <c r="E54" s="284"/>
      <c r="F54" s="285"/>
      <c r="G54" s="286"/>
      <c r="H54" s="284"/>
      <c r="I54" s="285"/>
      <c r="J54" s="285"/>
      <c r="K54" s="285"/>
      <c r="L54" s="285"/>
      <c r="M54" s="285"/>
      <c r="N54" s="285"/>
      <c r="O54" s="285"/>
      <c r="P54" s="286"/>
      <c r="Q54" s="287"/>
      <c r="R54" s="288"/>
      <c r="S54" s="288"/>
      <c r="T54" s="288"/>
      <c r="U54" s="289"/>
    </row>
    <row r="55" spans="2:21" s="51" customFormat="1" ht="20.100000000000001" customHeight="1">
      <c r="B55" s="69">
        <f t="shared" si="0"/>
        <v>50</v>
      </c>
      <c r="C55" s="282"/>
      <c r="D55" s="283"/>
      <c r="E55" s="284"/>
      <c r="F55" s="285"/>
      <c r="G55" s="286"/>
      <c r="H55" s="284"/>
      <c r="I55" s="285"/>
      <c r="J55" s="285"/>
      <c r="K55" s="285"/>
      <c r="L55" s="285"/>
      <c r="M55" s="285"/>
      <c r="N55" s="285"/>
      <c r="O55" s="285"/>
      <c r="P55" s="286"/>
      <c r="Q55" s="287"/>
      <c r="R55" s="288"/>
      <c r="S55" s="288"/>
      <c r="T55" s="288"/>
      <c r="U55" s="289"/>
    </row>
    <row r="56" spans="2:21" s="51" customFormat="1" ht="20.100000000000001" customHeight="1">
      <c r="B56" s="69">
        <f t="shared" si="0"/>
        <v>51</v>
      </c>
      <c r="C56" s="282"/>
      <c r="D56" s="283"/>
      <c r="E56" s="284"/>
      <c r="F56" s="285"/>
      <c r="G56" s="286"/>
      <c r="H56" s="284"/>
      <c r="I56" s="285"/>
      <c r="J56" s="285"/>
      <c r="K56" s="285"/>
      <c r="L56" s="285"/>
      <c r="M56" s="285"/>
      <c r="N56" s="285"/>
      <c r="O56" s="285"/>
      <c r="P56" s="286"/>
      <c r="Q56" s="287"/>
      <c r="R56" s="288"/>
      <c r="S56" s="288"/>
      <c r="T56" s="288"/>
      <c r="U56" s="289"/>
    </row>
    <row r="57" spans="2:21" s="51" customFormat="1" ht="20.100000000000001" customHeight="1">
      <c r="B57" s="69">
        <f t="shared" si="0"/>
        <v>52</v>
      </c>
      <c r="C57" s="282"/>
      <c r="D57" s="283"/>
      <c r="E57" s="284"/>
      <c r="F57" s="285"/>
      <c r="G57" s="286"/>
      <c r="H57" s="284"/>
      <c r="I57" s="285"/>
      <c r="J57" s="285"/>
      <c r="K57" s="285"/>
      <c r="L57" s="285"/>
      <c r="M57" s="285"/>
      <c r="N57" s="285"/>
      <c r="O57" s="285"/>
      <c r="P57" s="286"/>
      <c r="Q57" s="287"/>
      <c r="R57" s="288"/>
      <c r="S57" s="288"/>
      <c r="T57" s="288"/>
      <c r="U57" s="289"/>
    </row>
    <row r="58" spans="2:21" s="51" customFormat="1" ht="20.100000000000001" customHeight="1">
      <c r="B58" s="69">
        <f t="shared" si="0"/>
        <v>53</v>
      </c>
      <c r="C58" s="282"/>
      <c r="D58" s="283"/>
      <c r="E58" s="284"/>
      <c r="F58" s="285"/>
      <c r="G58" s="286"/>
      <c r="H58" s="284"/>
      <c r="I58" s="285"/>
      <c r="J58" s="285"/>
      <c r="K58" s="285"/>
      <c r="L58" s="285"/>
      <c r="M58" s="285"/>
      <c r="N58" s="285"/>
      <c r="O58" s="285"/>
      <c r="P58" s="286"/>
      <c r="Q58" s="287"/>
      <c r="R58" s="288"/>
      <c r="S58" s="288"/>
      <c r="T58" s="288"/>
      <c r="U58" s="289"/>
    </row>
    <row r="59" spans="2:21" s="51" customFormat="1" ht="20.100000000000001" customHeight="1">
      <c r="B59" s="69">
        <f t="shared" si="0"/>
        <v>54</v>
      </c>
      <c r="C59" s="282"/>
      <c r="D59" s="283"/>
      <c r="E59" s="284"/>
      <c r="F59" s="285"/>
      <c r="G59" s="286"/>
      <c r="H59" s="284"/>
      <c r="I59" s="285"/>
      <c r="J59" s="285"/>
      <c r="K59" s="285"/>
      <c r="L59" s="285"/>
      <c r="M59" s="285"/>
      <c r="N59" s="285"/>
      <c r="O59" s="285"/>
      <c r="P59" s="286"/>
      <c r="Q59" s="287"/>
      <c r="R59" s="288"/>
      <c r="S59" s="288"/>
      <c r="T59" s="288"/>
      <c r="U59" s="289"/>
    </row>
    <row r="60" spans="2:21" s="51" customFormat="1" ht="20.100000000000001" customHeight="1">
      <c r="B60" s="69">
        <f t="shared" si="0"/>
        <v>55</v>
      </c>
      <c r="C60" s="282"/>
      <c r="D60" s="283"/>
      <c r="E60" s="284"/>
      <c r="F60" s="285"/>
      <c r="G60" s="286"/>
      <c r="H60" s="284"/>
      <c r="I60" s="285"/>
      <c r="J60" s="285"/>
      <c r="K60" s="285"/>
      <c r="L60" s="285"/>
      <c r="M60" s="285"/>
      <c r="N60" s="285"/>
      <c r="O60" s="285"/>
      <c r="P60" s="286"/>
      <c r="Q60" s="287"/>
      <c r="R60" s="288"/>
      <c r="S60" s="288"/>
      <c r="T60" s="288"/>
      <c r="U60" s="289"/>
    </row>
    <row r="61" spans="2:21" s="51" customFormat="1" ht="20.100000000000001" customHeight="1">
      <c r="B61" s="69">
        <f t="shared" si="0"/>
        <v>56</v>
      </c>
      <c r="C61" s="282"/>
      <c r="D61" s="283"/>
      <c r="E61" s="284"/>
      <c r="F61" s="285"/>
      <c r="G61" s="286"/>
      <c r="H61" s="284"/>
      <c r="I61" s="285"/>
      <c r="J61" s="285"/>
      <c r="K61" s="285"/>
      <c r="L61" s="285"/>
      <c r="M61" s="285"/>
      <c r="N61" s="285"/>
      <c r="O61" s="285"/>
      <c r="P61" s="286"/>
      <c r="Q61" s="287"/>
      <c r="R61" s="288"/>
      <c r="S61" s="288"/>
      <c r="T61" s="288"/>
      <c r="U61" s="289"/>
    </row>
    <row r="62" spans="2:21" s="51" customFormat="1" ht="20.100000000000001" customHeight="1">
      <c r="B62" s="69">
        <f t="shared" si="0"/>
        <v>57</v>
      </c>
      <c r="C62" s="282"/>
      <c r="D62" s="283"/>
      <c r="E62" s="284"/>
      <c r="F62" s="285"/>
      <c r="G62" s="286"/>
      <c r="H62" s="284"/>
      <c r="I62" s="285"/>
      <c r="J62" s="285"/>
      <c r="K62" s="285"/>
      <c r="L62" s="285"/>
      <c r="M62" s="285"/>
      <c r="N62" s="285"/>
      <c r="O62" s="285"/>
      <c r="P62" s="286"/>
      <c r="Q62" s="287"/>
      <c r="R62" s="288"/>
      <c r="S62" s="288"/>
      <c r="T62" s="288"/>
      <c r="U62" s="289"/>
    </row>
    <row r="63" spans="2:21" s="51" customFormat="1" ht="20.100000000000001" customHeight="1">
      <c r="B63" s="69">
        <f t="shared" si="0"/>
        <v>58</v>
      </c>
      <c r="C63" s="282"/>
      <c r="D63" s="283"/>
      <c r="E63" s="284"/>
      <c r="F63" s="285"/>
      <c r="G63" s="286"/>
      <c r="H63" s="284"/>
      <c r="I63" s="285"/>
      <c r="J63" s="285"/>
      <c r="K63" s="285"/>
      <c r="L63" s="285"/>
      <c r="M63" s="285"/>
      <c r="N63" s="285"/>
      <c r="O63" s="285"/>
      <c r="P63" s="286"/>
      <c r="Q63" s="287"/>
      <c r="R63" s="288"/>
      <c r="S63" s="288"/>
      <c r="T63" s="288"/>
      <c r="U63" s="289"/>
    </row>
    <row r="64" spans="2:21" s="51" customFormat="1" ht="20.100000000000001" customHeight="1">
      <c r="B64" s="69">
        <f t="shared" si="0"/>
        <v>59</v>
      </c>
      <c r="C64" s="282"/>
      <c r="D64" s="283"/>
      <c r="E64" s="284"/>
      <c r="F64" s="285"/>
      <c r="G64" s="286"/>
      <c r="H64" s="284"/>
      <c r="I64" s="285"/>
      <c r="J64" s="285"/>
      <c r="K64" s="285"/>
      <c r="L64" s="285"/>
      <c r="M64" s="285"/>
      <c r="N64" s="285"/>
      <c r="O64" s="285"/>
      <c r="P64" s="286"/>
      <c r="Q64" s="287"/>
      <c r="R64" s="288"/>
      <c r="S64" s="288"/>
      <c r="T64" s="288"/>
      <c r="U64" s="289"/>
    </row>
    <row r="65" spans="2:21" s="51" customFormat="1" ht="20.100000000000001" customHeight="1">
      <c r="B65" s="69">
        <f t="shared" si="0"/>
        <v>60</v>
      </c>
      <c r="C65" s="282"/>
      <c r="D65" s="283"/>
      <c r="E65" s="284"/>
      <c r="F65" s="285"/>
      <c r="G65" s="286"/>
      <c r="H65" s="284"/>
      <c r="I65" s="285"/>
      <c r="J65" s="285"/>
      <c r="K65" s="285"/>
      <c r="L65" s="285"/>
      <c r="M65" s="285"/>
      <c r="N65" s="285"/>
      <c r="O65" s="285"/>
      <c r="P65" s="286"/>
      <c r="Q65" s="287"/>
      <c r="R65" s="288"/>
      <c r="S65" s="288"/>
      <c r="T65" s="288"/>
      <c r="U65" s="289"/>
    </row>
    <row r="66" spans="2:21" s="51" customFormat="1" ht="20.100000000000001" customHeight="1">
      <c r="B66" s="69">
        <f t="shared" si="0"/>
        <v>61</v>
      </c>
      <c r="C66" s="282"/>
      <c r="D66" s="283"/>
      <c r="E66" s="284"/>
      <c r="F66" s="285"/>
      <c r="G66" s="286"/>
      <c r="H66" s="284"/>
      <c r="I66" s="285"/>
      <c r="J66" s="285"/>
      <c r="K66" s="285"/>
      <c r="L66" s="285"/>
      <c r="M66" s="285"/>
      <c r="N66" s="285"/>
      <c r="O66" s="285"/>
      <c r="P66" s="286"/>
      <c r="Q66" s="287"/>
      <c r="R66" s="288"/>
      <c r="S66" s="288"/>
      <c r="T66" s="288"/>
      <c r="U66" s="289"/>
    </row>
    <row r="67" spans="2:21" s="51" customFormat="1" ht="20.100000000000001" customHeight="1">
      <c r="B67" s="69">
        <f t="shared" si="0"/>
        <v>62</v>
      </c>
      <c r="C67" s="282"/>
      <c r="D67" s="283"/>
      <c r="E67" s="284"/>
      <c r="F67" s="285"/>
      <c r="G67" s="286"/>
      <c r="H67" s="284"/>
      <c r="I67" s="285"/>
      <c r="J67" s="285"/>
      <c r="K67" s="285"/>
      <c r="L67" s="285"/>
      <c r="M67" s="285"/>
      <c r="N67" s="285"/>
      <c r="O67" s="285"/>
      <c r="P67" s="286"/>
      <c r="Q67" s="287"/>
      <c r="R67" s="288"/>
      <c r="S67" s="288"/>
      <c r="T67" s="288"/>
      <c r="U67" s="289"/>
    </row>
    <row r="68" spans="2:21" s="51" customFormat="1" ht="20.100000000000001" customHeight="1">
      <c r="B68" s="69">
        <f t="shared" si="0"/>
        <v>63</v>
      </c>
      <c r="C68" s="282"/>
      <c r="D68" s="283"/>
      <c r="E68" s="284"/>
      <c r="F68" s="285"/>
      <c r="G68" s="286"/>
      <c r="H68" s="284"/>
      <c r="I68" s="285"/>
      <c r="J68" s="285"/>
      <c r="K68" s="285"/>
      <c r="L68" s="285"/>
      <c r="M68" s="285"/>
      <c r="N68" s="285"/>
      <c r="O68" s="285"/>
      <c r="P68" s="286"/>
      <c r="Q68" s="287"/>
      <c r="R68" s="288"/>
      <c r="S68" s="288"/>
      <c r="T68" s="288"/>
      <c r="U68" s="289"/>
    </row>
    <row r="69" spans="2:21" s="51" customFormat="1" ht="20.100000000000001" customHeight="1">
      <c r="B69" s="69">
        <f t="shared" si="0"/>
        <v>64</v>
      </c>
      <c r="C69" s="282"/>
      <c r="D69" s="283"/>
      <c r="E69" s="284"/>
      <c r="F69" s="285"/>
      <c r="G69" s="286"/>
      <c r="H69" s="284"/>
      <c r="I69" s="285"/>
      <c r="J69" s="285"/>
      <c r="K69" s="285"/>
      <c r="L69" s="285"/>
      <c r="M69" s="285"/>
      <c r="N69" s="285"/>
      <c r="O69" s="285"/>
      <c r="P69" s="286"/>
      <c r="Q69" s="287"/>
      <c r="R69" s="288"/>
      <c r="S69" s="288"/>
      <c r="T69" s="288"/>
      <c r="U69" s="289"/>
    </row>
    <row r="70" spans="2:21" s="51" customFormat="1" ht="20.100000000000001" customHeight="1">
      <c r="B70" s="69">
        <f t="shared" si="0"/>
        <v>65</v>
      </c>
      <c r="C70" s="282"/>
      <c r="D70" s="283"/>
      <c r="E70" s="284"/>
      <c r="F70" s="285"/>
      <c r="G70" s="286"/>
      <c r="H70" s="284"/>
      <c r="I70" s="285"/>
      <c r="J70" s="285"/>
      <c r="K70" s="285"/>
      <c r="L70" s="285"/>
      <c r="M70" s="285"/>
      <c r="N70" s="285"/>
      <c r="O70" s="285"/>
      <c r="P70" s="286"/>
      <c r="Q70" s="287"/>
      <c r="R70" s="288"/>
      <c r="S70" s="288"/>
      <c r="T70" s="288"/>
      <c r="U70" s="289"/>
    </row>
    <row r="71" spans="2:21" s="51" customFormat="1" ht="20.100000000000001" customHeight="1">
      <c r="B71" s="69">
        <f t="shared" si="0"/>
        <v>66</v>
      </c>
      <c r="C71" s="282"/>
      <c r="D71" s="283"/>
      <c r="E71" s="284"/>
      <c r="F71" s="285"/>
      <c r="G71" s="286"/>
      <c r="H71" s="284"/>
      <c r="I71" s="285"/>
      <c r="J71" s="285"/>
      <c r="K71" s="285"/>
      <c r="L71" s="285"/>
      <c r="M71" s="285"/>
      <c r="N71" s="285"/>
      <c r="O71" s="285"/>
      <c r="P71" s="286"/>
      <c r="Q71" s="287"/>
      <c r="R71" s="288"/>
      <c r="S71" s="288"/>
      <c r="T71" s="288"/>
      <c r="U71" s="289"/>
    </row>
    <row r="72" spans="2:21" s="51" customFormat="1" ht="20.100000000000001" customHeight="1">
      <c r="B72" s="69">
        <f t="shared" si="0"/>
        <v>67</v>
      </c>
      <c r="C72" s="282"/>
      <c r="D72" s="283"/>
      <c r="E72" s="284"/>
      <c r="F72" s="285"/>
      <c r="G72" s="286"/>
      <c r="H72" s="284"/>
      <c r="I72" s="285"/>
      <c r="J72" s="285"/>
      <c r="K72" s="285"/>
      <c r="L72" s="285"/>
      <c r="M72" s="285"/>
      <c r="N72" s="285"/>
      <c r="O72" s="285"/>
      <c r="P72" s="286"/>
      <c r="Q72" s="287"/>
      <c r="R72" s="288"/>
      <c r="S72" s="288"/>
      <c r="T72" s="288"/>
      <c r="U72" s="289"/>
    </row>
    <row r="73" spans="2:21" s="51" customFormat="1" ht="20.100000000000001" customHeight="1">
      <c r="B73" s="69">
        <f t="shared" si="0"/>
        <v>68</v>
      </c>
      <c r="C73" s="282"/>
      <c r="D73" s="283"/>
      <c r="E73" s="284"/>
      <c r="F73" s="285"/>
      <c r="G73" s="286"/>
      <c r="H73" s="284"/>
      <c r="I73" s="285"/>
      <c r="J73" s="285"/>
      <c r="K73" s="285"/>
      <c r="L73" s="285"/>
      <c r="M73" s="285"/>
      <c r="N73" s="285"/>
      <c r="O73" s="285"/>
      <c r="P73" s="286"/>
      <c r="Q73" s="287"/>
      <c r="R73" s="288"/>
      <c r="S73" s="288"/>
      <c r="T73" s="288"/>
      <c r="U73" s="289"/>
    </row>
    <row r="74" spans="2:21" s="51" customFormat="1" ht="20.100000000000001" customHeight="1">
      <c r="B74" s="69">
        <f t="shared" ref="B74:B79" si="1">ROW()-5</f>
        <v>69</v>
      </c>
      <c r="C74" s="282"/>
      <c r="D74" s="283"/>
      <c r="E74" s="284"/>
      <c r="F74" s="285"/>
      <c r="G74" s="286"/>
      <c r="H74" s="284"/>
      <c r="I74" s="285"/>
      <c r="J74" s="285"/>
      <c r="K74" s="285"/>
      <c r="L74" s="285"/>
      <c r="M74" s="285"/>
      <c r="N74" s="285"/>
      <c r="O74" s="285"/>
      <c r="P74" s="286"/>
      <c r="Q74" s="287"/>
      <c r="R74" s="288"/>
      <c r="S74" s="288"/>
      <c r="T74" s="288"/>
      <c r="U74" s="289"/>
    </row>
    <row r="75" spans="2:21" s="51" customFormat="1" ht="20.100000000000001" customHeight="1">
      <c r="B75" s="69">
        <f t="shared" si="1"/>
        <v>70</v>
      </c>
      <c r="C75" s="282"/>
      <c r="D75" s="283"/>
      <c r="E75" s="284"/>
      <c r="F75" s="285"/>
      <c r="G75" s="286"/>
      <c r="H75" s="284"/>
      <c r="I75" s="285"/>
      <c r="J75" s="285"/>
      <c r="K75" s="285"/>
      <c r="L75" s="285"/>
      <c r="M75" s="285"/>
      <c r="N75" s="285"/>
      <c r="O75" s="285"/>
      <c r="P75" s="286"/>
      <c r="Q75" s="287"/>
      <c r="R75" s="288"/>
      <c r="S75" s="288"/>
      <c r="T75" s="288"/>
      <c r="U75" s="289"/>
    </row>
    <row r="76" spans="2:21" s="51" customFormat="1" ht="20.100000000000001" customHeight="1">
      <c r="B76" s="69">
        <f t="shared" si="1"/>
        <v>71</v>
      </c>
      <c r="C76" s="282"/>
      <c r="D76" s="283"/>
      <c r="E76" s="284"/>
      <c r="F76" s="285"/>
      <c r="G76" s="286"/>
      <c r="H76" s="284"/>
      <c r="I76" s="285"/>
      <c r="J76" s="285"/>
      <c r="K76" s="285"/>
      <c r="L76" s="285"/>
      <c r="M76" s="285"/>
      <c r="N76" s="285"/>
      <c r="O76" s="285"/>
      <c r="P76" s="286"/>
      <c r="Q76" s="287"/>
      <c r="R76" s="288"/>
      <c r="S76" s="288"/>
      <c r="T76" s="288"/>
      <c r="U76" s="289"/>
    </row>
    <row r="77" spans="2:21" s="51" customFormat="1" ht="20.100000000000001" customHeight="1">
      <c r="B77" s="69">
        <f t="shared" si="1"/>
        <v>72</v>
      </c>
      <c r="C77" s="282"/>
      <c r="D77" s="283"/>
      <c r="E77" s="284"/>
      <c r="F77" s="285"/>
      <c r="G77" s="286"/>
      <c r="H77" s="284"/>
      <c r="I77" s="285"/>
      <c r="J77" s="285"/>
      <c r="K77" s="285"/>
      <c r="L77" s="285"/>
      <c r="M77" s="285"/>
      <c r="N77" s="285"/>
      <c r="O77" s="285"/>
      <c r="P77" s="286"/>
      <c r="Q77" s="287"/>
      <c r="R77" s="288"/>
      <c r="S77" s="288"/>
      <c r="T77" s="288"/>
      <c r="U77" s="289"/>
    </row>
    <row r="78" spans="2:21" s="51" customFormat="1" ht="20.100000000000001" customHeight="1">
      <c r="B78" s="69">
        <f t="shared" si="1"/>
        <v>73</v>
      </c>
      <c r="C78" s="282"/>
      <c r="D78" s="283"/>
      <c r="E78" s="284"/>
      <c r="F78" s="285"/>
      <c r="G78" s="286"/>
      <c r="H78" s="284"/>
      <c r="I78" s="285"/>
      <c r="J78" s="285"/>
      <c r="K78" s="285"/>
      <c r="L78" s="285"/>
      <c r="M78" s="285"/>
      <c r="N78" s="285"/>
      <c r="O78" s="285"/>
      <c r="P78" s="286"/>
      <c r="Q78" s="287"/>
      <c r="R78" s="288"/>
      <c r="S78" s="288"/>
      <c r="T78" s="288"/>
      <c r="U78" s="289"/>
    </row>
    <row r="79" spans="2:21" s="51" customFormat="1" ht="20.100000000000001" customHeight="1">
      <c r="B79" s="69">
        <f t="shared" si="1"/>
        <v>74</v>
      </c>
      <c r="C79" s="282"/>
      <c r="D79" s="283"/>
      <c r="E79" s="284"/>
      <c r="F79" s="285"/>
      <c r="G79" s="286"/>
      <c r="H79" s="284"/>
      <c r="I79" s="285"/>
      <c r="J79" s="285"/>
      <c r="K79" s="285"/>
      <c r="L79" s="285"/>
      <c r="M79" s="285"/>
      <c r="N79" s="285"/>
      <c r="O79" s="285"/>
      <c r="P79" s="286"/>
      <c r="Q79" s="287"/>
      <c r="R79" s="288"/>
      <c r="S79" s="288"/>
      <c r="T79" s="288"/>
      <c r="U79" s="289"/>
    </row>
    <row r="80" spans="2:21" s="51" customFormat="1" ht="20.100000000000001" customHeight="1">
      <c r="B80" s="69">
        <f t="shared" ref="B80:B104" si="2">ROW()-5</f>
        <v>75</v>
      </c>
      <c r="C80" s="282"/>
      <c r="D80" s="283"/>
      <c r="E80" s="284"/>
      <c r="F80" s="285"/>
      <c r="G80" s="286"/>
      <c r="H80" s="284"/>
      <c r="I80" s="285"/>
      <c r="J80" s="285"/>
      <c r="K80" s="285"/>
      <c r="L80" s="285"/>
      <c r="M80" s="285"/>
      <c r="N80" s="285"/>
      <c r="O80" s="285"/>
      <c r="P80" s="286"/>
      <c r="Q80" s="287"/>
      <c r="R80" s="288"/>
      <c r="S80" s="288"/>
      <c r="T80" s="288"/>
      <c r="U80" s="289"/>
    </row>
    <row r="81" spans="2:21" s="51" customFormat="1" ht="20.100000000000001" customHeight="1">
      <c r="B81" s="69">
        <f t="shared" si="2"/>
        <v>76</v>
      </c>
      <c r="C81" s="282"/>
      <c r="D81" s="283"/>
      <c r="E81" s="284"/>
      <c r="F81" s="285"/>
      <c r="G81" s="286"/>
      <c r="H81" s="284"/>
      <c r="I81" s="285"/>
      <c r="J81" s="285"/>
      <c r="K81" s="285"/>
      <c r="L81" s="285"/>
      <c r="M81" s="285"/>
      <c r="N81" s="285"/>
      <c r="O81" s="285"/>
      <c r="P81" s="286"/>
      <c r="Q81" s="287"/>
      <c r="R81" s="288"/>
      <c r="S81" s="288"/>
      <c r="T81" s="288"/>
      <c r="U81" s="289"/>
    </row>
    <row r="82" spans="2:21" s="51" customFormat="1" ht="20.100000000000001" customHeight="1">
      <c r="B82" s="69">
        <f t="shared" si="2"/>
        <v>77</v>
      </c>
      <c r="C82" s="282"/>
      <c r="D82" s="283"/>
      <c r="E82" s="284"/>
      <c r="F82" s="285"/>
      <c r="G82" s="286"/>
      <c r="H82" s="284"/>
      <c r="I82" s="285"/>
      <c r="J82" s="285"/>
      <c r="K82" s="285"/>
      <c r="L82" s="285"/>
      <c r="M82" s="285"/>
      <c r="N82" s="285"/>
      <c r="O82" s="285"/>
      <c r="P82" s="286"/>
      <c r="Q82" s="287"/>
      <c r="R82" s="288"/>
      <c r="S82" s="288"/>
      <c r="T82" s="288"/>
      <c r="U82" s="289"/>
    </row>
    <row r="83" spans="2:21" s="51" customFormat="1" ht="20.100000000000001" customHeight="1">
      <c r="B83" s="69">
        <f t="shared" si="2"/>
        <v>78</v>
      </c>
      <c r="C83" s="282"/>
      <c r="D83" s="283"/>
      <c r="E83" s="284"/>
      <c r="F83" s="285"/>
      <c r="G83" s="286"/>
      <c r="H83" s="284"/>
      <c r="I83" s="285"/>
      <c r="J83" s="285"/>
      <c r="K83" s="285"/>
      <c r="L83" s="285"/>
      <c r="M83" s="285"/>
      <c r="N83" s="285"/>
      <c r="O83" s="285"/>
      <c r="P83" s="286"/>
      <c r="Q83" s="287"/>
      <c r="R83" s="288"/>
      <c r="S83" s="288"/>
      <c r="T83" s="288"/>
      <c r="U83" s="289"/>
    </row>
    <row r="84" spans="2:21" s="51" customFormat="1" ht="20.100000000000001" customHeight="1">
      <c r="B84" s="69">
        <f t="shared" si="2"/>
        <v>79</v>
      </c>
      <c r="C84" s="282"/>
      <c r="D84" s="283"/>
      <c r="E84" s="284"/>
      <c r="F84" s="285"/>
      <c r="G84" s="286"/>
      <c r="H84" s="284"/>
      <c r="I84" s="285"/>
      <c r="J84" s="285"/>
      <c r="K84" s="285"/>
      <c r="L84" s="285"/>
      <c r="M84" s="285"/>
      <c r="N84" s="285"/>
      <c r="O84" s="285"/>
      <c r="P84" s="286"/>
      <c r="Q84" s="287"/>
      <c r="R84" s="288"/>
      <c r="S84" s="288"/>
      <c r="T84" s="288"/>
      <c r="U84" s="289"/>
    </row>
    <row r="85" spans="2:21" s="51" customFormat="1" ht="20.100000000000001" customHeight="1">
      <c r="B85" s="69">
        <f t="shared" si="2"/>
        <v>80</v>
      </c>
      <c r="C85" s="282"/>
      <c r="D85" s="283"/>
      <c r="E85" s="284"/>
      <c r="F85" s="285"/>
      <c r="G85" s="286"/>
      <c r="H85" s="284"/>
      <c r="I85" s="285"/>
      <c r="J85" s="285"/>
      <c r="K85" s="285"/>
      <c r="L85" s="285"/>
      <c r="M85" s="285"/>
      <c r="N85" s="285"/>
      <c r="O85" s="285"/>
      <c r="P85" s="286"/>
      <c r="Q85" s="287"/>
      <c r="R85" s="288"/>
      <c r="S85" s="288"/>
      <c r="T85" s="288"/>
      <c r="U85" s="289"/>
    </row>
    <row r="86" spans="2:21" s="51" customFormat="1" ht="20.100000000000001" customHeight="1">
      <c r="B86" s="69">
        <f t="shared" si="2"/>
        <v>81</v>
      </c>
      <c r="C86" s="282"/>
      <c r="D86" s="283"/>
      <c r="E86" s="284"/>
      <c r="F86" s="285"/>
      <c r="G86" s="286"/>
      <c r="H86" s="284"/>
      <c r="I86" s="285"/>
      <c r="J86" s="285"/>
      <c r="K86" s="285"/>
      <c r="L86" s="285"/>
      <c r="M86" s="285"/>
      <c r="N86" s="285"/>
      <c r="O86" s="285"/>
      <c r="P86" s="286"/>
      <c r="Q86" s="287"/>
      <c r="R86" s="288"/>
      <c r="S86" s="288"/>
      <c r="T86" s="288"/>
      <c r="U86" s="289"/>
    </row>
    <row r="87" spans="2:21" s="51" customFormat="1" ht="20.100000000000001" customHeight="1">
      <c r="B87" s="69">
        <f t="shared" si="2"/>
        <v>82</v>
      </c>
      <c r="C87" s="282"/>
      <c r="D87" s="283"/>
      <c r="E87" s="284"/>
      <c r="F87" s="285"/>
      <c r="G87" s="286"/>
      <c r="H87" s="284"/>
      <c r="I87" s="285"/>
      <c r="J87" s="285"/>
      <c r="K87" s="285"/>
      <c r="L87" s="285"/>
      <c r="M87" s="285"/>
      <c r="N87" s="285"/>
      <c r="O87" s="285"/>
      <c r="P87" s="286"/>
      <c r="Q87" s="287"/>
      <c r="R87" s="288"/>
      <c r="S87" s="288"/>
      <c r="T87" s="288"/>
      <c r="U87" s="289"/>
    </row>
    <row r="88" spans="2:21" s="51" customFormat="1" ht="20.100000000000001" customHeight="1">
      <c r="B88" s="69">
        <f t="shared" si="2"/>
        <v>83</v>
      </c>
      <c r="C88" s="282"/>
      <c r="D88" s="283"/>
      <c r="E88" s="284"/>
      <c r="F88" s="285"/>
      <c r="G88" s="286"/>
      <c r="H88" s="284"/>
      <c r="I88" s="285"/>
      <c r="J88" s="285"/>
      <c r="K88" s="285"/>
      <c r="L88" s="285"/>
      <c r="M88" s="285"/>
      <c r="N88" s="285"/>
      <c r="O88" s="285"/>
      <c r="P88" s="286"/>
      <c r="Q88" s="287"/>
      <c r="R88" s="288"/>
      <c r="S88" s="288"/>
      <c r="T88" s="288"/>
      <c r="U88" s="289"/>
    </row>
    <row r="89" spans="2:21" s="51" customFormat="1" ht="20.100000000000001" customHeight="1">
      <c r="B89" s="69">
        <f t="shared" si="2"/>
        <v>84</v>
      </c>
      <c r="C89" s="282"/>
      <c r="D89" s="283"/>
      <c r="E89" s="284"/>
      <c r="F89" s="285"/>
      <c r="G89" s="286"/>
      <c r="H89" s="284"/>
      <c r="I89" s="285"/>
      <c r="J89" s="285"/>
      <c r="K89" s="285"/>
      <c r="L89" s="285"/>
      <c r="M89" s="285"/>
      <c r="N89" s="285"/>
      <c r="O89" s="285"/>
      <c r="P89" s="286"/>
      <c r="Q89" s="287"/>
      <c r="R89" s="288"/>
      <c r="S89" s="288"/>
      <c r="T89" s="288"/>
      <c r="U89" s="289"/>
    </row>
    <row r="90" spans="2:21" s="51" customFormat="1" ht="20.100000000000001" customHeight="1">
      <c r="B90" s="69">
        <f t="shared" si="2"/>
        <v>85</v>
      </c>
      <c r="C90" s="282"/>
      <c r="D90" s="283"/>
      <c r="E90" s="284"/>
      <c r="F90" s="285"/>
      <c r="G90" s="286"/>
      <c r="H90" s="284"/>
      <c r="I90" s="285"/>
      <c r="J90" s="285"/>
      <c r="K90" s="285"/>
      <c r="L90" s="285"/>
      <c r="M90" s="285"/>
      <c r="N90" s="285"/>
      <c r="O90" s="285"/>
      <c r="P90" s="286"/>
      <c r="Q90" s="287"/>
      <c r="R90" s="288"/>
      <c r="S90" s="288"/>
      <c r="T90" s="288"/>
      <c r="U90" s="289"/>
    </row>
    <row r="91" spans="2:21" s="51" customFormat="1" ht="20.100000000000001" customHeight="1">
      <c r="B91" s="69">
        <f t="shared" si="2"/>
        <v>86</v>
      </c>
      <c r="C91" s="282"/>
      <c r="D91" s="283"/>
      <c r="E91" s="284"/>
      <c r="F91" s="285"/>
      <c r="G91" s="286"/>
      <c r="H91" s="284"/>
      <c r="I91" s="285"/>
      <c r="J91" s="285"/>
      <c r="K91" s="285"/>
      <c r="L91" s="285"/>
      <c r="M91" s="285"/>
      <c r="N91" s="285"/>
      <c r="O91" s="285"/>
      <c r="P91" s="286"/>
      <c r="Q91" s="287"/>
      <c r="R91" s="288"/>
      <c r="S91" s="288"/>
      <c r="T91" s="288"/>
      <c r="U91" s="289"/>
    </row>
    <row r="92" spans="2:21" s="51" customFormat="1" ht="20.100000000000001" customHeight="1">
      <c r="B92" s="69">
        <f t="shared" si="2"/>
        <v>87</v>
      </c>
      <c r="C92" s="282"/>
      <c r="D92" s="283"/>
      <c r="E92" s="284"/>
      <c r="F92" s="285"/>
      <c r="G92" s="286"/>
      <c r="H92" s="284"/>
      <c r="I92" s="285"/>
      <c r="J92" s="285"/>
      <c r="K92" s="285"/>
      <c r="L92" s="285"/>
      <c r="M92" s="285"/>
      <c r="N92" s="285"/>
      <c r="O92" s="285"/>
      <c r="P92" s="286"/>
      <c r="Q92" s="287"/>
      <c r="R92" s="288"/>
      <c r="S92" s="288"/>
      <c r="T92" s="288"/>
      <c r="U92" s="289"/>
    </row>
    <row r="93" spans="2:21" s="51" customFormat="1" ht="20.100000000000001" customHeight="1">
      <c r="B93" s="69">
        <f t="shared" si="2"/>
        <v>88</v>
      </c>
      <c r="C93" s="282"/>
      <c r="D93" s="283"/>
      <c r="E93" s="284"/>
      <c r="F93" s="285"/>
      <c r="G93" s="286"/>
      <c r="H93" s="284"/>
      <c r="I93" s="285"/>
      <c r="J93" s="285"/>
      <c r="K93" s="285"/>
      <c r="L93" s="285"/>
      <c r="M93" s="285"/>
      <c r="N93" s="285"/>
      <c r="O93" s="285"/>
      <c r="P93" s="286"/>
      <c r="Q93" s="287"/>
      <c r="R93" s="288"/>
      <c r="S93" s="288"/>
      <c r="T93" s="288"/>
      <c r="U93" s="289"/>
    </row>
    <row r="94" spans="2:21" s="51" customFormat="1" ht="20.100000000000001" customHeight="1">
      <c r="B94" s="69">
        <f t="shared" si="2"/>
        <v>89</v>
      </c>
      <c r="C94" s="282"/>
      <c r="D94" s="283"/>
      <c r="E94" s="284"/>
      <c r="F94" s="285"/>
      <c r="G94" s="286"/>
      <c r="H94" s="284"/>
      <c r="I94" s="285"/>
      <c r="J94" s="285"/>
      <c r="K94" s="285"/>
      <c r="L94" s="285"/>
      <c r="M94" s="285"/>
      <c r="N94" s="285"/>
      <c r="O94" s="285"/>
      <c r="P94" s="286"/>
      <c r="Q94" s="287"/>
      <c r="R94" s="288"/>
      <c r="S94" s="288"/>
      <c r="T94" s="288"/>
      <c r="U94" s="289"/>
    </row>
    <row r="95" spans="2:21" s="51" customFormat="1" ht="20.100000000000001" customHeight="1">
      <c r="B95" s="69">
        <f t="shared" si="2"/>
        <v>90</v>
      </c>
      <c r="C95" s="282"/>
      <c r="D95" s="283"/>
      <c r="E95" s="284"/>
      <c r="F95" s="285"/>
      <c r="G95" s="286"/>
      <c r="H95" s="284"/>
      <c r="I95" s="285"/>
      <c r="J95" s="285"/>
      <c r="K95" s="285"/>
      <c r="L95" s="285"/>
      <c r="M95" s="285"/>
      <c r="N95" s="285"/>
      <c r="O95" s="285"/>
      <c r="P95" s="286"/>
      <c r="Q95" s="287"/>
      <c r="R95" s="288"/>
      <c r="S95" s="288"/>
      <c r="T95" s="288"/>
      <c r="U95" s="289"/>
    </row>
    <row r="96" spans="2:21" s="51" customFormat="1" ht="20.100000000000001" customHeight="1">
      <c r="B96" s="69">
        <f t="shared" si="2"/>
        <v>91</v>
      </c>
      <c r="C96" s="282"/>
      <c r="D96" s="283"/>
      <c r="E96" s="284"/>
      <c r="F96" s="285"/>
      <c r="G96" s="286"/>
      <c r="H96" s="284"/>
      <c r="I96" s="285"/>
      <c r="J96" s="285"/>
      <c r="K96" s="285"/>
      <c r="L96" s="285"/>
      <c r="M96" s="285"/>
      <c r="N96" s="285"/>
      <c r="O96" s="285"/>
      <c r="P96" s="286"/>
      <c r="Q96" s="287"/>
      <c r="R96" s="288"/>
      <c r="S96" s="288"/>
      <c r="T96" s="288"/>
      <c r="U96" s="289"/>
    </row>
    <row r="97" spans="2:21" s="51" customFormat="1" ht="20.100000000000001" customHeight="1">
      <c r="B97" s="69">
        <f t="shared" si="2"/>
        <v>92</v>
      </c>
      <c r="C97" s="282"/>
      <c r="D97" s="283"/>
      <c r="E97" s="284"/>
      <c r="F97" s="285"/>
      <c r="G97" s="286"/>
      <c r="H97" s="284"/>
      <c r="I97" s="285"/>
      <c r="J97" s="285"/>
      <c r="K97" s="285"/>
      <c r="L97" s="285"/>
      <c r="M97" s="285"/>
      <c r="N97" s="285"/>
      <c r="O97" s="285"/>
      <c r="P97" s="286"/>
      <c r="Q97" s="287"/>
      <c r="R97" s="288"/>
      <c r="S97" s="288"/>
      <c r="T97" s="288"/>
      <c r="U97" s="289"/>
    </row>
    <row r="98" spans="2:21" s="51" customFormat="1" ht="20.100000000000001" customHeight="1">
      <c r="B98" s="69">
        <f t="shared" si="2"/>
        <v>93</v>
      </c>
      <c r="C98" s="282"/>
      <c r="D98" s="283"/>
      <c r="E98" s="284"/>
      <c r="F98" s="285"/>
      <c r="G98" s="286"/>
      <c r="H98" s="284"/>
      <c r="I98" s="285"/>
      <c r="J98" s="285"/>
      <c r="K98" s="285"/>
      <c r="L98" s="285"/>
      <c r="M98" s="285"/>
      <c r="N98" s="285"/>
      <c r="O98" s="285"/>
      <c r="P98" s="286"/>
      <c r="Q98" s="287"/>
      <c r="R98" s="288"/>
      <c r="S98" s="288"/>
      <c r="T98" s="288"/>
      <c r="U98" s="289"/>
    </row>
    <row r="99" spans="2:21" s="51" customFormat="1" ht="20.100000000000001" customHeight="1">
      <c r="B99" s="69">
        <f t="shared" si="2"/>
        <v>94</v>
      </c>
      <c r="C99" s="282"/>
      <c r="D99" s="283"/>
      <c r="E99" s="284"/>
      <c r="F99" s="285"/>
      <c r="G99" s="286"/>
      <c r="H99" s="284"/>
      <c r="I99" s="285"/>
      <c r="J99" s="285"/>
      <c r="K99" s="285"/>
      <c r="L99" s="285"/>
      <c r="M99" s="285"/>
      <c r="N99" s="285"/>
      <c r="O99" s="285"/>
      <c r="P99" s="286"/>
      <c r="Q99" s="287"/>
      <c r="R99" s="288"/>
      <c r="S99" s="288"/>
      <c r="T99" s="288"/>
      <c r="U99" s="289"/>
    </row>
    <row r="100" spans="2:21" s="51" customFormat="1" ht="20.100000000000001" customHeight="1">
      <c r="B100" s="69">
        <f t="shared" si="2"/>
        <v>95</v>
      </c>
      <c r="C100" s="282"/>
      <c r="D100" s="283"/>
      <c r="E100" s="284"/>
      <c r="F100" s="285"/>
      <c r="G100" s="286"/>
      <c r="H100" s="284"/>
      <c r="I100" s="285"/>
      <c r="J100" s="285"/>
      <c r="K100" s="285"/>
      <c r="L100" s="285"/>
      <c r="M100" s="285"/>
      <c r="N100" s="285"/>
      <c r="O100" s="285"/>
      <c r="P100" s="286"/>
      <c r="Q100" s="287"/>
      <c r="R100" s="288"/>
      <c r="S100" s="288"/>
      <c r="T100" s="288"/>
      <c r="U100" s="289"/>
    </row>
    <row r="101" spans="2:21" s="51" customFormat="1" ht="20.100000000000001" customHeight="1">
      <c r="B101" s="69">
        <f t="shared" si="2"/>
        <v>96</v>
      </c>
      <c r="C101" s="282"/>
      <c r="D101" s="283"/>
      <c r="E101" s="284"/>
      <c r="F101" s="285"/>
      <c r="G101" s="286"/>
      <c r="H101" s="284"/>
      <c r="I101" s="285"/>
      <c r="J101" s="285"/>
      <c r="K101" s="285"/>
      <c r="L101" s="285"/>
      <c r="M101" s="285"/>
      <c r="N101" s="285"/>
      <c r="O101" s="285"/>
      <c r="P101" s="286"/>
      <c r="Q101" s="287"/>
      <c r="R101" s="288"/>
      <c r="S101" s="288"/>
      <c r="T101" s="288"/>
      <c r="U101" s="289"/>
    </row>
    <row r="102" spans="2:21" s="51" customFormat="1" ht="20.100000000000001" customHeight="1">
      <c r="B102" s="69">
        <f t="shared" si="2"/>
        <v>97</v>
      </c>
      <c r="C102" s="282"/>
      <c r="D102" s="283"/>
      <c r="E102" s="284"/>
      <c r="F102" s="285"/>
      <c r="G102" s="286"/>
      <c r="H102" s="284"/>
      <c r="I102" s="285"/>
      <c r="J102" s="285"/>
      <c r="K102" s="285"/>
      <c r="L102" s="285"/>
      <c r="M102" s="285"/>
      <c r="N102" s="285"/>
      <c r="O102" s="285"/>
      <c r="P102" s="286"/>
      <c r="Q102" s="287"/>
      <c r="R102" s="288"/>
      <c r="S102" s="288"/>
      <c r="T102" s="288"/>
      <c r="U102" s="289"/>
    </row>
    <row r="103" spans="2:21" s="51" customFormat="1" ht="20.100000000000001" customHeight="1">
      <c r="B103" s="69">
        <f t="shared" si="2"/>
        <v>98</v>
      </c>
      <c r="C103" s="282"/>
      <c r="D103" s="283"/>
      <c r="E103" s="284"/>
      <c r="F103" s="285"/>
      <c r="G103" s="286"/>
      <c r="H103" s="284"/>
      <c r="I103" s="285"/>
      <c r="J103" s="285"/>
      <c r="K103" s="285"/>
      <c r="L103" s="285"/>
      <c r="M103" s="285"/>
      <c r="N103" s="285"/>
      <c r="O103" s="285"/>
      <c r="P103" s="286"/>
      <c r="Q103" s="287"/>
      <c r="R103" s="288"/>
      <c r="S103" s="288"/>
      <c r="T103" s="288"/>
      <c r="U103" s="289"/>
    </row>
    <row r="104" spans="2:21" s="51" customFormat="1" ht="20.100000000000001" customHeight="1">
      <c r="B104" s="69">
        <f t="shared" si="2"/>
        <v>99</v>
      </c>
      <c r="C104" s="282"/>
      <c r="D104" s="283"/>
      <c r="E104" s="284"/>
      <c r="F104" s="285"/>
      <c r="G104" s="286"/>
      <c r="H104" s="284"/>
      <c r="I104" s="285"/>
      <c r="J104" s="285"/>
      <c r="K104" s="285"/>
      <c r="L104" s="285"/>
      <c r="M104" s="285"/>
      <c r="N104" s="285"/>
      <c r="O104" s="285"/>
      <c r="P104" s="286"/>
      <c r="Q104" s="287"/>
      <c r="R104" s="288"/>
      <c r="S104" s="288"/>
      <c r="T104" s="288"/>
      <c r="U104" s="289"/>
    </row>
    <row r="105" spans="2:21" s="51" customFormat="1" ht="20.100000000000001" customHeight="1" thickBot="1">
      <c r="B105" s="75">
        <f>ROW()-5</f>
        <v>100</v>
      </c>
      <c r="C105" s="292"/>
      <c r="D105" s="293"/>
      <c r="E105" s="294"/>
      <c r="F105" s="295"/>
      <c r="G105" s="296"/>
      <c r="H105" s="294"/>
      <c r="I105" s="295"/>
      <c r="J105" s="295"/>
      <c r="K105" s="295"/>
      <c r="L105" s="295"/>
      <c r="M105" s="295"/>
      <c r="N105" s="295"/>
      <c r="O105" s="295"/>
      <c r="P105" s="296"/>
      <c r="Q105" s="297"/>
      <c r="R105" s="298"/>
      <c r="S105" s="298"/>
      <c r="T105" s="298"/>
      <c r="U105" s="299"/>
    </row>
  </sheetData>
  <sheetProtection formatCells="0" formatColumns="0" formatRows="0" insertHyperlinks="0"/>
  <customSheetViews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1"/>
      <headerFooter alignWithMargins="0">
        <oddFooter>&amp;R&amp;"Arial,標準"&amp;8Sharp Business Solutions Corporation&amp;C&amp;P / &amp;N</oddFooter>
      </headerFooter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4"/>
      <headerFooter alignWithMargins="0"/>
    </customSheetView>
  </customSheetViews>
  <mergeCells count="413">
    <mergeCell ref="E10:G10"/>
    <mergeCell ref="T2:U2"/>
    <mergeCell ref="H3:O3"/>
    <mergeCell ref="Q3:R3"/>
    <mergeCell ref="T3:U3"/>
    <mergeCell ref="H2:O2"/>
    <mergeCell ref="Q2:R2"/>
    <mergeCell ref="E6:G6"/>
    <mergeCell ref="E7:G7"/>
    <mergeCell ref="H5:P5"/>
    <mergeCell ref="H6:P6"/>
    <mergeCell ref="H7:P7"/>
    <mergeCell ref="B2:E3"/>
    <mergeCell ref="F2:G2"/>
    <mergeCell ref="F3:G3"/>
    <mergeCell ref="E5:G5"/>
    <mergeCell ref="Q5:U5"/>
    <mergeCell ref="Q6:U6"/>
    <mergeCell ref="Q7:U7"/>
    <mergeCell ref="H10:P10"/>
    <mergeCell ref="Q10:U10"/>
    <mergeCell ref="Q14:U14"/>
    <mergeCell ref="H103:P103"/>
    <mergeCell ref="Q103:U103"/>
    <mergeCell ref="Q101:U101"/>
    <mergeCell ref="E100:G100"/>
    <mergeCell ref="H100:P100"/>
    <mergeCell ref="Q100:U100"/>
    <mergeCell ref="H98:P98"/>
    <mergeCell ref="H101:P101"/>
    <mergeCell ref="E102:G102"/>
    <mergeCell ref="E28:G28"/>
    <mergeCell ref="H28:P28"/>
    <mergeCell ref="Q28:U28"/>
    <mergeCell ref="E29:G29"/>
    <mergeCell ref="H29:P29"/>
    <mergeCell ref="Q29:U29"/>
    <mergeCell ref="E91:G91"/>
    <mergeCell ref="H91:P91"/>
    <mergeCell ref="Q91:U91"/>
    <mergeCell ref="Q24:U24"/>
    <mergeCell ref="Q25:U25"/>
    <mergeCell ref="Q26:U26"/>
    <mergeCell ref="Q27:U27"/>
    <mergeCell ref="Q98:U98"/>
    <mergeCell ref="Q102:U102"/>
    <mergeCell ref="E103:G103"/>
    <mergeCell ref="E98:G98"/>
    <mergeCell ref="E101:G101"/>
    <mergeCell ref="Q15:U15"/>
    <mergeCell ref="Q16:U16"/>
    <mergeCell ref="Q17:U17"/>
    <mergeCell ref="Q18:U18"/>
    <mergeCell ref="Q19:U19"/>
    <mergeCell ref="Q20:U20"/>
    <mergeCell ref="Q21:U21"/>
    <mergeCell ref="Q22:U22"/>
    <mergeCell ref="Q23:U23"/>
    <mergeCell ref="H13:P13"/>
    <mergeCell ref="Q13:U13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1:G11"/>
    <mergeCell ref="H11:P11"/>
    <mergeCell ref="Q11:U11"/>
    <mergeCell ref="E12:G12"/>
    <mergeCell ref="H12:P12"/>
    <mergeCell ref="Q12:U12"/>
    <mergeCell ref="E13:G13"/>
    <mergeCell ref="E8:G8"/>
    <mergeCell ref="H8:P8"/>
    <mergeCell ref="Q8:U8"/>
    <mergeCell ref="E9:G9"/>
    <mergeCell ref="H9:P9"/>
    <mergeCell ref="Q9:U9"/>
    <mergeCell ref="C14:D14"/>
    <mergeCell ref="C15:D15"/>
    <mergeCell ref="E15:G15"/>
    <mergeCell ref="H15:P15"/>
    <mergeCell ref="C16:D16"/>
    <mergeCell ref="E16:G16"/>
    <mergeCell ref="H16:P16"/>
    <mergeCell ref="C17:D17"/>
    <mergeCell ref="E17:G17"/>
    <mergeCell ref="H17:P17"/>
    <mergeCell ref="E14:G14"/>
    <mergeCell ref="H14:P14"/>
    <mergeCell ref="C18:D18"/>
    <mergeCell ref="E18:G18"/>
    <mergeCell ref="H18:P18"/>
    <mergeCell ref="C19:D19"/>
    <mergeCell ref="E19:G19"/>
    <mergeCell ref="H19:P19"/>
    <mergeCell ref="C20:D20"/>
    <mergeCell ref="E20:G20"/>
    <mergeCell ref="H20:P20"/>
    <mergeCell ref="C21:D21"/>
    <mergeCell ref="E21:G21"/>
    <mergeCell ref="H21:P21"/>
    <mergeCell ref="C22:D22"/>
    <mergeCell ref="E22:G22"/>
    <mergeCell ref="H22:P22"/>
    <mergeCell ref="C23:D23"/>
    <mergeCell ref="E23:G23"/>
    <mergeCell ref="H23:P23"/>
    <mergeCell ref="C24:D24"/>
    <mergeCell ref="E24:G24"/>
    <mergeCell ref="H24:P24"/>
    <mergeCell ref="C25:D25"/>
    <mergeCell ref="E25:G25"/>
    <mergeCell ref="H25:P25"/>
    <mergeCell ref="C26:D26"/>
    <mergeCell ref="E26:G26"/>
    <mergeCell ref="H26:P26"/>
    <mergeCell ref="C101:D101"/>
    <mergeCell ref="C102:D102"/>
    <mergeCell ref="C103:D103"/>
    <mergeCell ref="C104:D104"/>
    <mergeCell ref="C105:D105"/>
    <mergeCell ref="E105:G105"/>
    <mergeCell ref="H105:P105"/>
    <mergeCell ref="Q105:U105"/>
    <mergeCell ref="C27:D27"/>
    <mergeCell ref="E27:G27"/>
    <mergeCell ref="H27:P27"/>
    <mergeCell ref="C28:D28"/>
    <mergeCell ref="C29:D29"/>
    <mergeCell ref="C91:D91"/>
    <mergeCell ref="C98:D98"/>
    <mergeCell ref="C99:D99"/>
    <mergeCell ref="C100:D100"/>
    <mergeCell ref="E99:G99"/>
    <mergeCell ref="H104:P104"/>
    <mergeCell ref="Q104:U104"/>
    <mergeCell ref="H99:P99"/>
    <mergeCell ref="Q99:U99"/>
    <mergeCell ref="E104:G104"/>
    <mergeCell ref="H102:P102"/>
    <mergeCell ref="C92:D92"/>
    <mergeCell ref="E92:G92"/>
    <mergeCell ref="H92:P92"/>
    <mergeCell ref="Q92:U92"/>
    <mergeCell ref="C93:D93"/>
    <mergeCell ref="E93:G93"/>
    <mergeCell ref="H93:P93"/>
    <mergeCell ref="Q93:U93"/>
    <mergeCell ref="C94:D94"/>
    <mergeCell ref="E94:G94"/>
    <mergeCell ref="H94:P94"/>
    <mergeCell ref="Q94:U94"/>
    <mergeCell ref="C95:D95"/>
    <mergeCell ref="E95:G95"/>
    <mergeCell ref="H95:P95"/>
    <mergeCell ref="Q95:U95"/>
    <mergeCell ref="C96:D96"/>
    <mergeCell ref="E96:G96"/>
    <mergeCell ref="H96:P96"/>
    <mergeCell ref="Q96:U96"/>
    <mergeCell ref="C97:D97"/>
    <mergeCell ref="E97:G97"/>
    <mergeCell ref="H97:P97"/>
    <mergeCell ref="Q97:U97"/>
    <mergeCell ref="C77:D77"/>
    <mergeCell ref="E77:G77"/>
    <mergeCell ref="H77:P77"/>
    <mergeCell ref="Q77:U77"/>
    <mergeCell ref="C78:D78"/>
    <mergeCell ref="E78:G78"/>
    <mergeCell ref="H78:P78"/>
    <mergeCell ref="Q78:U78"/>
    <mergeCell ref="C79:D79"/>
    <mergeCell ref="E79:G79"/>
    <mergeCell ref="H79:P79"/>
    <mergeCell ref="Q79:U79"/>
    <mergeCell ref="C80:D80"/>
    <mergeCell ref="E80:G80"/>
    <mergeCell ref="H80:P80"/>
    <mergeCell ref="Q80:U80"/>
    <mergeCell ref="C81:D81"/>
    <mergeCell ref="E81:G81"/>
    <mergeCell ref="H81:P81"/>
    <mergeCell ref="Q81:U81"/>
    <mergeCell ref="C82:D82"/>
    <mergeCell ref="E82:G82"/>
    <mergeCell ref="H82:P82"/>
    <mergeCell ref="Q82:U82"/>
    <mergeCell ref="C83:D83"/>
    <mergeCell ref="E83:G83"/>
    <mergeCell ref="H83:P83"/>
    <mergeCell ref="Q83:U83"/>
    <mergeCell ref="C84:D84"/>
    <mergeCell ref="E84:G84"/>
    <mergeCell ref="H84:P84"/>
    <mergeCell ref="Q84:U84"/>
    <mergeCell ref="C85:D85"/>
    <mergeCell ref="E85:G85"/>
    <mergeCell ref="H85:P85"/>
    <mergeCell ref="Q85:U85"/>
    <mergeCell ref="C86:D86"/>
    <mergeCell ref="E86:G86"/>
    <mergeCell ref="H86:P86"/>
    <mergeCell ref="Q86:U86"/>
    <mergeCell ref="C87:D87"/>
    <mergeCell ref="E87:G87"/>
    <mergeCell ref="H87:P87"/>
    <mergeCell ref="Q87:U87"/>
    <mergeCell ref="C88:D88"/>
    <mergeCell ref="E88:G88"/>
    <mergeCell ref="H88:P88"/>
    <mergeCell ref="Q88:U88"/>
    <mergeCell ref="C89:D89"/>
    <mergeCell ref="E89:G89"/>
    <mergeCell ref="H89:P89"/>
    <mergeCell ref="Q89:U89"/>
    <mergeCell ref="C90:D90"/>
    <mergeCell ref="E90:G90"/>
    <mergeCell ref="H90:P90"/>
    <mergeCell ref="Q90:U90"/>
    <mergeCell ref="C30:D30"/>
    <mergeCell ref="E30:G30"/>
    <mergeCell ref="H30:P30"/>
    <mergeCell ref="Q30:U30"/>
    <mergeCell ref="C31:D31"/>
    <mergeCell ref="E31:G31"/>
    <mergeCell ref="H31:P31"/>
    <mergeCell ref="Q31:U31"/>
    <mergeCell ref="C32:D32"/>
    <mergeCell ref="E32:G32"/>
    <mergeCell ref="H32:P32"/>
    <mergeCell ref="Q32:U32"/>
    <mergeCell ref="C33:D33"/>
    <mergeCell ref="E33:G33"/>
    <mergeCell ref="H33:P33"/>
    <mergeCell ref="Q33:U33"/>
    <mergeCell ref="C34:D34"/>
    <mergeCell ref="E34:G34"/>
    <mergeCell ref="H34:P34"/>
    <mergeCell ref="Q34:U34"/>
    <mergeCell ref="C35:D35"/>
    <mergeCell ref="E35:G35"/>
    <mergeCell ref="H35:P35"/>
    <mergeCell ref="Q35:U35"/>
    <mergeCell ref="C36:D36"/>
    <mergeCell ref="E36:G36"/>
    <mergeCell ref="H36:P36"/>
    <mergeCell ref="Q36:U36"/>
    <mergeCell ref="C37:D37"/>
    <mergeCell ref="E37:G37"/>
    <mergeCell ref="H37:P37"/>
    <mergeCell ref="Q37:U37"/>
    <mergeCell ref="C38:D38"/>
    <mergeCell ref="E38:G38"/>
    <mergeCell ref="H38:P38"/>
    <mergeCell ref="Q38:U38"/>
    <mergeCell ref="C39:D39"/>
    <mergeCell ref="E39:G39"/>
    <mergeCell ref="H39:P39"/>
    <mergeCell ref="Q39:U39"/>
    <mergeCell ref="C40:D40"/>
    <mergeCell ref="E40:G40"/>
    <mergeCell ref="H40:P40"/>
    <mergeCell ref="Q40:U40"/>
    <mergeCell ref="C41:D41"/>
    <mergeCell ref="E41:G41"/>
    <mergeCell ref="H41:P41"/>
    <mergeCell ref="Q41:U41"/>
    <mergeCell ref="C42:D42"/>
    <mergeCell ref="E42:G42"/>
    <mergeCell ref="H42:P42"/>
    <mergeCell ref="Q42:U42"/>
    <mergeCell ref="C43:D43"/>
    <mergeCell ref="E43:G43"/>
    <mergeCell ref="H43:P43"/>
    <mergeCell ref="Q43:U43"/>
    <mergeCell ref="C44:D44"/>
    <mergeCell ref="E44:G44"/>
    <mergeCell ref="H44:P44"/>
    <mergeCell ref="Q44:U44"/>
    <mergeCell ref="C45:D45"/>
    <mergeCell ref="E45:G45"/>
    <mergeCell ref="H45:P45"/>
    <mergeCell ref="Q45:U45"/>
    <mergeCell ref="C46:D46"/>
    <mergeCell ref="E46:G46"/>
    <mergeCell ref="H46:P46"/>
    <mergeCell ref="Q46:U46"/>
    <mergeCell ref="C47:D47"/>
    <mergeCell ref="E47:G47"/>
    <mergeCell ref="H47:P47"/>
    <mergeCell ref="Q47:U47"/>
    <mergeCell ref="C48:D48"/>
    <mergeCell ref="E48:G48"/>
    <mergeCell ref="H48:P48"/>
    <mergeCell ref="Q48:U48"/>
    <mergeCell ref="C49:D49"/>
    <mergeCell ref="E49:G49"/>
    <mergeCell ref="H49:P49"/>
    <mergeCell ref="Q49:U49"/>
    <mergeCell ref="C50:D50"/>
    <mergeCell ref="E50:G50"/>
    <mergeCell ref="H50:P50"/>
    <mergeCell ref="Q50:U50"/>
    <mergeCell ref="C51:D51"/>
    <mergeCell ref="E51:G51"/>
    <mergeCell ref="H51:P51"/>
    <mergeCell ref="Q51:U51"/>
    <mergeCell ref="C71:D71"/>
    <mergeCell ref="E71:G71"/>
    <mergeCell ref="H71:P71"/>
    <mergeCell ref="Q71:U71"/>
    <mergeCell ref="C72:D72"/>
    <mergeCell ref="E72:G72"/>
    <mergeCell ref="H72:P72"/>
    <mergeCell ref="Q72:U72"/>
    <mergeCell ref="C73:D73"/>
    <mergeCell ref="E73:G73"/>
    <mergeCell ref="H73:P73"/>
    <mergeCell ref="Q73:U73"/>
    <mergeCell ref="C74:D74"/>
    <mergeCell ref="E74:G74"/>
    <mergeCell ref="H74:P74"/>
    <mergeCell ref="Q74:U74"/>
    <mergeCell ref="C75:D75"/>
    <mergeCell ref="E75:G75"/>
    <mergeCell ref="H75:P75"/>
    <mergeCell ref="Q75:U75"/>
    <mergeCell ref="C76:D76"/>
    <mergeCell ref="E76:G76"/>
    <mergeCell ref="H76:P76"/>
    <mergeCell ref="Q76:U76"/>
    <mergeCell ref="C62:D62"/>
    <mergeCell ref="E62:G62"/>
    <mergeCell ref="H62:P62"/>
    <mergeCell ref="Q62:U62"/>
    <mergeCell ref="C63:D63"/>
    <mergeCell ref="E63:G63"/>
    <mergeCell ref="H63:P63"/>
    <mergeCell ref="Q63:U63"/>
    <mergeCell ref="C64:D64"/>
    <mergeCell ref="E64:G64"/>
    <mergeCell ref="H64:P64"/>
    <mergeCell ref="Q64:U64"/>
    <mergeCell ref="C65:D65"/>
    <mergeCell ref="E65:G65"/>
    <mergeCell ref="H65:P65"/>
    <mergeCell ref="Q65:U65"/>
    <mergeCell ref="C66:D66"/>
    <mergeCell ref="E66:G66"/>
    <mergeCell ref="H66:P66"/>
    <mergeCell ref="Q66:U66"/>
    <mergeCell ref="C67:D67"/>
    <mergeCell ref="E67:G67"/>
    <mergeCell ref="H67:P67"/>
    <mergeCell ref="Q67:U67"/>
    <mergeCell ref="C68:D68"/>
    <mergeCell ref="E68:G68"/>
    <mergeCell ref="H68:P68"/>
    <mergeCell ref="Q68:U68"/>
    <mergeCell ref="C69:D69"/>
    <mergeCell ref="E69:G69"/>
    <mergeCell ref="H69:P69"/>
    <mergeCell ref="Q69:U69"/>
    <mergeCell ref="C70:D70"/>
    <mergeCell ref="E70:G70"/>
    <mergeCell ref="H70:P70"/>
    <mergeCell ref="Q70:U70"/>
    <mergeCell ref="C52:D52"/>
    <mergeCell ref="E52:G52"/>
    <mergeCell ref="H52:P52"/>
    <mergeCell ref="Q52:U52"/>
    <mergeCell ref="C53:D53"/>
    <mergeCell ref="E53:G53"/>
    <mergeCell ref="H53:P53"/>
    <mergeCell ref="Q53:U53"/>
    <mergeCell ref="C54:D54"/>
    <mergeCell ref="E54:G54"/>
    <mergeCell ref="H54:P54"/>
    <mergeCell ref="Q54:U54"/>
    <mergeCell ref="C55:D55"/>
    <mergeCell ref="E55:G55"/>
    <mergeCell ref="H55:P55"/>
    <mergeCell ref="Q55:U55"/>
    <mergeCell ref="C56:D56"/>
    <mergeCell ref="E56:G56"/>
    <mergeCell ref="H56:P56"/>
    <mergeCell ref="Q56:U56"/>
    <mergeCell ref="C57:D57"/>
    <mergeCell ref="E57:G57"/>
    <mergeCell ref="H57:P57"/>
    <mergeCell ref="Q57:U57"/>
    <mergeCell ref="C61:D61"/>
    <mergeCell ref="E61:G61"/>
    <mergeCell ref="H61:P61"/>
    <mergeCell ref="Q61:U61"/>
    <mergeCell ref="C58:D58"/>
    <mergeCell ref="E58:G58"/>
    <mergeCell ref="H58:P58"/>
    <mergeCell ref="Q58:U58"/>
    <mergeCell ref="C59:D59"/>
    <mergeCell ref="E59:G59"/>
    <mergeCell ref="H59:P59"/>
    <mergeCell ref="Q59:U59"/>
    <mergeCell ref="C60:D60"/>
    <mergeCell ref="E60:G60"/>
    <mergeCell ref="H60:P60"/>
    <mergeCell ref="Q60:U60"/>
  </mergeCells>
  <phoneticPr fontId="4"/>
  <dataValidations count="2">
    <dataValidation imeMode="off" allowBlank="1" showInputMessage="1" showErrorMessage="1" sqref="H6:H104"/>
    <dataValidation type="textLength" imeMode="off" operator="lessThanOrEqual" allowBlank="1" showInputMessage="1" showErrorMessage="1" errorTitle="エラー" error="文字数は63文字まで。" sqref="E6:E104">
      <formula1>63</formula1>
    </dataValidation>
  </dataValidations>
  <hyperlinks>
    <hyperlink ref="H6:P6" location="admin!A9" display="admin!A9"/>
    <hyperlink ref="H7:P7" location="asset_list!A9" display="asset_list!A9"/>
    <hyperlink ref="H8:P8" location="carousel_detal!A9" display="carousel_detal!A9"/>
    <hyperlink ref="H9:P9" location="carousel_list!A9" display="carousel_list!A9"/>
    <hyperlink ref="H10:P10" location="config!A9" display="config!A9"/>
    <hyperlink ref="H11:P11" location="customer!A9" display="customer!A9"/>
    <hyperlink ref="H12:P12" location="td_list!A9" display="td_list!A9"/>
    <hyperlink ref="H13:P13" location="file_list!A9" display="file_list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pageSetUpPr fitToPage="1"/>
  </sheetPr>
  <dimension ref="A1:X231"/>
  <sheetViews>
    <sheetView showGridLines="0" zoomScaleNormal="100" workbookViewId="0">
      <pane ySplit="5" topLeftCell="A18" activePane="bottomLeft" state="frozen"/>
      <selection activeCell="B6" sqref="B6"/>
      <selection pane="bottomLeft" activeCell="E30" sqref="E30:U30"/>
    </sheetView>
  </sheetViews>
  <sheetFormatPr defaultRowHeight="18.75"/>
  <cols>
    <col min="1" max="1" width="3.85546875" style="47" customWidth="1"/>
    <col min="2" max="2" width="8.7109375" style="47" customWidth="1"/>
    <col min="3" max="3" width="15.7109375" style="47" customWidth="1"/>
    <col min="4" max="4" width="22.7109375" style="47" customWidth="1"/>
    <col min="5" max="5" width="25.7109375" style="47" customWidth="1"/>
    <col min="6" max="6" width="10.7109375" style="47" customWidth="1"/>
    <col min="7" max="7" width="14" style="47" customWidth="1"/>
    <col min="8" max="8" width="12" style="47" customWidth="1"/>
    <col min="9" max="9" width="10.85546875" style="47" hidden="1" customWidth="1"/>
    <col min="10" max="14" width="3" style="47" customWidth="1"/>
    <col min="15" max="15" width="12" style="47" customWidth="1"/>
    <col min="16" max="21" width="13.42578125" style="47" customWidth="1"/>
    <col min="22" max="22" width="15.28515625" style="61" customWidth="1"/>
    <col min="23" max="16384" width="9.140625" style="47"/>
  </cols>
  <sheetData>
    <row r="1" spans="1:22" ht="12" customHeight="1" thickBot="1">
      <c r="A1" s="53"/>
      <c r="V1" s="47"/>
    </row>
    <row r="2" spans="1:22" ht="15" customHeight="1">
      <c r="B2" s="220" t="s">
        <v>117</v>
      </c>
      <c r="C2" s="221"/>
      <c r="D2" s="221"/>
      <c r="E2" s="222"/>
      <c r="F2" s="226" t="s">
        <v>2</v>
      </c>
      <c r="G2" s="227"/>
      <c r="H2" s="242" t="str">
        <f>ProjectName</f>
        <v>○△□プロジェクト</v>
      </c>
      <c r="I2" s="243"/>
      <c r="J2" s="243"/>
      <c r="K2" s="243"/>
      <c r="L2" s="243"/>
      <c r="M2" s="243"/>
      <c r="N2" s="243"/>
      <c r="O2" s="244"/>
      <c r="P2" s="138" t="s">
        <v>3</v>
      </c>
      <c r="Q2" s="255" t="str">
        <f>CreateBy</f>
        <v>○○　✕✕</v>
      </c>
      <c r="R2" s="256"/>
      <c r="S2" s="138" t="s">
        <v>4</v>
      </c>
      <c r="T2" s="304" t="str">
        <f>CreateAt</f>
        <v>2020/12/25</v>
      </c>
      <c r="U2" s="305"/>
      <c r="V2" s="47"/>
    </row>
    <row r="3" spans="1:22" ht="15" customHeight="1" thickBot="1">
      <c r="B3" s="223"/>
      <c r="C3" s="224"/>
      <c r="D3" s="224"/>
      <c r="E3" s="225"/>
      <c r="F3" s="228" t="s">
        <v>5</v>
      </c>
      <c r="G3" s="229"/>
      <c r="H3" s="257" t="str">
        <f>systemName</f>
        <v>○✕システム</v>
      </c>
      <c r="I3" s="258"/>
      <c r="J3" s="258"/>
      <c r="K3" s="258"/>
      <c r="L3" s="258"/>
      <c r="M3" s="258"/>
      <c r="N3" s="258"/>
      <c r="O3" s="259"/>
      <c r="P3" s="139" t="s">
        <v>6</v>
      </c>
      <c r="Q3" s="252"/>
      <c r="R3" s="254"/>
      <c r="S3" s="139" t="s">
        <v>7</v>
      </c>
      <c r="T3" s="306"/>
      <c r="U3" s="307"/>
      <c r="V3" s="47"/>
    </row>
    <row r="4" spans="1:22" ht="13.5" customHeight="1" thickBot="1">
      <c r="V4" s="47"/>
    </row>
    <row r="5" spans="1:22" ht="20.100000000000001" customHeight="1" thickBot="1">
      <c r="B5" s="140" t="s">
        <v>116</v>
      </c>
      <c r="C5" s="141" t="s">
        <v>70</v>
      </c>
      <c r="D5" s="142" t="s">
        <v>209</v>
      </c>
      <c r="E5" s="318" t="s">
        <v>71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20"/>
      <c r="V5" s="47"/>
    </row>
    <row r="6" spans="1:22" ht="20.100000000000001" customHeight="1">
      <c r="B6" s="54">
        <v>1</v>
      </c>
      <c r="C6" s="55" t="str">
        <f>CreateAt</f>
        <v>2020/12/25</v>
      </c>
      <c r="D6" s="56" t="str">
        <f>CreateBy</f>
        <v>○○　✕✕</v>
      </c>
      <c r="E6" s="315" t="s">
        <v>214</v>
      </c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7"/>
      <c r="V6" s="47"/>
    </row>
    <row r="7" spans="1:22" ht="20.100000000000001" customHeight="1">
      <c r="B7" s="57"/>
      <c r="C7" s="71"/>
      <c r="D7" s="70"/>
      <c r="E7" s="308"/>
      <c r="F7" s="309"/>
      <c r="G7" s="309"/>
      <c r="H7" s="309"/>
      <c r="I7" s="309"/>
      <c r="J7" s="309"/>
      <c r="K7" s="309"/>
      <c r="L7" s="309"/>
      <c r="M7" s="309"/>
      <c r="N7" s="309"/>
      <c r="O7" s="309"/>
      <c r="P7" s="309"/>
      <c r="Q7" s="309"/>
      <c r="R7" s="309"/>
      <c r="S7" s="309"/>
      <c r="T7" s="309"/>
      <c r="U7" s="310"/>
      <c r="V7" s="47"/>
    </row>
    <row r="8" spans="1:22" ht="20.100000000000001" customHeight="1">
      <c r="B8" s="57"/>
      <c r="C8" s="71"/>
      <c r="D8" s="70"/>
      <c r="E8" s="308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10"/>
      <c r="V8" s="47"/>
    </row>
    <row r="9" spans="1:22" ht="20.100000000000001" customHeight="1">
      <c r="B9" s="57"/>
      <c r="C9" s="71"/>
      <c r="D9" s="70"/>
      <c r="E9" s="308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09"/>
      <c r="Q9" s="309"/>
      <c r="R9" s="309"/>
      <c r="S9" s="309"/>
      <c r="T9" s="309"/>
      <c r="U9" s="310"/>
      <c r="V9" s="47"/>
    </row>
    <row r="10" spans="1:22" ht="20.100000000000001" customHeight="1">
      <c r="B10" s="57"/>
      <c r="C10" s="71"/>
      <c r="D10" s="70"/>
      <c r="E10" s="308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10"/>
      <c r="V10" s="47"/>
    </row>
    <row r="11" spans="1:22" ht="20.100000000000001" customHeight="1">
      <c r="B11" s="57"/>
      <c r="C11" s="71"/>
      <c r="D11" s="70"/>
      <c r="E11" s="308"/>
      <c r="F11" s="309"/>
      <c r="G11" s="309"/>
      <c r="H11" s="309"/>
      <c r="I11" s="309"/>
      <c r="J11" s="309"/>
      <c r="K11" s="309"/>
      <c r="L11" s="309"/>
      <c r="M11" s="309"/>
      <c r="N11" s="309"/>
      <c r="O11" s="309"/>
      <c r="P11" s="309"/>
      <c r="Q11" s="309"/>
      <c r="R11" s="309"/>
      <c r="S11" s="309"/>
      <c r="T11" s="309"/>
      <c r="U11" s="310"/>
      <c r="V11" s="47"/>
    </row>
    <row r="12" spans="1:22" ht="20.100000000000001" customHeight="1">
      <c r="B12" s="57"/>
      <c r="C12" s="71"/>
      <c r="D12" s="70"/>
      <c r="E12" s="308"/>
      <c r="F12" s="309"/>
      <c r="G12" s="309"/>
      <c r="H12" s="309"/>
      <c r="I12" s="309"/>
      <c r="J12" s="309"/>
      <c r="K12" s="309"/>
      <c r="L12" s="309"/>
      <c r="M12" s="309"/>
      <c r="N12" s="309"/>
      <c r="O12" s="309"/>
      <c r="P12" s="309"/>
      <c r="Q12" s="309"/>
      <c r="R12" s="309"/>
      <c r="S12" s="309"/>
      <c r="T12" s="309"/>
      <c r="U12" s="310"/>
      <c r="V12" s="47"/>
    </row>
    <row r="13" spans="1:22" ht="20.100000000000001" customHeight="1">
      <c r="B13" s="57"/>
      <c r="C13" s="71"/>
      <c r="D13" s="70"/>
      <c r="E13" s="308"/>
      <c r="F13" s="309"/>
      <c r="G13" s="309"/>
      <c r="H13" s="309"/>
      <c r="I13" s="309"/>
      <c r="J13" s="309"/>
      <c r="K13" s="309"/>
      <c r="L13" s="309"/>
      <c r="M13" s="309"/>
      <c r="N13" s="309"/>
      <c r="O13" s="309"/>
      <c r="P13" s="309"/>
      <c r="Q13" s="309"/>
      <c r="R13" s="309"/>
      <c r="S13" s="309"/>
      <c r="T13" s="309"/>
      <c r="U13" s="310"/>
      <c r="V13" s="47"/>
    </row>
    <row r="14" spans="1:22" ht="20.100000000000001" customHeight="1">
      <c r="B14" s="57"/>
      <c r="C14" s="71"/>
      <c r="D14" s="70"/>
      <c r="E14" s="308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10"/>
      <c r="V14" s="47"/>
    </row>
    <row r="15" spans="1:22" ht="20.100000000000001" customHeight="1">
      <c r="B15" s="57"/>
      <c r="C15" s="71"/>
      <c r="D15" s="70"/>
      <c r="E15" s="308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S15" s="309"/>
      <c r="T15" s="309"/>
      <c r="U15" s="310"/>
      <c r="V15" s="47"/>
    </row>
    <row r="16" spans="1:22" ht="20.100000000000001" customHeight="1">
      <c r="B16" s="57"/>
      <c r="C16" s="71"/>
      <c r="D16" s="70"/>
      <c r="E16" s="308"/>
      <c r="F16" s="309"/>
      <c r="G16" s="309"/>
      <c r="H16" s="309"/>
      <c r="I16" s="309"/>
      <c r="J16" s="309"/>
      <c r="K16" s="309"/>
      <c r="L16" s="309"/>
      <c r="M16" s="309"/>
      <c r="N16" s="309"/>
      <c r="O16" s="309"/>
      <c r="P16" s="309"/>
      <c r="Q16" s="309"/>
      <c r="R16" s="309"/>
      <c r="S16" s="309"/>
      <c r="T16" s="309"/>
      <c r="U16" s="310"/>
      <c r="V16" s="47"/>
    </row>
    <row r="17" spans="2:22" ht="20.100000000000001" customHeight="1">
      <c r="B17" s="57"/>
      <c r="C17" s="71"/>
      <c r="D17" s="70"/>
      <c r="E17" s="308"/>
      <c r="F17" s="309"/>
      <c r="G17" s="309"/>
      <c r="H17" s="309"/>
      <c r="I17" s="309"/>
      <c r="J17" s="309"/>
      <c r="K17" s="309"/>
      <c r="L17" s="309"/>
      <c r="M17" s="309"/>
      <c r="N17" s="309"/>
      <c r="O17" s="309"/>
      <c r="P17" s="309"/>
      <c r="Q17" s="309"/>
      <c r="R17" s="309"/>
      <c r="S17" s="309"/>
      <c r="T17" s="309"/>
      <c r="U17" s="310"/>
      <c r="V17" s="47"/>
    </row>
    <row r="18" spans="2:22" ht="20.100000000000001" customHeight="1">
      <c r="B18" s="57"/>
      <c r="C18" s="71"/>
      <c r="D18" s="70"/>
      <c r="E18" s="308"/>
      <c r="F18" s="309"/>
      <c r="G18" s="309"/>
      <c r="H18" s="309"/>
      <c r="I18" s="309"/>
      <c r="J18" s="309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310"/>
      <c r="V18" s="47"/>
    </row>
    <row r="19" spans="2:22" ht="20.100000000000001" customHeight="1">
      <c r="B19" s="57"/>
      <c r="C19" s="71"/>
      <c r="D19" s="70"/>
      <c r="E19" s="308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310"/>
      <c r="V19" s="47"/>
    </row>
    <row r="20" spans="2:22" ht="20.100000000000001" customHeight="1">
      <c r="B20" s="57"/>
      <c r="C20" s="71"/>
      <c r="D20" s="70"/>
      <c r="E20" s="308"/>
      <c r="F20" s="309"/>
      <c r="G20" s="309"/>
      <c r="H20" s="309"/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310"/>
      <c r="V20" s="47"/>
    </row>
    <row r="21" spans="2:22" ht="20.100000000000001" customHeight="1">
      <c r="B21" s="57"/>
      <c r="C21" s="71"/>
      <c r="D21" s="70"/>
      <c r="E21" s="308"/>
      <c r="F21" s="309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310"/>
      <c r="V21" s="47"/>
    </row>
    <row r="22" spans="2:22" ht="20.100000000000001" customHeight="1">
      <c r="B22" s="57"/>
      <c r="C22" s="71"/>
      <c r="D22" s="70"/>
      <c r="E22" s="308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10"/>
      <c r="V22" s="47"/>
    </row>
    <row r="23" spans="2:22" ht="20.100000000000001" customHeight="1">
      <c r="B23" s="57"/>
      <c r="C23" s="71"/>
      <c r="D23" s="70"/>
      <c r="E23" s="308"/>
      <c r="F23" s="309"/>
      <c r="G23" s="309"/>
      <c r="H23" s="309"/>
      <c r="I23" s="309"/>
      <c r="J23" s="309"/>
      <c r="K23" s="309"/>
      <c r="L23" s="309"/>
      <c r="M23" s="309"/>
      <c r="N23" s="309"/>
      <c r="O23" s="309"/>
      <c r="P23" s="309"/>
      <c r="Q23" s="309"/>
      <c r="R23" s="309"/>
      <c r="S23" s="309"/>
      <c r="T23" s="309"/>
      <c r="U23" s="310"/>
      <c r="V23" s="47"/>
    </row>
    <row r="24" spans="2:22" ht="20.100000000000001" customHeight="1">
      <c r="B24" s="57"/>
      <c r="C24" s="71"/>
      <c r="D24" s="70"/>
      <c r="E24" s="308"/>
      <c r="F24" s="309"/>
      <c r="G24" s="309"/>
      <c r="H24" s="309"/>
      <c r="I24" s="309"/>
      <c r="J24" s="309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10"/>
      <c r="V24" s="47"/>
    </row>
    <row r="25" spans="2:22" ht="20.100000000000001" customHeight="1">
      <c r="B25" s="57"/>
      <c r="C25" s="71"/>
      <c r="D25" s="70"/>
      <c r="E25" s="308"/>
      <c r="F25" s="309"/>
      <c r="G25" s="309"/>
      <c r="H25" s="309"/>
      <c r="I25" s="309"/>
      <c r="J25" s="309"/>
      <c r="K25" s="309"/>
      <c r="L25" s="309"/>
      <c r="M25" s="309"/>
      <c r="N25" s="309"/>
      <c r="O25" s="309"/>
      <c r="P25" s="309"/>
      <c r="Q25" s="309"/>
      <c r="R25" s="309"/>
      <c r="S25" s="309"/>
      <c r="T25" s="309"/>
      <c r="U25" s="310"/>
      <c r="V25" s="47"/>
    </row>
    <row r="26" spans="2:22" ht="20.100000000000001" customHeight="1">
      <c r="B26" s="57"/>
      <c r="C26" s="71"/>
      <c r="D26" s="70"/>
      <c r="E26" s="308"/>
      <c r="F26" s="309"/>
      <c r="G26" s="309"/>
      <c r="H26" s="309"/>
      <c r="I26" s="309"/>
      <c r="J26" s="309"/>
      <c r="K26" s="309"/>
      <c r="L26" s="309"/>
      <c r="M26" s="309"/>
      <c r="N26" s="309"/>
      <c r="O26" s="309"/>
      <c r="P26" s="309"/>
      <c r="Q26" s="309"/>
      <c r="R26" s="309"/>
      <c r="S26" s="309"/>
      <c r="T26" s="309"/>
      <c r="U26" s="310"/>
      <c r="V26" s="47"/>
    </row>
    <row r="27" spans="2:22" ht="20.100000000000001" customHeight="1">
      <c r="B27" s="57"/>
      <c r="C27" s="71"/>
      <c r="D27" s="70"/>
      <c r="E27" s="308"/>
      <c r="F27" s="309"/>
      <c r="G27" s="309"/>
      <c r="H27" s="309"/>
      <c r="I27" s="309"/>
      <c r="J27" s="309"/>
      <c r="K27" s="309"/>
      <c r="L27" s="309"/>
      <c r="M27" s="309"/>
      <c r="N27" s="309"/>
      <c r="O27" s="309"/>
      <c r="P27" s="309"/>
      <c r="Q27" s="309"/>
      <c r="R27" s="309"/>
      <c r="S27" s="309"/>
      <c r="T27" s="309"/>
      <c r="U27" s="310"/>
      <c r="V27" s="47"/>
    </row>
    <row r="28" spans="2:22" ht="20.100000000000001" customHeight="1">
      <c r="B28" s="57"/>
      <c r="C28" s="71"/>
      <c r="D28" s="70"/>
      <c r="E28" s="308"/>
      <c r="F28" s="309"/>
      <c r="G28" s="309"/>
      <c r="H28" s="309"/>
      <c r="I28" s="309"/>
      <c r="J28" s="309"/>
      <c r="K28" s="309"/>
      <c r="L28" s="309"/>
      <c r="M28" s="309"/>
      <c r="N28" s="309"/>
      <c r="O28" s="309"/>
      <c r="P28" s="309"/>
      <c r="Q28" s="309"/>
      <c r="R28" s="309"/>
      <c r="S28" s="309"/>
      <c r="T28" s="309"/>
      <c r="U28" s="310"/>
      <c r="V28" s="47"/>
    </row>
    <row r="29" spans="2:22" ht="20.100000000000001" customHeight="1">
      <c r="B29" s="57"/>
      <c r="C29" s="71"/>
      <c r="D29" s="70"/>
      <c r="E29" s="308"/>
      <c r="F29" s="309"/>
      <c r="G29" s="309"/>
      <c r="H29" s="309"/>
      <c r="I29" s="309"/>
      <c r="J29" s="309"/>
      <c r="K29" s="309"/>
      <c r="L29" s="309"/>
      <c r="M29" s="309"/>
      <c r="N29" s="309"/>
      <c r="O29" s="309"/>
      <c r="P29" s="309"/>
      <c r="Q29" s="309"/>
      <c r="R29" s="309"/>
      <c r="S29" s="309"/>
      <c r="T29" s="309"/>
      <c r="U29" s="310"/>
      <c r="V29" s="47"/>
    </row>
    <row r="30" spans="2:22" ht="20.100000000000001" customHeight="1">
      <c r="B30" s="57"/>
      <c r="C30" s="71"/>
      <c r="D30" s="70"/>
      <c r="E30" s="308"/>
      <c r="F30" s="309"/>
      <c r="G30" s="309"/>
      <c r="H30" s="309"/>
      <c r="I30" s="309"/>
      <c r="J30" s="309"/>
      <c r="K30" s="309"/>
      <c r="L30" s="309"/>
      <c r="M30" s="309"/>
      <c r="N30" s="309"/>
      <c r="O30" s="309"/>
      <c r="P30" s="309"/>
      <c r="Q30" s="309"/>
      <c r="R30" s="309"/>
      <c r="S30" s="309"/>
      <c r="T30" s="309"/>
      <c r="U30" s="310"/>
      <c r="V30" s="47"/>
    </row>
    <row r="31" spans="2:22" ht="20.100000000000001" customHeight="1">
      <c r="B31" s="57"/>
      <c r="C31" s="71"/>
      <c r="D31" s="70"/>
      <c r="E31" s="308"/>
      <c r="F31" s="309"/>
      <c r="G31" s="309"/>
      <c r="H31" s="309"/>
      <c r="I31" s="309"/>
      <c r="J31" s="309"/>
      <c r="K31" s="309"/>
      <c r="L31" s="309"/>
      <c r="M31" s="309"/>
      <c r="N31" s="309"/>
      <c r="O31" s="309"/>
      <c r="P31" s="309"/>
      <c r="Q31" s="309"/>
      <c r="R31" s="309"/>
      <c r="S31" s="309"/>
      <c r="T31" s="309"/>
      <c r="U31" s="310"/>
      <c r="V31" s="47"/>
    </row>
    <row r="32" spans="2:22" ht="20.100000000000001" customHeight="1">
      <c r="B32" s="57"/>
      <c r="C32" s="71"/>
      <c r="D32" s="70"/>
      <c r="E32" s="308"/>
      <c r="F32" s="309"/>
      <c r="G32" s="309"/>
      <c r="H32" s="309"/>
      <c r="I32" s="309"/>
      <c r="J32" s="309"/>
      <c r="K32" s="309"/>
      <c r="L32" s="309"/>
      <c r="M32" s="309"/>
      <c r="N32" s="309"/>
      <c r="O32" s="309"/>
      <c r="P32" s="309"/>
      <c r="Q32" s="309"/>
      <c r="R32" s="309"/>
      <c r="S32" s="309"/>
      <c r="T32" s="309"/>
      <c r="U32" s="310"/>
      <c r="V32" s="47"/>
    </row>
    <row r="33" spans="2:22" ht="20.100000000000001" customHeight="1">
      <c r="B33" s="57"/>
      <c r="C33" s="71"/>
      <c r="D33" s="70"/>
      <c r="E33" s="308"/>
      <c r="F33" s="309"/>
      <c r="G33" s="309"/>
      <c r="H33" s="309"/>
      <c r="I33" s="309"/>
      <c r="J33" s="309"/>
      <c r="K33" s="309"/>
      <c r="L33" s="309"/>
      <c r="M33" s="309"/>
      <c r="N33" s="309"/>
      <c r="O33" s="309"/>
      <c r="P33" s="309"/>
      <c r="Q33" s="309"/>
      <c r="R33" s="309"/>
      <c r="S33" s="309"/>
      <c r="T33" s="309"/>
      <c r="U33" s="310"/>
      <c r="V33" s="47"/>
    </row>
    <row r="34" spans="2:22" ht="20.100000000000001" customHeight="1">
      <c r="B34" s="57"/>
      <c r="C34" s="71"/>
      <c r="D34" s="70"/>
      <c r="E34" s="308"/>
      <c r="F34" s="309"/>
      <c r="G34" s="309"/>
      <c r="H34" s="309"/>
      <c r="I34" s="309"/>
      <c r="J34" s="309"/>
      <c r="K34" s="309"/>
      <c r="L34" s="309"/>
      <c r="M34" s="309"/>
      <c r="N34" s="309"/>
      <c r="O34" s="309"/>
      <c r="P34" s="309"/>
      <c r="Q34" s="309"/>
      <c r="R34" s="309"/>
      <c r="S34" s="309"/>
      <c r="T34" s="309"/>
      <c r="U34" s="310"/>
      <c r="V34" s="47"/>
    </row>
    <row r="35" spans="2:22" ht="20.100000000000001" customHeight="1">
      <c r="B35" s="57"/>
      <c r="C35" s="71"/>
      <c r="D35" s="70"/>
      <c r="E35" s="308"/>
      <c r="F35" s="309"/>
      <c r="G35" s="309"/>
      <c r="H35" s="309"/>
      <c r="I35" s="309"/>
      <c r="J35" s="309"/>
      <c r="K35" s="309"/>
      <c r="L35" s="309"/>
      <c r="M35" s="309"/>
      <c r="N35" s="309"/>
      <c r="O35" s="309"/>
      <c r="P35" s="309"/>
      <c r="Q35" s="309"/>
      <c r="R35" s="309"/>
      <c r="S35" s="309"/>
      <c r="T35" s="309"/>
      <c r="U35" s="310"/>
      <c r="V35" s="47"/>
    </row>
    <row r="36" spans="2:22" ht="20.100000000000001" customHeight="1">
      <c r="B36" s="57"/>
      <c r="C36" s="71"/>
      <c r="D36" s="70"/>
      <c r="E36" s="308"/>
      <c r="F36" s="309"/>
      <c r="G36" s="309"/>
      <c r="H36" s="309"/>
      <c r="I36" s="309"/>
      <c r="J36" s="309"/>
      <c r="K36" s="309"/>
      <c r="L36" s="309"/>
      <c r="M36" s="309"/>
      <c r="N36" s="309"/>
      <c r="O36" s="309"/>
      <c r="P36" s="309"/>
      <c r="Q36" s="309"/>
      <c r="R36" s="309"/>
      <c r="S36" s="309"/>
      <c r="T36" s="309"/>
      <c r="U36" s="310"/>
      <c r="V36" s="47"/>
    </row>
    <row r="37" spans="2:22" ht="20.100000000000001" customHeight="1">
      <c r="B37" s="57"/>
      <c r="C37" s="71"/>
      <c r="D37" s="70"/>
      <c r="E37" s="308"/>
      <c r="F37" s="309"/>
      <c r="G37" s="309"/>
      <c r="H37" s="309"/>
      <c r="I37" s="309"/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  <c r="U37" s="310"/>
      <c r="V37" s="47"/>
    </row>
    <row r="38" spans="2:22" ht="20.100000000000001" customHeight="1">
      <c r="B38" s="57"/>
      <c r="C38" s="71"/>
      <c r="D38" s="70"/>
      <c r="E38" s="308"/>
      <c r="F38" s="309"/>
      <c r="G38" s="309"/>
      <c r="H38" s="309"/>
      <c r="I38" s="309"/>
      <c r="J38" s="309"/>
      <c r="K38" s="309"/>
      <c r="L38" s="309"/>
      <c r="M38" s="309"/>
      <c r="N38" s="309"/>
      <c r="O38" s="309"/>
      <c r="P38" s="309"/>
      <c r="Q38" s="309"/>
      <c r="R38" s="309"/>
      <c r="S38" s="309"/>
      <c r="T38" s="309"/>
      <c r="U38" s="310"/>
      <c r="V38" s="47"/>
    </row>
    <row r="39" spans="2:22" ht="20.100000000000001" customHeight="1">
      <c r="B39" s="57"/>
      <c r="C39" s="71"/>
      <c r="D39" s="70"/>
      <c r="E39" s="308"/>
      <c r="F39" s="309"/>
      <c r="G39" s="309"/>
      <c r="H39" s="309"/>
      <c r="I39" s="309"/>
      <c r="J39" s="309"/>
      <c r="K39" s="309"/>
      <c r="L39" s="309"/>
      <c r="M39" s="309"/>
      <c r="N39" s="309"/>
      <c r="O39" s="309"/>
      <c r="P39" s="309"/>
      <c r="Q39" s="309"/>
      <c r="R39" s="309"/>
      <c r="S39" s="309"/>
      <c r="T39" s="309"/>
      <c r="U39" s="310"/>
      <c r="V39" s="47"/>
    </row>
    <row r="40" spans="2:22" ht="20.100000000000001" customHeight="1">
      <c r="B40" s="57"/>
      <c r="C40" s="71"/>
      <c r="D40" s="70"/>
      <c r="E40" s="308"/>
      <c r="F40" s="309"/>
      <c r="G40" s="309"/>
      <c r="H40" s="309"/>
      <c r="I40" s="309"/>
      <c r="J40" s="309"/>
      <c r="K40" s="309"/>
      <c r="L40" s="309"/>
      <c r="M40" s="309"/>
      <c r="N40" s="309"/>
      <c r="O40" s="309"/>
      <c r="P40" s="309"/>
      <c r="Q40" s="309"/>
      <c r="R40" s="309"/>
      <c r="S40" s="309"/>
      <c r="T40" s="309"/>
      <c r="U40" s="310"/>
      <c r="V40" s="47"/>
    </row>
    <row r="41" spans="2:22" ht="20.100000000000001" customHeight="1">
      <c r="B41" s="57"/>
      <c r="C41" s="71"/>
      <c r="D41" s="70"/>
      <c r="E41" s="308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10"/>
      <c r="V41" s="47"/>
    </row>
    <row r="42" spans="2:22" ht="20.100000000000001" customHeight="1">
      <c r="B42" s="57"/>
      <c r="C42" s="71"/>
      <c r="D42" s="70"/>
      <c r="E42" s="308"/>
      <c r="F42" s="309"/>
      <c r="G42" s="309"/>
      <c r="H42" s="309"/>
      <c r="I42" s="309"/>
      <c r="J42" s="309"/>
      <c r="K42" s="309"/>
      <c r="L42" s="309"/>
      <c r="M42" s="309"/>
      <c r="N42" s="309"/>
      <c r="O42" s="309"/>
      <c r="P42" s="309"/>
      <c r="Q42" s="309"/>
      <c r="R42" s="309"/>
      <c r="S42" s="309"/>
      <c r="T42" s="309"/>
      <c r="U42" s="310"/>
      <c r="V42" s="47"/>
    </row>
    <row r="43" spans="2:22" ht="20.100000000000001" customHeight="1">
      <c r="B43" s="57"/>
      <c r="C43" s="71"/>
      <c r="D43" s="70"/>
      <c r="E43" s="308"/>
      <c r="F43" s="309"/>
      <c r="G43" s="309"/>
      <c r="H43" s="309"/>
      <c r="I43" s="309"/>
      <c r="J43" s="309"/>
      <c r="K43" s="309"/>
      <c r="L43" s="309"/>
      <c r="M43" s="309"/>
      <c r="N43" s="309"/>
      <c r="O43" s="309"/>
      <c r="P43" s="309"/>
      <c r="Q43" s="309"/>
      <c r="R43" s="309"/>
      <c r="S43" s="309"/>
      <c r="T43" s="309"/>
      <c r="U43" s="310"/>
      <c r="V43" s="47"/>
    </row>
    <row r="44" spans="2:22" ht="20.100000000000001" customHeight="1">
      <c r="B44" s="57"/>
      <c r="C44" s="71"/>
      <c r="D44" s="70"/>
      <c r="E44" s="308"/>
      <c r="F44" s="309"/>
      <c r="G44" s="309"/>
      <c r="H44" s="309"/>
      <c r="I44" s="309"/>
      <c r="J44" s="309"/>
      <c r="K44" s="309"/>
      <c r="L44" s="309"/>
      <c r="M44" s="309"/>
      <c r="N44" s="309"/>
      <c r="O44" s="309"/>
      <c r="P44" s="309"/>
      <c r="Q44" s="309"/>
      <c r="R44" s="309"/>
      <c r="S44" s="309"/>
      <c r="T44" s="309"/>
      <c r="U44" s="310"/>
      <c r="V44" s="47"/>
    </row>
    <row r="45" spans="2:22" ht="20.100000000000001" customHeight="1">
      <c r="B45" s="57"/>
      <c r="C45" s="71"/>
      <c r="D45" s="70"/>
      <c r="E45" s="308"/>
      <c r="F45" s="309"/>
      <c r="G45" s="309"/>
      <c r="H45" s="309"/>
      <c r="I45" s="309"/>
      <c r="J45" s="309"/>
      <c r="K45" s="309"/>
      <c r="L45" s="309"/>
      <c r="M45" s="309"/>
      <c r="N45" s="309"/>
      <c r="O45" s="309"/>
      <c r="P45" s="309"/>
      <c r="Q45" s="309"/>
      <c r="R45" s="309"/>
      <c r="S45" s="309"/>
      <c r="T45" s="309"/>
      <c r="U45" s="310"/>
      <c r="V45" s="47"/>
    </row>
    <row r="46" spans="2:22" ht="20.100000000000001" customHeight="1">
      <c r="B46" s="57"/>
      <c r="C46" s="71"/>
      <c r="D46" s="70"/>
      <c r="E46" s="308"/>
      <c r="F46" s="309"/>
      <c r="G46" s="309"/>
      <c r="H46" s="309"/>
      <c r="I46" s="309"/>
      <c r="J46" s="309"/>
      <c r="K46" s="309"/>
      <c r="L46" s="309"/>
      <c r="M46" s="309"/>
      <c r="N46" s="309"/>
      <c r="O46" s="309"/>
      <c r="P46" s="309"/>
      <c r="Q46" s="309"/>
      <c r="R46" s="309"/>
      <c r="S46" s="309"/>
      <c r="T46" s="309"/>
      <c r="U46" s="310"/>
      <c r="V46" s="47"/>
    </row>
    <row r="47" spans="2:22" ht="20.100000000000001" customHeight="1">
      <c r="B47" s="57"/>
      <c r="C47" s="71"/>
      <c r="D47" s="70"/>
      <c r="E47" s="308"/>
      <c r="F47" s="309"/>
      <c r="G47" s="309"/>
      <c r="H47" s="309"/>
      <c r="I47" s="309"/>
      <c r="J47" s="309"/>
      <c r="K47" s="309"/>
      <c r="L47" s="309"/>
      <c r="M47" s="309"/>
      <c r="N47" s="309"/>
      <c r="O47" s="309"/>
      <c r="P47" s="309"/>
      <c r="Q47" s="309"/>
      <c r="R47" s="309"/>
      <c r="S47" s="309"/>
      <c r="T47" s="309"/>
      <c r="U47" s="310"/>
      <c r="V47" s="47"/>
    </row>
    <row r="48" spans="2:22" ht="20.100000000000001" customHeight="1">
      <c r="B48" s="57"/>
      <c r="C48" s="71"/>
      <c r="D48" s="70"/>
      <c r="E48" s="308"/>
      <c r="F48" s="309"/>
      <c r="G48" s="309"/>
      <c r="H48" s="309"/>
      <c r="I48" s="309"/>
      <c r="J48" s="309"/>
      <c r="K48" s="309"/>
      <c r="L48" s="309"/>
      <c r="M48" s="309"/>
      <c r="N48" s="309"/>
      <c r="O48" s="309"/>
      <c r="P48" s="309"/>
      <c r="Q48" s="309"/>
      <c r="R48" s="309"/>
      <c r="S48" s="309"/>
      <c r="T48" s="309"/>
      <c r="U48" s="310"/>
      <c r="V48" s="47"/>
    </row>
    <row r="49" spans="2:22" ht="20.100000000000001" customHeight="1">
      <c r="B49" s="57"/>
      <c r="C49" s="71"/>
      <c r="D49" s="70"/>
      <c r="E49" s="308"/>
      <c r="F49" s="309"/>
      <c r="G49" s="309"/>
      <c r="H49" s="309"/>
      <c r="I49" s="309"/>
      <c r="J49" s="309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10"/>
      <c r="V49" s="47"/>
    </row>
    <row r="50" spans="2:22" ht="20.100000000000001" customHeight="1">
      <c r="B50" s="57"/>
      <c r="C50" s="71"/>
      <c r="D50" s="70"/>
      <c r="E50" s="308"/>
      <c r="F50" s="309"/>
      <c r="G50" s="309"/>
      <c r="H50" s="309"/>
      <c r="I50" s="309"/>
      <c r="J50" s="309"/>
      <c r="K50" s="309"/>
      <c r="L50" s="309"/>
      <c r="M50" s="309"/>
      <c r="N50" s="309"/>
      <c r="O50" s="309"/>
      <c r="P50" s="309"/>
      <c r="Q50" s="309"/>
      <c r="R50" s="309"/>
      <c r="S50" s="309"/>
      <c r="T50" s="309"/>
      <c r="U50" s="310"/>
      <c r="V50" s="47"/>
    </row>
    <row r="51" spans="2:22" ht="20.100000000000001" customHeight="1">
      <c r="B51" s="57"/>
      <c r="C51" s="71"/>
      <c r="D51" s="70"/>
      <c r="E51" s="308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10"/>
      <c r="V51" s="47"/>
    </row>
    <row r="52" spans="2:22" ht="20.100000000000001" customHeight="1">
      <c r="B52" s="57"/>
      <c r="C52" s="71"/>
      <c r="D52" s="70"/>
      <c r="E52" s="308"/>
      <c r="F52" s="309"/>
      <c r="G52" s="309"/>
      <c r="H52" s="309"/>
      <c r="I52" s="309"/>
      <c r="J52" s="309"/>
      <c r="K52" s="309"/>
      <c r="L52" s="309"/>
      <c r="M52" s="309"/>
      <c r="N52" s="309"/>
      <c r="O52" s="309"/>
      <c r="P52" s="309"/>
      <c r="Q52" s="309"/>
      <c r="R52" s="309"/>
      <c r="S52" s="309"/>
      <c r="T52" s="309"/>
      <c r="U52" s="310"/>
      <c r="V52" s="47"/>
    </row>
    <row r="53" spans="2:22" ht="20.100000000000001" customHeight="1">
      <c r="B53" s="57"/>
      <c r="C53" s="71"/>
      <c r="D53" s="70"/>
      <c r="E53" s="308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10"/>
      <c r="V53" s="47"/>
    </row>
    <row r="54" spans="2:22" ht="20.100000000000001" customHeight="1">
      <c r="B54" s="57"/>
      <c r="C54" s="71"/>
      <c r="D54" s="70"/>
      <c r="E54" s="308"/>
      <c r="F54" s="309"/>
      <c r="G54" s="309"/>
      <c r="H54" s="309"/>
      <c r="I54" s="309"/>
      <c r="J54" s="309"/>
      <c r="K54" s="309"/>
      <c r="L54" s="309"/>
      <c r="M54" s="309"/>
      <c r="N54" s="309"/>
      <c r="O54" s="309"/>
      <c r="P54" s="309"/>
      <c r="Q54" s="309"/>
      <c r="R54" s="309"/>
      <c r="S54" s="309"/>
      <c r="T54" s="309"/>
      <c r="U54" s="310"/>
      <c r="V54" s="47"/>
    </row>
    <row r="55" spans="2:22" ht="20.100000000000001" customHeight="1">
      <c r="B55" s="57"/>
      <c r="C55" s="71"/>
      <c r="D55" s="70"/>
      <c r="E55" s="308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10"/>
      <c r="V55" s="47"/>
    </row>
    <row r="56" spans="2:22" ht="20.100000000000001" customHeight="1">
      <c r="B56" s="57"/>
      <c r="C56" s="71"/>
      <c r="D56" s="70"/>
      <c r="E56" s="308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10"/>
      <c r="V56" s="47"/>
    </row>
    <row r="57" spans="2:22" ht="20.100000000000001" customHeight="1">
      <c r="B57" s="57"/>
      <c r="C57" s="71"/>
      <c r="D57" s="70"/>
      <c r="E57" s="308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10"/>
      <c r="V57" s="47"/>
    </row>
    <row r="58" spans="2:22" ht="20.100000000000001" customHeight="1">
      <c r="B58" s="57"/>
      <c r="C58" s="71"/>
      <c r="D58" s="70"/>
      <c r="E58" s="308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10"/>
      <c r="V58" s="47"/>
    </row>
    <row r="59" spans="2:22" ht="20.100000000000001" customHeight="1">
      <c r="B59" s="57"/>
      <c r="C59" s="71"/>
      <c r="D59" s="70"/>
      <c r="E59" s="308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10"/>
      <c r="V59" s="47"/>
    </row>
    <row r="60" spans="2:22" ht="20.100000000000001" customHeight="1">
      <c r="B60" s="57"/>
      <c r="C60" s="71"/>
      <c r="D60" s="70"/>
      <c r="E60" s="308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10"/>
      <c r="V60" s="47"/>
    </row>
    <row r="61" spans="2:22" ht="20.100000000000001" customHeight="1">
      <c r="B61" s="57"/>
      <c r="C61" s="71"/>
      <c r="D61" s="70"/>
      <c r="E61" s="308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10"/>
      <c r="V61" s="47"/>
    </row>
    <row r="62" spans="2:22" ht="20.100000000000001" customHeight="1">
      <c r="B62" s="57"/>
      <c r="C62" s="71"/>
      <c r="D62" s="70"/>
      <c r="E62" s="308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10"/>
      <c r="V62" s="47"/>
    </row>
    <row r="63" spans="2:22" ht="20.100000000000001" customHeight="1">
      <c r="B63" s="57"/>
      <c r="C63" s="71"/>
      <c r="D63" s="70"/>
      <c r="E63" s="308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10"/>
      <c r="V63" s="47"/>
    </row>
    <row r="64" spans="2:22" ht="20.100000000000001" customHeight="1">
      <c r="B64" s="57"/>
      <c r="C64" s="71"/>
      <c r="D64" s="70"/>
      <c r="E64" s="308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10"/>
      <c r="V64" s="47"/>
    </row>
    <row r="65" spans="2:22" ht="20.100000000000001" customHeight="1">
      <c r="B65" s="57"/>
      <c r="C65" s="71"/>
      <c r="D65" s="70"/>
      <c r="E65" s="308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10"/>
      <c r="V65" s="47"/>
    </row>
    <row r="66" spans="2:22" ht="20.100000000000001" customHeight="1">
      <c r="B66" s="57"/>
      <c r="C66" s="71"/>
      <c r="D66" s="70"/>
      <c r="E66" s="308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10"/>
      <c r="V66" s="47"/>
    </row>
    <row r="67" spans="2:22" ht="20.100000000000001" customHeight="1">
      <c r="B67" s="57"/>
      <c r="C67" s="71"/>
      <c r="D67" s="70"/>
      <c r="E67" s="308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10"/>
      <c r="V67" s="47"/>
    </row>
    <row r="68" spans="2:22" ht="20.100000000000001" customHeight="1">
      <c r="B68" s="57"/>
      <c r="C68" s="71"/>
      <c r="D68" s="70"/>
      <c r="E68" s="308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10"/>
      <c r="V68" s="47"/>
    </row>
    <row r="69" spans="2:22" ht="20.100000000000001" customHeight="1">
      <c r="B69" s="57"/>
      <c r="C69" s="71"/>
      <c r="D69" s="70"/>
      <c r="E69" s="308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10"/>
      <c r="V69" s="47"/>
    </row>
    <row r="70" spans="2:22" ht="20.100000000000001" customHeight="1">
      <c r="B70" s="57"/>
      <c r="C70" s="71"/>
      <c r="D70" s="70"/>
      <c r="E70" s="308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10"/>
      <c r="V70" s="47"/>
    </row>
    <row r="71" spans="2:22" ht="20.100000000000001" customHeight="1">
      <c r="B71" s="57"/>
      <c r="C71" s="71"/>
      <c r="D71" s="70"/>
      <c r="E71" s="308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10"/>
      <c r="V71" s="47"/>
    </row>
    <row r="72" spans="2:22" ht="20.100000000000001" customHeight="1">
      <c r="B72" s="57"/>
      <c r="C72" s="71"/>
      <c r="D72" s="70"/>
      <c r="E72" s="308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10"/>
      <c r="V72" s="47"/>
    </row>
    <row r="73" spans="2:22" ht="20.100000000000001" customHeight="1">
      <c r="B73" s="57"/>
      <c r="C73" s="71"/>
      <c r="D73" s="70"/>
      <c r="E73" s="308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10"/>
      <c r="V73" s="47"/>
    </row>
    <row r="74" spans="2:22" ht="20.100000000000001" customHeight="1">
      <c r="B74" s="57"/>
      <c r="C74" s="71"/>
      <c r="D74" s="70"/>
      <c r="E74" s="308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10"/>
      <c r="V74" s="47"/>
    </row>
    <row r="75" spans="2:22" ht="20.100000000000001" customHeight="1">
      <c r="B75" s="57"/>
      <c r="C75" s="71"/>
      <c r="D75" s="70"/>
      <c r="E75" s="308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10"/>
      <c r="V75" s="47"/>
    </row>
    <row r="76" spans="2:22" ht="20.100000000000001" customHeight="1">
      <c r="B76" s="57"/>
      <c r="C76" s="71"/>
      <c r="D76" s="70"/>
      <c r="E76" s="308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10"/>
      <c r="V76" s="47"/>
    </row>
    <row r="77" spans="2:22" ht="20.100000000000001" customHeight="1">
      <c r="B77" s="57"/>
      <c r="C77" s="71"/>
      <c r="D77" s="70"/>
      <c r="E77" s="308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10"/>
      <c r="V77" s="47"/>
    </row>
    <row r="78" spans="2:22" ht="20.100000000000001" customHeight="1">
      <c r="B78" s="57"/>
      <c r="C78" s="71"/>
      <c r="D78" s="70"/>
      <c r="E78" s="308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10"/>
      <c r="V78" s="47"/>
    </row>
    <row r="79" spans="2:22" ht="20.100000000000001" customHeight="1">
      <c r="B79" s="57"/>
      <c r="C79" s="71"/>
      <c r="D79" s="70"/>
      <c r="E79" s="308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10"/>
      <c r="V79" s="47"/>
    </row>
    <row r="80" spans="2:22" ht="20.100000000000001" customHeight="1">
      <c r="B80" s="57"/>
      <c r="C80" s="71"/>
      <c r="D80" s="70"/>
      <c r="E80" s="308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10"/>
      <c r="V80" s="47"/>
    </row>
    <row r="81" spans="2:24" ht="20.100000000000001" customHeight="1">
      <c r="B81" s="57"/>
      <c r="C81" s="71"/>
      <c r="D81" s="70"/>
      <c r="E81" s="308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10"/>
      <c r="V81" s="47"/>
      <c r="W81" s="311"/>
      <c r="X81" s="311"/>
    </row>
    <row r="82" spans="2:24" ht="20.100000000000001" customHeight="1">
      <c r="B82" s="57"/>
      <c r="C82" s="71"/>
      <c r="D82" s="70"/>
      <c r="E82" s="308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10"/>
      <c r="V82" s="47"/>
      <c r="W82" s="311"/>
      <c r="X82" s="311"/>
    </row>
    <row r="83" spans="2:24" ht="20.100000000000001" customHeight="1">
      <c r="B83" s="57"/>
      <c r="C83" s="71"/>
      <c r="D83" s="70"/>
      <c r="E83" s="308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10"/>
      <c r="V83" s="47"/>
      <c r="W83" s="311"/>
      <c r="X83" s="311"/>
    </row>
    <row r="84" spans="2:24" ht="20.100000000000001" customHeight="1" thickBot="1">
      <c r="B84" s="58"/>
      <c r="C84" s="59"/>
      <c r="D84" s="60"/>
      <c r="E84" s="312"/>
      <c r="F84" s="313"/>
      <c r="G84" s="313"/>
      <c r="H84" s="313"/>
      <c r="I84" s="313"/>
      <c r="J84" s="313"/>
      <c r="K84" s="313"/>
      <c r="L84" s="313"/>
      <c r="M84" s="313"/>
      <c r="N84" s="313"/>
      <c r="O84" s="313"/>
      <c r="P84" s="313"/>
      <c r="Q84" s="313"/>
      <c r="R84" s="313"/>
      <c r="S84" s="313"/>
      <c r="T84" s="313"/>
      <c r="U84" s="314"/>
      <c r="V84" s="47"/>
    </row>
    <row r="85" spans="2:24" ht="20.100000000000001" customHeight="1">
      <c r="V85" s="47"/>
    </row>
    <row r="86" spans="2:24" ht="20.100000000000001" customHeight="1">
      <c r="V86" s="47"/>
    </row>
    <row r="87" spans="2:24" ht="20.100000000000001" customHeight="1">
      <c r="V87" s="47"/>
    </row>
    <row r="88" spans="2:24" ht="20.100000000000001" customHeight="1">
      <c r="V88" s="47"/>
    </row>
    <row r="89" spans="2:24" ht="19.5" customHeight="1">
      <c r="V89" s="47"/>
    </row>
    <row r="90" spans="2:24" ht="20.100000000000001" customHeight="1">
      <c r="V90" s="47"/>
    </row>
    <row r="91" spans="2:24" ht="20.100000000000001" customHeight="1">
      <c r="V91" s="47"/>
    </row>
    <row r="92" spans="2:24" ht="20.100000000000001" customHeight="1">
      <c r="V92" s="47"/>
    </row>
    <row r="93" spans="2:24" ht="20.100000000000001" customHeight="1">
      <c r="V93" s="47"/>
    </row>
    <row r="94" spans="2:24" ht="20.100000000000001" customHeight="1">
      <c r="V94" s="47"/>
    </row>
    <row r="95" spans="2:24" ht="20.100000000000001" customHeight="1">
      <c r="V95" s="47"/>
    </row>
    <row r="96" spans="2:24" ht="20.100000000000001" customHeight="1">
      <c r="V96" s="47"/>
    </row>
    <row r="97" spans="22:22" ht="20.100000000000001" customHeight="1">
      <c r="V97" s="47"/>
    </row>
    <row r="98" spans="22:22" ht="20.100000000000001" customHeight="1">
      <c r="V98" s="47"/>
    </row>
    <row r="99" spans="22:22" ht="20.100000000000001" customHeight="1">
      <c r="V99" s="47"/>
    </row>
    <row r="100" spans="22:22" ht="20.100000000000001" customHeight="1">
      <c r="V100" s="47"/>
    </row>
    <row r="101" spans="22:22" ht="20.100000000000001" customHeight="1">
      <c r="V101" s="47"/>
    </row>
    <row r="102" spans="22:22" ht="20.100000000000001" customHeight="1">
      <c r="V102" s="47"/>
    </row>
    <row r="103" spans="22:22" ht="20.100000000000001" customHeight="1">
      <c r="V103" s="47"/>
    </row>
    <row r="104" spans="22:22" ht="20.100000000000001" customHeight="1">
      <c r="V104" s="47"/>
    </row>
    <row r="105" spans="22:22" ht="20.100000000000001" customHeight="1">
      <c r="V105" s="47"/>
    </row>
    <row r="106" spans="22:22" ht="20.100000000000001" customHeight="1">
      <c r="V106" s="47"/>
    </row>
    <row r="107" spans="22:22" ht="20.100000000000001" customHeight="1">
      <c r="V107" s="47"/>
    </row>
    <row r="108" spans="22:22" ht="20.100000000000001" customHeight="1">
      <c r="V108" s="47"/>
    </row>
    <row r="109" spans="22:22" ht="20.100000000000001" customHeight="1">
      <c r="V109" s="47"/>
    </row>
    <row r="110" spans="22:22" ht="20.100000000000001" customHeight="1">
      <c r="V110" s="47"/>
    </row>
    <row r="111" spans="22:22" ht="20.100000000000001" customHeight="1">
      <c r="V111" s="47"/>
    </row>
    <row r="112" spans="22:22" ht="20.100000000000001" customHeight="1">
      <c r="V112" s="47"/>
    </row>
    <row r="113" spans="22:22" ht="20.100000000000001" customHeight="1">
      <c r="V113" s="47"/>
    </row>
    <row r="114" spans="22:22" ht="20.100000000000001" customHeight="1">
      <c r="V114" s="47"/>
    </row>
    <row r="115" spans="22:22" ht="20.100000000000001" customHeight="1">
      <c r="V115" s="47"/>
    </row>
    <row r="116" spans="22:22" ht="20.100000000000001" customHeight="1">
      <c r="V116" s="47"/>
    </row>
    <row r="117" spans="22:22" ht="20.100000000000001" customHeight="1">
      <c r="V117" s="47"/>
    </row>
    <row r="118" spans="22:22" ht="20.100000000000001" customHeight="1">
      <c r="V118" s="47"/>
    </row>
    <row r="119" spans="22:22" ht="20.100000000000001" customHeight="1">
      <c r="V119" s="47"/>
    </row>
    <row r="120" spans="22:22" ht="20.100000000000001" customHeight="1">
      <c r="V120" s="47"/>
    </row>
    <row r="121" spans="22:22" ht="20.100000000000001" customHeight="1">
      <c r="V121" s="47"/>
    </row>
    <row r="122" spans="22:22" ht="20.100000000000001" customHeight="1">
      <c r="V122" s="47"/>
    </row>
    <row r="123" spans="22:22" ht="20.100000000000001" customHeight="1">
      <c r="V123" s="47"/>
    </row>
    <row r="124" spans="22:22" ht="20.100000000000001" customHeight="1">
      <c r="V124" s="47"/>
    </row>
    <row r="125" spans="22:22" ht="20.100000000000001" customHeight="1">
      <c r="V125" s="47"/>
    </row>
    <row r="126" spans="22:22" ht="20.100000000000001" customHeight="1">
      <c r="V126" s="47"/>
    </row>
    <row r="127" spans="22:22" ht="20.100000000000001" customHeight="1">
      <c r="V127" s="47"/>
    </row>
    <row r="128" spans="22:22" ht="20.100000000000001" customHeight="1">
      <c r="V128" s="47"/>
    </row>
    <row r="129" spans="22:22" ht="20.100000000000001" customHeight="1">
      <c r="V129" s="47"/>
    </row>
    <row r="130" spans="22:22" ht="20.100000000000001" customHeight="1">
      <c r="V130" s="47"/>
    </row>
    <row r="131" spans="22:22" ht="20.100000000000001" customHeight="1">
      <c r="V131" s="47"/>
    </row>
    <row r="132" spans="22:22" ht="20.100000000000001" customHeight="1">
      <c r="V132" s="47"/>
    </row>
    <row r="133" spans="22:22" ht="20.100000000000001" customHeight="1">
      <c r="V133" s="47"/>
    </row>
    <row r="134" spans="22:22" ht="20.100000000000001" customHeight="1">
      <c r="V134" s="47"/>
    </row>
    <row r="135" spans="22:22" ht="20.100000000000001" customHeight="1">
      <c r="V135" s="47"/>
    </row>
    <row r="136" spans="22:22" ht="20.100000000000001" customHeight="1">
      <c r="V136" s="47"/>
    </row>
    <row r="137" spans="22:22" ht="20.100000000000001" customHeight="1">
      <c r="V137" s="47"/>
    </row>
    <row r="138" spans="22:22" ht="20.100000000000001" customHeight="1">
      <c r="V138" s="47"/>
    </row>
    <row r="139" spans="22:22" ht="20.100000000000001" customHeight="1">
      <c r="V139" s="47"/>
    </row>
    <row r="140" spans="22:22" ht="20.100000000000001" customHeight="1">
      <c r="V140" s="47"/>
    </row>
    <row r="141" spans="22:22" ht="20.100000000000001" customHeight="1">
      <c r="V141" s="47"/>
    </row>
    <row r="142" spans="22:22" ht="20.100000000000001" customHeight="1">
      <c r="V142" s="47"/>
    </row>
    <row r="143" spans="22:22" ht="20.100000000000001" customHeight="1">
      <c r="V143" s="47"/>
    </row>
    <row r="144" spans="22:22" ht="20.100000000000001" customHeight="1">
      <c r="V144" s="47"/>
    </row>
    <row r="145" spans="22:22" ht="20.100000000000001" customHeight="1">
      <c r="V145" s="47"/>
    </row>
    <row r="146" spans="22:22" ht="20.100000000000001" customHeight="1">
      <c r="V146" s="47"/>
    </row>
    <row r="147" spans="22:22" ht="20.100000000000001" customHeight="1">
      <c r="V147" s="47"/>
    </row>
    <row r="148" spans="22:22" ht="20.100000000000001" customHeight="1">
      <c r="V148" s="47"/>
    </row>
    <row r="149" spans="22:22" ht="20.100000000000001" customHeight="1">
      <c r="V149" s="47"/>
    </row>
    <row r="150" spans="22:22" ht="20.100000000000001" customHeight="1">
      <c r="V150" s="47"/>
    </row>
    <row r="151" spans="22:22" ht="20.100000000000001" customHeight="1">
      <c r="V151" s="47"/>
    </row>
    <row r="152" spans="22:22" ht="20.100000000000001" customHeight="1">
      <c r="V152" s="47"/>
    </row>
    <row r="153" spans="22:22" ht="20.100000000000001" customHeight="1">
      <c r="V153" s="47"/>
    </row>
    <row r="154" spans="22:22" ht="20.100000000000001" customHeight="1">
      <c r="V154" s="47"/>
    </row>
    <row r="155" spans="22:22" ht="20.100000000000001" customHeight="1">
      <c r="V155" s="47"/>
    </row>
    <row r="156" spans="22:22" ht="20.100000000000001" customHeight="1">
      <c r="V156" s="47"/>
    </row>
    <row r="157" spans="22:22" ht="20.100000000000001" customHeight="1">
      <c r="V157" s="47"/>
    </row>
    <row r="158" spans="22:22" ht="20.100000000000001" customHeight="1">
      <c r="V158" s="47"/>
    </row>
    <row r="159" spans="22:22" ht="20.100000000000001" customHeight="1">
      <c r="V159" s="47"/>
    </row>
    <row r="160" spans="22:22" ht="20.100000000000001" customHeight="1">
      <c r="V160" s="47"/>
    </row>
    <row r="161" spans="22:22" ht="20.100000000000001" customHeight="1">
      <c r="V161" s="47"/>
    </row>
    <row r="162" spans="22:22" ht="20.100000000000001" customHeight="1">
      <c r="V162" s="47"/>
    </row>
    <row r="163" spans="22:22" ht="20.100000000000001" customHeight="1">
      <c r="V163" s="47"/>
    </row>
    <row r="164" spans="22:22" ht="20.100000000000001" customHeight="1">
      <c r="V164" s="47"/>
    </row>
    <row r="165" spans="22:22" ht="20.100000000000001" customHeight="1">
      <c r="V165" s="47"/>
    </row>
    <row r="166" spans="22:22" ht="20.100000000000001" customHeight="1">
      <c r="V166" s="47"/>
    </row>
    <row r="167" spans="22:22" ht="20.100000000000001" customHeight="1">
      <c r="V167" s="47"/>
    </row>
    <row r="168" spans="22:22" ht="20.100000000000001" customHeight="1">
      <c r="V168" s="47"/>
    </row>
    <row r="169" spans="22:22" ht="20.100000000000001" customHeight="1">
      <c r="V169" s="47"/>
    </row>
    <row r="170" spans="22:22" ht="20.100000000000001" customHeight="1">
      <c r="V170" s="47"/>
    </row>
    <row r="171" spans="22:22" ht="20.100000000000001" customHeight="1">
      <c r="V171" s="47"/>
    </row>
    <row r="172" spans="22:22" ht="20.100000000000001" customHeight="1">
      <c r="V172" s="47"/>
    </row>
    <row r="173" spans="22:22" ht="20.100000000000001" customHeight="1">
      <c r="V173" s="47"/>
    </row>
    <row r="174" spans="22:22" ht="20.100000000000001" customHeight="1">
      <c r="V174" s="47"/>
    </row>
    <row r="175" spans="22:22" ht="20.100000000000001" customHeight="1">
      <c r="V175" s="47"/>
    </row>
    <row r="176" spans="22:22" ht="20.100000000000001" customHeight="1">
      <c r="V176" s="47"/>
    </row>
    <row r="177" spans="22:22" ht="20.100000000000001" customHeight="1">
      <c r="V177" s="47"/>
    </row>
    <row r="178" spans="22:22" ht="20.100000000000001" customHeight="1">
      <c r="V178" s="47"/>
    </row>
    <row r="179" spans="22:22" ht="20.100000000000001" customHeight="1">
      <c r="V179" s="47"/>
    </row>
    <row r="180" spans="22:22" ht="20.100000000000001" customHeight="1">
      <c r="V180" s="47"/>
    </row>
    <row r="181" spans="22:22" ht="20.100000000000001" customHeight="1">
      <c r="V181" s="47"/>
    </row>
    <row r="182" spans="22:22" ht="20.100000000000001" customHeight="1">
      <c r="V182" s="47"/>
    </row>
    <row r="183" spans="22:22" ht="20.100000000000001" customHeight="1">
      <c r="V183" s="47"/>
    </row>
    <row r="184" spans="22:22" ht="20.100000000000001" customHeight="1">
      <c r="V184" s="47"/>
    </row>
    <row r="185" spans="22:22" ht="20.100000000000001" customHeight="1">
      <c r="V185" s="47"/>
    </row>
    <row r="186" spans="22:22" ht="20.100000000000001" customHeight="1">
      <c r="V186" s="47"/>
    </row>
    <row r="187" spans="22:22" ht="20.100000000000001" customHeight="1">
      <c r="V187" s="47"/>
    </row>
    <row r="188" spans="22:22" ht="20.100000000000001" customHeight="1">
      <c r="V188" s="47"/>
    </row>
    <row r="189" spans="22:22" ht="20.100000000000001" customHeight="1">
      <c r="V189" s="47"/>
    </row>
    <row r="190" spans="22:22" ht="20.100000000000001" customHeight="1">
      <c r="V190" s="47"/>
    </row>
    <row r="191" spans="22:22" ht="20.100000000000001" customHeight="1">
      <c r="V191" s="47"/>
    </row>
    <row r="192" spans="22:22" ht="20.100000000000001" customHeight="1">
      <c r="V192" s="47"/>
    </row>
    <row r="193" spans="22:22" ht="20.100000000000001" customHeight="1">
      <c r="V193" s="47"/>
    </row>
    <row r="194" spans="22:22" ht="20.100000000000001" customHeight="1">
      <c r="V194" s="47"/>
    </row>
    <row r="195" spans="22:22" ht="20.100000000000001" customHeight="1">
      <c r="V195" s="47"/>
    </row>
    <row r="196" spans="22:22" ht="20.100000000000001" customHeight="1">
      <c r="V196" s="47"/>
    </row>
    <row r="197" spans="22:22" ht="20.100000000000001" customHeight="1">
      <c r="V197" s="47"/>
    </row>
    <row r="198" spans="22:22" ht="20.100000000000001" customHeight="1">
      <c r="V198" s="47"/>
    </row>
    <row r="199" spans="22:22" ht="20.100000000000001" customHeight="1">
      <c r="V199" s="47"/>
    </row>
    <row r="200" spans="22:22" ht="20.100000000000001" customHeight="1">
      <c r="V200" s="47"/>
    </row>
    <row r="201" spans="22:22" ht="20.100000000000001" customHeight="1">
      <c r="V201" s="47"/>
    </row>
    <row r="202" spans="22:22" ht="20.100000000000001" customHeight="1">
      <c r="V202" s="47"/>
    </row>
    <row r="203" spans="22:22" ht="20.100000000000001" customHeight="1">
      <c r="V203" s="47"/>
    </row>
    <row r="204" spans="22:22" ht="20.100000000000001" customHeight="1">
      <c r="V204" s="47"/>
    </row>
    <row r="205" spans="22:22" ht="20.100000000000001" customHeight="1">
      <c r="V205" s="47"/>
    </row>
    <row r="206" spans="22:22" ht="20.100000000000001" customHeight="1">
      <c r="V206" s="47"/>
    </row>
    <row r="207" spans="22:22" ht="20.100000000000001" customHeight="1">
      <c r="V207" s="47"/>
    </row>
    <row r="208" spans="22:22" ht="20.100000000000001" customHeight="1">
      <c r="V208" s="47"/>
    </row>
    <row r="209" spans="22:22" ht="20.100000000000001" customHeight="1">
      <c r="V209" s="47"/>
    </row>
    <row r="210" spans="22:22" ht="20.100000000000001" customHeight="1">
      <c r="V210" s="47"/>
    </row>
    <row r="211" spans="22:22" ht="20.100000000000001" customHeight="1">
      <c r="V211" s="47"/>
    </row>
    <row r="212" spans="22:22" ht="20.100000000000001" customHeight="1">
      <c r="V212" s="47"/>
    </row>
    <row r="213" spans="22:22" ht="20.100000000000001" customHeight="1">
      <c r="V213" s="47"/>
    </row>
    <row r="214" spans="22:22" ht="20.100000000000001" customHeight="1">
      <c r="V214" s="47"/>
    </row>
    <row r="215" spans="22:22" ht="20.100000000000001" customHeight="1">
      <c r="V215" s="47"/>
    </row>
    <row r="216" spans="22:22" ht="20.100000000000001" customHeight="1">
      <c r="V216" s="47"/>
    </row>
    <row r="217" spans="22:22" ht="20.100000000000001" customHeight="1">
      <c r="V217" s="47"/>
    </row>
    <row r="218" spans="22:22" ht="20.100000000000001" customHeight="1">
      <c r="V218" s="47"/>
    </row>
    <row r="219" spans="22:22" ht="20.100000000000001" customHeight="1">
      <c r="V219" s="47"/>
    </row>
    <row r="220" spans="22:22" ht="20.100000000000001" customHeight="1">
      <c r="V220" s="47"/>
    </row>
    <row r="221" spans="22:22" ht="20.100000000000001" customHeight="1">
      <c r="V221" s="47"/>
    </row>
    <row r="222" spans="22:22" ht="20.100000000000001" customHeight="1">
      <c r="V222" s="47"/>
    </row>
    <row r="223" spans="22:22" ht="20.100000000000001" customHeight="1">
      <c r="V223" s="47"/>
    </row>
    <row r="224" spans="22:22" ht="20.100000000000001" customHeight="1">
      <c r="V224" s="47"/>
    </row>
    <row r="225" spans="22:22" ht="20.100000000000001" customHeight="1">
      <c r="V225" s="47"/>
    </row>
    <row r="226" spans="22:22" ht="20.100000000000001" customHeight="1">
      <c r="V226" s="47"/>
    </row>
    <row r="227" spans="22:22" ht="20.100000000000001" customHeight="1">
      <c r="V227" s="47"/>
    </row>
    <row r="228" spans="22:22" ht="20.100000000000001" customHeight="1">
      <c r="V228" s="47"/>
    </row>
    <row r="229" spans="22:22" ht="20.100000000000001" customHeight="1">
      <c r="V229" s="47"/>
    </row>
    <row r="230" spans="22:22" ht="20.100000000000001" customHeight="1">
      <c r="V230" s="47"/>
    </row>
    <row r="231" spans="22:22" ht="20.100000000000001" customHeight="1">
      <c r="V231" s="47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T2:U2"/>
    <mergeCell ref="H3:O3"/>
    <mergeCell ref="Q3:R3"/>
    <mergeCell ref="T3:U3"/>
    <mergeCell ref="B2:E3"/>
    <mergeCell ref="F2:G2"/>
    <mergeCell ref="F3:G3"/>
    <mergeCell ref="H2:O2"/>
    <mergeCell ref="Q2:R2"/>
    <mergeCell ref="E6:U6"/>
    <mergeCell ref="E5:U5"/>
    <mergeCell ref="E10:U10"/>
    <mergeCell ref="E11:U11"/>
    <mergeCell ref="E12:U12"/>
    <mergeCell ref="E13:U13"/>
    <mergeCell ref="E14:U14"/>
    <mergeCell ref="E7:U7"/>
    <mergeCell ref="E8:U8"/>
    <mergeCell ref="E9:U9"/>
    <mergeCell ref="E20:U20"/>
    <mergeCell ref="E21:U21"/>
    <mergeCell ref="E22:U22"/>
    <mergeCell ref="E23:U23"/>
    <mergeCell ref="E24:U24"/>
    <mergeCell ref="E15:U15"/>
    <mergeCell ref="E16:U16"/>
    <mergeCell ref="E17:U17"/>
    <mergeCell ref="E18:U18"/>
    <mergeCell ref="E19:U19"/>
    <mergeCell ref="E30:U30"/>
    <mergeCell ref="E31:U31"/>
    <mergeCell ref="E32:U32"/>
    <mergeCell ref="E33:U33"/>
    <mergeCell ref="E34:U34"/>
    <mergeCell ref="E25:U25"/>
    <mergeCell ref="E26:U26"/>
    <mergeCell ref="E27:U27"/>
    <mergeCell ref="E28:U28"/>
    <mergeCell ref="E29:U29"/>
    <mergeCell ref="E40:U40"/>
    <mergeCell ref="E41:U41"/>
    <mergeCell ref="E42:U42"/>
    <mergeCell ref="E43:U43"/>
    <mergeCell ref="E44:U44"/>
    <mergeCell ref="E35:U35"/>
    <mergeCell ref="E36:U36"/>
    <mergeCell ref="E37:U37"/>
    <mergeCell ref="E38:U38"/>
    <mergeCell ref="E39:U39"/>
    <mergeCell ref="E50:U50"/>
    <mergeCell ref="E51:U51"/>
    <mergeCell ref="E52:U52"/>
    <mergeCell ref="E53:U53"/>
    <mergeCell ref="E54:U54"/>
    <mergeCell ref="E45:U45"/>
    <mergeCell ref="E46:U46"/>
    <mergeCell ref="E47:U47"/>
    <mergeCell ref="E48:U48"/>
    <mergeCell ref="E49:U49"/>
    <mergeCell ref="E84:U84"/>
    <mergeCell ref="E75:U75"/>
    <mergeCell ref="E76:U76"/>
    <mergeCell ref="E77:U77"/>
    <mergeCell ref="E78:U78"/>
    <mergeCell ref="E79:U79"/>
    <mergeCell ref="E70:U70"/>
    <mergeCell ref="E71:U71"/>
    <mergeCell ref="E72:U72"/>
    <mergeCell ref="E73:U73"/>
    <mergeCell ref="E74:U74"/>
    <mergeCell ref="W81:X81"/>
    <mergeCell ref="W82:X82"/>
    <mergeCell ref="W83:X83"/>
    <mergeCell ref="E80:U80"/>
    <mergeCell ref="E81:U81"/>
    <mergeCell ref="E82:U82"/>
    <mergeCell ref="E83:U83"/>
    <mergeCell ref="E65:U65"/>
    <mergeCell ref="E66:U66"/>
    <mergeCell ref="E67:U67"/>
    <mergeCell ref="E68:U68"/>
    <mergeCell ref="E69:U69"/>
    <mergeCell ref="E60:U60"/>
    <mergeCell ref="E61:U61"/>
    <mergeCell ref="E62:U62"/>
    <mergeCell ref="E63:U63"/>
    <mergeCell ref="E64:U64"/>
    <mergeCell ref="E55:U55"/>
    <mergeCell ref="E56:U56"/>
    <mergeCell ref="E57:U57"/>
    <mergeCell ref="E58:U58"/>
    <mergeCell ref="E59:U59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pageSetUpPr fitToPage="1"/>
  </sheetPr>
  <dimension ref="A1:V40"/>
  <sheetViews>
    <sheetView showGridLines="0" zoomScaleNormal="100" workbookViewId="0">
      <pane ySplit="4" topLeftCell="A5" activePane="bottomLeft" state="frozen"/>
      <selection activeCell="D7" sqref="D7"/>
      <selection pane="bottomLeft" activeCell="N15" sqref="N15"/>
    </sheetView>
  </sheetViews>
  <sheetFormatPr defaultRowHeight="18.75"/>
  <cols>
    <col min="1" max="1" width="3.42578125" style="47" customWidth="1"/>
    <col min="2" max="2" width="5.7109375" style="47" customWidth="1"/>
    <col min="3" max="3" width="15.7109375" style="47" customWidth="1"/>
    <col min="4" max="5" width="25.7109375" style="47" customWidth="1"/>
    <col min="6" max="6" width="10.7109375" style="47" customWidth="1"/>
    <col min="7" max="7" width="14" style="47" customWidth="1"/>
    <col min="8" max="8" width="12" style="47" customWidth="1"/>
    <col min="9" max="9" width="9.5703125" style="47" hidden="1" customWidth="1"/>
    <col min="10" max="14" width="3" style="47" customWidth="1"/>
    <col min="15" max="15" width="12" style="47" customWidth="1"/>
    <col min="16" max="21" width="13.42578125" style="47" customWidth="1"/>
    <col min="22" max="22" width="13.42578125" style="61" customWidth="1"/>
    <col min="23" max="16384" width="9.140625" style="47"/>
  </cols>
  <sheetData>
    <row r="1" spans="1:21" ht="12" customHeight="1" thickBot="1">
      <c r="A1" s="53"/>
    </row>
    <row r="2" spans="1:21" ht="15" customHeight="1">
      <c r="B2" s="220" t="s">
        <v>114</v>
      </c>
      <c r="C2" s="221"/>
      <c r="D2" s="221"/>
      <c r="E2" s="222"/>
      <c r="F2" s="226" t="s">
        <v>2</v>
      </c>
      <c r="G2" s="227"/>
      <c r="H2" s="242" t="str">
        <f>ProjectName</f>
        <v>○△□プロジェクト</v>
      </c>
      <c r="I2" s="243"/>
      <c r="J2" s="243"/>
      <c r="K2" s="243"/>
      <c r="L2" s="243"/>
      <c r="M2" s="243"/>
      <c r="N2" s="243"/>
      <c r="O2" s="244"/>
      <c r="P2" s="138" t="s">
        <v>3</v>
      </c>
      <c r="Q2" s="255" t="str">
        <f>CreateBy</f>
        <v>○○　✕✕</v>
      </c>
      <c r="R2" s="256"/>
      <c r="S2" s="138" t="s">
        <v>4</v>
      </c>
      <c r="T2" s="304" t="str">
        <f>CreateAt</f>
        <v>2020/12/25</v>
      </c>
      <c r="U2" s="305"/>
    </row>
    <row r="3" spans="1:21" ht="15" customHeight="1" thickBot="1">
      <c r="B3" s="223"/>
      <c r="C3" s="224"/>
      <c r="D3" s="224"/>
      <c r="E3" s="225"/>
      <c r="F3" s="228" t="s">
        <v>5</v>
      </c>
      <c r="G3" s="229"/>
      <c r="H3" s="257" t="str">
        <f>systemName</f>
        <v>○✕システム</v>
      </c>
      <c r="I3" s="258"/>
      <c r="J3" s="258"/>
      <c r="K3" s="258"/>
      <c r="L3" s="258"/>
      <c r="M3" s="258"/>
      <c r="N3" s="258"/>
      <c r="O3" s="259"/>
      <c r="P3" s="139" t="s">
        <v>6</v>
      </c>
      <c r="Q3" s="252"/>
      <c r="R3" s="254"/>
      <c r="S3" s="139" t="s">
        <v>7</v>
      </c>
      <c r="T3" s="306"/>
      <c r="U3" s="307"/>
    </row>
    <row r="4" spans="1:21" ht="13.5" customHeight="1" thickBot="1"/>
    <row r="5" spans="1:21" ht="20.100000000000001" customHeight="1">
      <c r="B5" s="21"/>
      <c r="C5" s="22"/>
      <c r="D5" s="22"/>
      <c r="E5" s="22"/>
      <c r="F5" s="22"/>
      <c r="G5" s="23"/>
      <c r="H5" s="23"/>
      <c r="I5" s="23"/>
      <c r="J5" s="23"/>
      <c r="K5" s="23"/>
      <c r="L5" s="23"/>
      <c r="M5" s="23"/>
      <c r="N5" s="23"/>
      <c r="O5" s="23"/>
      <c r="P5" s="23"/>
      <c r="Q5" s="22"/>
      <c r="R5" s="22"/>
      <c r="S5" s="22"/>
      <c r="T5" s="22"/>
      <c r="U5" s="24"/>
    </row>
    <row r="6" spans="1:21" ht="20.100000000000001" customHeight="1">
      <c r="B6" s="25"/>
      <c r="C6" s="88"/>
      <c r="D6" s="26"/>
      <c r="E6" s="88"/>
      <c r="F6" s="88"/>
      <c r="G6" s="27"/>
      <c r="H6" s="28"/>
      <c r="I6" s="52"/>
      <c r="J6" s="29"/>
      <c r="K6" s="30"/>
      <c r="L6" s="30"/>
      <c r="M6" s="30"/>
      <c r="N6" s="30"/>
      <c r="O6" s="31"/>
      <c r="P6" s="32"/>
      <c r="Q6" s="33"/>
      <c r="R6" s="33"/>
      <c r="S6" s="33"/>
      <c r="T6" s="33"/>
      <c r="U6" s="34"/>
    </row>
    <row r="7" spans="1:21" ht="20.100000000000001" customHeight="1">
      <c r="B7" s="25"/>
      <c r="C7" s="88"/>
      <c r="D7" s="26"/>
      <c r="E7" s="88"/>
      <c r="F7" s="88"/>
      <c r="G7" s="27"/>
      <c r="H7" s="28"/>
      <c r="I7" s="52"/>
      <c r="J7" s="29"/>
      <c r="K7" s="30"/>
      <c r="L7" s="30"/>
      <c r="M7" s="30"/>
      <c r="N7" s="30"/>
      <c r="O7" s="31"/>
      <c r="P7" s="32"/>
      <c r="Q7" s="33"/>
      <c r="R7" s="33"/>
      <c r="S7" s="33"/>
      <c r="T7" s="33"/>
      <c r="U7" s="34"/>
    </row>
    <row r="8" spans="1:21" ht="20.100000000000001" customHeight="1">
      <c r="B8" s="25"/>
      <c r="C8" s="88"/>
      <c r="D8" s="26"/>
      <c r="E8" s="88"/>
      <c r="F8" s="88"/>
      <c r="G8" s="27"/>
      <c r="H8" s="28"/>
      <c r="I8" s="52"/>
      <c r="J8" s="29"/>
      <c r="K8" s="30"/>
      <c r="L8" s="30"/>
      <c r="M8" s="30"/>
      <c r="N8" s="30"/>
      <c r="O8" s="31"/>
      <c r="P8" s="32"/>
      <c r="Q8" s="33"/>
      <c r="R8" s="33"/>
      <c r="S8" s="33"/>
      <c r="T8" s="33"/>
      <c r="U8" s="34"/>
    </row>
    <row r="9" spans="1:21" ht="20.100000000000001" customHeight="1">
      <c r="B9" s="25"/>
      <c r="C9" s="88"/>
      <c r="D9" s="26"/>
      <c r="E9" s="88"/>
      <c r="F9" s="88"/>
      <c r="G9" s="27"/>
      <c r="H9" s="28"/>
      <c r="I9" s="52"/>
      <c r="J9" s="29"/>
      <c r="K9" s="29"/>
      <c r="L9" s="30"/>
      <c r="M9" s="30"/>
      <c r="N9" s="30"/>
      <c r="O9" s="31"/>
      <c r="P9" s="32"/>
      <c r="Q9" s="33"/>
      <c r="R9" s="33"/>
      <c r="S9" s="33"/>
      <c r="T9" s="33"/>
      <c r="U9" s="34"/>
    </row>
    <row r="10" spans="1:21" ht="20.100000000000001" customHeight="1">
      <c r="B10" s="25"/>
      <c r="C10" s="88"/>
      <c r="D10" s="26"/>
      <c r="E10" s="88"/>
      <c r="F10" s="88"/>
      <c r="G10" s="27"/>
      <c r="H10" s="28"/>
      <c r="I10" s="52"/>
      <c r="J10" s="29"/>
      <c r="K10" s="29"/>
      <c r="L10" s="30"/>
      <c r="M10" s="30"/>
      <c r="N10" s="30"/>
      <c r="O10" s="31"/>
      <c r="P10" s="32"/>
      <c r="Q10" s="33"/>
      <c r="R10" s="33"/>
      <c r="S10" s="33"/>
      <c r="T10" s="33"/>
      <c r="U10" s="34"/>
    </row>
    <row r="11" spans="1:21" ht="20.100000000000001" customHeight="1">
      <c r="B11" s="25"/>
      <c r="C11" s="88"/>
      <c r="D11" s="26"/>
      <c r="E11" s="88"/>
      <c r="F11" s="88"/>
      <c r="G11" s="27"/>
      <c r="H11" s="28"/>
      <c r="I11" s="52"/>
      <c r="J11" s="29"/>
      <c r="K11" s="29"/>
      <c r="L11" s="30"/>
      <c r="M11" s="30"/>
      <c r="N11" s="30"/>
      <c r="O11" s="31"/>
      <c r="P11" s="32"/>
      <c r="Q11" s="33"/>
      <c r="R11" s="33"/>
      <c r="S11" s="33"/>
      <c r="T11" s="33"/>
      <c r="U11" s="34"/>
    </row>
    <row r="12" spans="1:21" ht="20.100000000000001" customHeight="1">
      <c r="B12" s="25"/>
      <c r="C12" s="88"/>
      <c r="D12" s="26"/>
      <c r="E12" s="88"/>
      <c r="F12" s="88"/>
      <c r="G12" s="27"/>
      <c r="H12" s="28"/>
      <c r="I12" s="52"/>
      <c r="J12" s="29"/>
      <c r="K12" s="30"/>
      <c r="L12" s="30"/>
      <c r="M12" s="30"/>
      <c r="N12" s="30"/>
      <c r="O12" s="31"/>
      <c r="P12" s="32"/>
      <c r="Q12" s="33"/>
      <c r="R12" s="33"/>
      <c r="S12" s="33"/>
      <c r="T12" s="33"/>
      <c r="U12" s="34"/>
    </row>
    <row r="13" spans="1:21" ht="20.100000000000001" customHeight="1">
      <c r="B13" s="25"/>
      <c r="C13" s="88"/>
      <c r="D13" s="26"/>
      <c r="E13" s="88"/>
      <c r="F13" s="88"/>
      <c r="G13" s="27"/>
      <c r="H13" s="28"/>
      <c r="I13" s="52"/>
      <c r="J13" s="29"/>
      <c r="K13" s="30"/>
      <c r="L13" s="30"/>
      <c r="M13" s="30"/>
      <c r="N13" s="30"/>
      <c r="O13" s="31"/>
      <c r="P13" s="32"/>
      <c r="Q13" s="33"/>
      <c r="R13" s="33"/>
      <c r="S13" s="33"/>
      <c r="T13" s="33"/>
      <c r="U13" s="34"/>
    </row>
    <row r="14" spans="1:21" ht="20.100000000000001" customHeight="1">
      <c r="B14" s="25"/>
      <c r="C14" s="88"/>
      <c r="D14" s="26"/>
      <c r="E14" s="88"/>
      <c r="F14" s="88"/>
      <c r="G14" s="27"/>
      <c r="H14" s="28"/>
      <c r="I14" s="52"/>
      <c r="J14" s="29"/>
      <c r="K14" s="30"/>
      <c r="L14" s="30"/>
      <c r="M14" s="30"/>
      <c r="N14" s="30"/>
      <c r="O14" s="31"/>
      <c r="P14" s="32"/>
      <c r="Q14" s="33"/>
      <c r="R14" s="33"/>
      <c r="S14" s="33"/>
      <c r="T14" s="33"/>
      <c r="U14" s="34"/>
    </row>
    <row r="15" spans="1:21" ht="20.100000000000001" customHeight="1">
      <c r="B15" s="25"/>
      <c r="C15" s="88"/>
      <c r="D15" s="26"/>
      <c r="E15" s="88"/>
      <c r="F15" s="88"/>
      <c r="G15" s="27"/>
      <c r="H15" s="28"/>
      <c r="I15" s="52"/>
      <c r="J15" s="29"/>
      <c r="K15" s="30"/>
      <c r="L15" s="30"/>
      <c r="M15" s="30"/>
      <c r="N15" s="30"/>
      <c r="O15" s="31"/>
      <c r="P15" s="32"/>
      <c r="Q15" s="33"/>
      <c r="R15" s="33"/>
      <c r="S15" s="33"/>
      <c r="T15" s="33"/>
      <c r="U15" s="34"/>
    </row>
    <row r="16" spans="1:21" ht="20.100000000000001" customHeight="1">
      <c r="B16" s="25"/>
      <c r="C16" s="88"/>
      <c r="D16" s="26"/>
      <c r="E16" s="88"/>
      <c r="F16" s="88"/>
      <c r="G16" s="27"/>
      <c r="H16" s="28"/>
      <c r="I16" s="52"/>
      <c r="J16" s="29"/>
      <c r="K16" s="30"/>
      <c r="L16" s="30"/>
      <c r="M16" s="30"/>
      <c r="N16" s="30"/>
      <c r="O16" s="31"/>
      <c r="P16" s="32"/>
      <c r="Q16" s="33"/>
      <c r="R16" s="33"/>
      <c r="S16" s="33"/>
      <c r="T16" s="33"/>
      <c r="U16" s="34"/>
    </row>
    <row r="17" spans="2:21" ht="20.100000000000001" customHeight="1">
      <c r="B17" s="25"/>
      <c r="C17" s="88"/>
      <c r="D17" s="26"/>
      <c r="E17" s="88"/>
      <c r="F17" s="88"/>
      <c r="G17" s="27"/>
      <c r="H17" s="28"/>
      <c r="I17" s="52"/>
      <c r="J17" s="29"/>
      <c r="K17" s="30"/>
      <c r="L17" s="30"/>
      <c r="M17" s="30"/>
      <c r="N17" s="30"/>
      <c r="O17" s="31"/>
      <c r="P17" s="32"/>
      <c r="Q17" s="33"/>
      <c r="R17" s="33"/>
      <c r="S17" s="33"/>
      <c r="T17" s="33"/>
      <c r="U17" s="34"/>
    </row>
    <row r="18" spans="2:21" ht="20.100000000000001" customHeight="1">
      <c r="B18" s="25"/>
      <c r="C18" s="88"/>
      <c r="D18" s="26"/>
      <c r="E18" s="88"/>
      <c r="F18" s="88"/>
      <c r="G18" s="27"/>
      <c r="H18" s="28"/>
      <c r="I18" s="52"/>
      <c r="J18" s="29"/>
      <c r="K18" s="30"/>
      <c r="L18" s="30"/>
      <c r="M18" s="30"/>
      <c r="N18" s="30"/>
      <c r="O18" s="31"/>
      <c r="P18" s="32"/>
      <c r="Q18" s="33"/>
      <c r="R18" s="33"/>
      <c r="S18" s="33"/>
      <c r="T18" s="33"/>
      <c r="U18" s="34"/>
    </row>
    <row r="19" spans="2:21" ht="20.100000000000001" customHeight="1">
      <c r="B19" s="25"/>
      <c r="C19" s="88"/>
      <c r="D19" s="26"/>
      <c r="E19" s="88"/>
      <c r="F19" s="88"/>
      <c r="G19" s="27"/>
      <c r="H19" s="28"/>
      <c r="I19" s="52"/>
      <c r="J19" s="29"/>
      <c r="K19" s="30"/>
      <c r="L19" s="30"/>
      <c r="M19" s="30"/>
      <c r="N19" s="30"/>
      <c r="O19" s="31"/>
      <c r="P19" s="32"/>
      <c r="Q19" s="33"/>
      <c r="R19" s="33"/>
      <c r="S19" s="33"/>
      <c r="T19" s="33"/>
      <c r="U19" s="34"/>
    </row>
    <row r="20" spans="2:21" ht="20.100000000000001" customHeight="1">
      <c r="B20" s="25"/>
      <c r="C20" s="88"/>
      <c r="D20" s="26"/>
      <c r="E20" s="88"/>
      <c r="F20" s="88"/>
      <c r="G20" s="27"/>
      <c r="H20" s="28"/>
      <c r="I20" s="52"/>
      <c r="J20" s="29"/>
      <c r="K20" s="30"/>
      <c r="L20" s="30"/>
      <c r="M20" s="30"/>
      <c r="N20" s="30"/>
      <c r="O20" s="31"/>
      <c r="P20" s="32"/>
      <c r="Q20" s="33"/>
      <c r="R20" s="33"/>
      <c r="S20" s="33"/>
      <c r="T20" s="33"/>
      <c r="U20" s="34"/>
    </row>
    <row r="21" spans="2:21" ht="20.100000000000001" customHeight="1">
      <c r="B21" s="25"/>
      <c r="C21" s="88"/>
      <c r="D21" s="26"/>
      <c r="E21" s="88"/>
      <c r="F21" s="88"/>
      <c r="G21" s="27"/>
      <c r="H21" s="28"/>
      <c r="I21" s="52"/>
      <c r="J21" s="29"/>
      <c r="K21" s="30"/>
      <c r="L21" s="30"/>
      <c r="M21" s="30"/>
      <c r="N21" s="30"/>
      <c r="O21" s="31"/>
      <c r="P21" s="32"/>
      <c r="Q21" s="33"/>
      <c r="R21" s="33"/>
      <c r="S21" s="33"/>
      <c r="T21" s="33"/>
      <c r="U21" s="34"/>
    </row>
    <row r="22" spans="2:21" ht="20.100000000000001" customHeight="1">
      <c r="B22" s="25"/>
      <c r="C22" s="88"/>
      <c r="D22" s="26"/>
      <c r="E22" s="88"/>
      <c r="F22" s="88"/>
      <c r="G22" s="27"/>
      <c r="H22" s="28"/>
      <c r="I22" s="52"/>
      <c r="J22" s="29"/>
      <c r="K22" s="30"/>
      <c r="L22" s="30"/>
      <c r="M22" s="30"/>
      <c r="N22" s="30"/>
      <c r="O22" s="31"/>
      <c r="P22" s="32"/>
      <c r="Q22" s="33"/>
      <c r="R22" s="33"/>
      <c r="S22" s="33"/>
      <c r="T22" s="33"/>
      <c r="U22" s="34"/>
    </row>
    <row r="23" spans="2:21" ht="20.100000000000001" customHeight="1">
      <c r="B23" s="25"/>
      <c r="C23" s="88"/>
      <c r="D23" s="26"/>
      <c r="E23" s="88"/>
      <c r="F23" s="88"/>
      <c r="G23" s="27"/>
      <c r="H23" s="28"/>
      <c r="I23" s="52"/>
      <c r="J23" s="29"/>
      <c r="K23" s="30"/>
      <c r="L23" s="30"/>
      <c r="M23" s="30"/>
      <c r="N23" s="30"/>
      <c r="O23" s="31"/>
      <c r="P23" s="32"/>
      <c r="Q23" s="33"/>
      <c r="R23" s="33"/>
      <c r="S23" s="33"/>
      <c r="T23" s="33"/>
      <c r="U23" s="34"/>
    </row>
    <row r="24" spans="2:21" ht="20.100000000000001" customHeight="1">
      <c r="B24" s="25"/>
      <c r="C24" s="88"/>
      <c r="D24" s="26"/>
      <c r="E24" s="88"/>
      <c r="F24" s="88"/>
      <c r="G24" s="27"/>
      <c r="H24" s="28"/>
      <c r="I24" s="52"/>
      <c r="J24" s="29"/>
      <c r="K24" s="30"/>
      <c r="L24" s="30"/>
      <c r="M24" s="30"/>
      <c r="N24" s="30"/>
      <c r="O24" s="31"/>
      <c r="P24" s="32"/>
      <c r="Q24" s="33"/>
      <c r="R24" s="33"/>
      <c r="S24" s="33"/>
      <c r="T24" s="33"/>
      <c r="U24" s="34"/>
    </row>
    <row r="25" spans="2:21" ht="20.100000000000001" customHeight="1">
      <c r="B25" s="25"/>
      <c r="C25" s="88"/>
      <c r="D25" s="26"/>
      <c r="E25" s="88"/>
      <c r="F25" s="88"/>
      <c r="G25" s="27"/>
      <c r="H25" s="28"/>
      <c r="I25" s="52"/>
      <c r="J25" s="29"/>
      <c r="K25" s="30"/>
      <c r="L25" s="30"/>
      <c r="M25" s="30"/>
      <c r="N25" s="30"/>
      <c r="O25" s="31"/>
      <c r="P25" s="32"/>
      <c r="Q25" s="33"/>
      <c r="R25" s="33"/>
      <c r="S25" s="33"/>
      <c r="T25" s="33"/>
      <c r="U25" s="34"/>
    </row>
    <row r="26" spans="2:21" ht="20.100000000000001" customHeight="1">
      <c r="B26" s="25"/>
      <c r="C26" s="88"/>
      <c r="D26" s="26"/>
      <c r="E26" s="88"/>
      <c r="F26" s="88"/>
      <c r="G26" s="27"/>
      <c r="H26" s="28"/>
      <c r="I26" s="52"/>
      <c r="J26" s="29"/>
      <c r="K26" s="30"/>
      <c r="L26" s="30"/>
      <c r="M26" s="30"/>
      <c r="N26" s="30"/>
      <c r="O26" s="31"/>
      <c r="P26" s="32"/>
      <c r="Q26" s="33"/>
      <c r="R26" s="33"/>
      <c r="S26" s="33"/>
      <c r="T26" s="33"/>
      <c r="U26" s="34"/>
    </row>
    <row r="27" spans="2:21" ht="20.100000000000001" customHeight="1">
      <c r="B27" s="25"/>
      <c r="C27" s="88"/>
      <c r="D27" s="26"/>
      <c r="E27" s="88"/>
      <c r="F27" s="88"/>
      <c r="G27" s="27"/>
      <c r="H27" s="28"/>
      <c r="I27" s="52"/>
      <c r="J27" s="29"/>
      <c r="K27" s="30"/>
      <c r="L27" s="30"/>
      <c r="M27" s="30"/>
      <c r="N27" s="30"/>
      <c r="O27" s="31"/>
      <c r="P27" s="32"/>
      <c r="Q27" s="33"/>
      <c r="R27" s="33"/>
      <c r="S27" s="33"/>
      <c r="T27" s="33"/>
      <c r="U27" s="34"/>
    </row>
    <row r="28" spans="2:21" ht="20.100000000000001" customHeight="1">
      <c r="B28" s="25"/>
      <c r="C28" s="88"/>
      <c r="D28" s="26"/>
      <c r="E28" s="88"/>
      <c r="F28" s="88"/>
      <c r="G28" s="27"/>
      <c r="H28" s="28"/>
      <c r="I28" s="52"/>
      <c r="J28" s="29"/>
      <c r="K28" s="30"/>
      <c r="L28" s="30"/>
      <c r="M28" s="30"/>
      <c r="N28" s="30"/>
      <c r="O28" s="31"/>
      <c r="P28" s="32"/>
      <c r="Q28" s="33"/>
      <c r="R28" s="33"/>
      <c r="S28" s="33"/>
      <c r="T28" s="33"/>
      <c r="U28" s="34"/>
    </row>
    <row r="29" spans="2:21" ht="20.100000000000001" customHeight="1">
      <c r="B29" s="25"/>
      <c r="C29" s="88"/>
      <c r="D29" s="26"/>
      <c r="E29" s="88"/>
      <c r="F29" s="88"/>
      <c r="G29" s="27"/>
      <c r="H29" s="28"/>
      <c r="I29" s="52"/>
      <c r="J29" s="29"/>
      <c r="K29" s="30"/>
      <c r="L29" s="30"/>
      <c r="M29" s="30"/>
      <c r="N29" s="30"/>
      <c r="O29" s="31"/>
      <c r="P29" s="32"/>
      <c r="Q29" s="33"/>
      <c r="R29" s="33"/>
      <c r="S29" s="33"/>
      <c r="T29" s="33"/>
      <c r="U29" s="34"/>
    </row>
    <row r="30" spans="2:21" ht="20.100000000000001" customHeight="1">
      <c r="B30" s="25"/>
      <c r="C30" s="88"/>
      <c r="D30" s="26"/>
      <c r="E30" s="88"/>
      <c r="F30" s="88"/>
      <c r="G30" s="27"/>
      <c r="H30" s="28"/>
      <c r="I30" s="52"/>
      <c r="J30" s="29"/>
      <c r="K30" s="30"/>
      <c r="L30" s="30"/>
      <c r="M30" s="30"/>
      <c r="N30" s="30"/>
      <c r="O30" s="31"/>
      <c r="P30" s="32"/>
      <c r="Q30" s="33"/>
      <c r="R30" s="33"/>
      <c r="S30" s="33"/>
      <c r="T30" s="33"/>
      <c r="U30" s="34"/>
    </row>
    <row r="31" spans="2:21" ht="20.100000000000001" customHeight="1">
      <c r="B31" s="25"/>
      <c r="C31" s="88"/>
      <c r="D31" s="26"/>
      <c r="E31" s="88"/>
      <c r="F31" s="88"/>
      <c r="G31" s="27"/>
      <c r="H31" s="28"/>
      <c r="I31" s="52"/>
      <c r="J31" s="29"/>
      <c r="K31" s="30"/>
      <c r="L31" s="30"/>
      <c r="M31" s="30"/>
      <c r="N31" s="30"/>
      <c r="O31" s="31"/>
      <c r="P31" s="32"/>
      <c r="Q31" s="33"/>
      <c r="R31" s="33"/>
      <c r="S31" s="33"/>
      <c r="T31" s="33"/>
      <c r="U31" s="34"/>
    </row>
    <row r="32" spans="2:21" ht="20.100000000000001" customHeight="1">
      <c r="B32" s="25"/>
      <c r="C32" s="88"/>
      <c r="D32" s="26"/>
      <c r="E32" s="88"/>
      <c r="F32" s="88"/>
      <c r="G32" s="27"/>
      <c r="H32" s="28"/>
      <c r="I32" s="52"/>
      <c r="J32" s="29"/>
      <c r="K32" s="30"/>
      <c r="L32" s="30"/>
      <c r="M32" s="30"/>
      <c r="N32" s="30"/>
      <c r="O32" s="31"/>
      <c r="P32" s="32"/>
      <c r="Q32" s="33"/>
      <c r="R32" s="33"/>
      <c r="S32" s="33"/>
      <c r="T32" s="33"/>
      <c r="U32" s="34"/>
    </row>
    <row r="33" spans="2:21" ht="20.100000000000001" customHeight="1">
      <c r="B33" s="25"/>
      <c r="C33" s="88"/>
      <c r="D33" s="26"/>
      <c r="E33" s="88"/>
      <c r="F33" s="88"/>
      <c r="G33" s="27"/>
      <c r="H33" s="28"/>
      <c r="I33" s="52"/>
      <c r="J33" s="29"/>
      <c r="K33" s="30"/>
      <c r="L33" s="30"/>
      <c r="M33" s="30"/>
      <c r="N33" s="30"/>
      <c r="O33" s="31"/>
      <c r="P33" s="32"/>
      <c r="Q33" s="33"/>
      <c r="R33" s="33"/>
      <c r="S33" s="33"/>
      <c r="T33" s="33"/>
      <c r="U33" s="34"/>
    </row>
    <row r="34" spans="2:21" ht="20.100000000000001" customHeight="1">
      <c r="B34" s="25"/>
      <c r="C34" s="88"/>
      <c r="D34" s="26"/>
      <c r="E34" s="88"/>
      <c r="F34" s="88"/>
      <c r="G34" s="27"/>
      <c r="H34" s="28"/>
      <c r="I34" s="52"/>
      <c r="J34" s="29"/>
      <c r="K34" s="30"/>
      <c r="L34" s="30"/>
      <c r="M34" s="30"/>
      <c r="N34" s="30"/>
      <c r="O34" s="31"/>
      <c r="P34" s="32"/>
      <c r="Q34" s="33"/>
      <c r="R34" s="33"/>
      <c r="S34" s="33"/>
      <c r="T34" s="33"/>
      <c r="U34" s="34"/>
    </row>
    <row r="35" spans="2:21" ht="20.100000000000001" customHeight="1">
      <c r="B35" s="25"/>
      <c r="C35" s="88"/>
      <c r="D35" s="26"/>
      <c r="E35" s="88"/>
      <c r="F35" s="88"/>
      <c r="G35" s="27"/>
      <c r="H35" s="28"/>
      <c r="I35" s="52"/>
      <c r="J35" s="29"/>
      <c r="K35" s="30"/>
      <c r="L35" s="30"/>
      <c r="M35" s="30"/>
      <c r="N35" s="30"/>
      <c r="O35" s="31"/>
      <c r="P35" s="32"/>
      <c r="Q35" s="33"/>
      <c r="R35" s="33"/>
      <c r="S35" s="33"/>
      <c r="T35" s="33"/>
      <c r="U35" s="34"/>
    </row>
    <row r="36" spans="2:21" ht="20.100000000000001" customHeight="1">
      <c r="B36" s="25"/>
      <c r="C36" s="88"/>
      <c r="D36" s="26"/>
      <c r="E36" s="88"/>
      <c r="F36" s="88"/>
      <c r="G36" s="27"/>
      <c r="H36" s="28"/>
      <c r="I36" s="52"/>
      <c r="J36" s="29"/>
      <c r="K36" s="30"/>
      <c r="L36" s="30"/>
      <c r="M36" s="30"/>
      <c r="N36" s="30"/>
      <c r="O36" s="31"/>
      <c r="P36" s="32"/>
      <c r="Q36" s="33"/>
      <c r="R36" s="33"/>
      <c r="S36" s="33"/>
      <c r="T36" s="33"/>
      <c r="U36" s="34"/>
    </row>
    <row r="37" spans="2:21" ht="20.100000000000001" customHeight="1">
      <c r="B37" s="25"/>
      <c r="C37" s="88"/>
      <c r="D37" s="26"/>
      <c r="E37" s="88"/>
      <c r="F37" s="88"/>
      <c r="G37" s="27"/>
      <c r="H37" s="28"/>
      <c r="I37" s="52"/>
      <c r="J37" s="29"/>
      <c r="K37" s="30"/>
      <c r="L37" s="30"/>
      <c r="M37" s="30"/>
      <c r="N37" s="30"/>
      <c r="O37" s="31"/>
      <c r="P37" s="32"/>
      <c r="Q37" s="33"/>
      <c r="R37" s="33"/>
      <c r="S37" s="33"/>
      <c r="T37" s="33"/>
      <c r="U37" s="34"/>
    </row>
    <row r="38" spans="2:21" ht="20.100000000000001" customHeight="1">
      <c r="B38" s="25"/>
      <c r="C38" s="88"/>
      <c r="D38" s="26"/>
      <c r="E38" s="88"/>
      <c r="F38" s="88"/>
      <c r="G38" s="27"/>
      <c r="H38" s="28"/>
      <c r="I38" s="52"/>
      <c r="J38" s="29"/>
      <c r="K38" s="30"/>
      <c r="L38" s="30"/>
      <c r="M38" s="30"/>
      <c r="N38" s="30"/>
      <c r="O38" s="31"/>
      <c r="P38" s="32"/>
      <c r="Q38" s="33"/>
      <c r="R38" s="33"/>
      <c r="S38" s="33"/>
      <c r="T38" s="33"/>
      <c r="U38" s="34"/>
    </row>
    <row r="39" spans="2:21" ht="20.100000000000001" customHeight="1">
      <c r="B39" s="25"/>
      <c r="C39" s="88"/>
      <c r="D39" s="26"/>
      <c r="E39" s="88"/>
      <c r="F39" s="88"/>
      <c r="G39" s="27"/>
      <c r="H39" s="28"/>
      <c r="I39" s="52"/>
      <c r="J39" s="29"/>
      <c r="K39" s="30"/>
      <c r="L39" s="30"/>
      <c r="M39" s="30"/>
      <c r="N39" s="30"/>
      <c r="O39" s="31"/>
      <c r="P39" s="32"/>
      <c r="Q39" s="33"/>
      <c r="R39" s="33"/>
      <c r="S39" s="33"/>
      <c r="T39" s="33"/>
      <c r="U39" s="34"/>
    </row>
    <row r="40" spans="2:21" ht="19.5" thickBot="1">
      <c r="B40" s="35"/>
      <c r="C40" s="36"/>
      <c r="D40" s="37"/>
      <c r="E40" s="36"/>
      <c r="F40" s="36"/>
      <c r="G40" s="38"/>
      <c r="H40" s="39"/>
      <c r="I40" s="40"/>
      <c r="J40" s="41"/>
      <c r="K40" s="42"/>
      <c r="L40" s="42"/>
      <c r="M40" s="42"/>
      <c r="N40" s="42"/>
      <c r="O40" s="43"/>
      <c r="P40" s="44"/>
      <c r="Q40" s="45"/>
      <c r="R40" s="45"/>
      <c r="S40" s="45"/>
      <c r="T40" s="45"/>
      <c r="U40" s="46"/>
    </row>
  </sheetData>
  <customSheetViews>
    <customSheetView guid="{809E84AF-EE5E-4456-99E6-0390B35F6AD9}" scale="80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1"/>
      <headerFooter alignWithMargins="0">
        <oddFooter>&amp;C&amp;P / &amp;N</oddFooter>
      </headerFooter>
    </customSheetView>
    <customSheetView guid="{898DF6CC-64C7-4F2D-A13E-0A476B60DF75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2"/>
      <headerFooter alignWithMargins="0">
        <oddFooter>&amp;C&amp;P / &amp;N</oddFooter>
      </headerFooter>
    </customSheetView>
    <customSheetView guid="{1D8BE6F4-405A-4FC6-B1E3-D9618F9FD7A8}" scale="85" showGridLines="0" fitToPage="1" hiddenColumns="1" topLeftCell="A22">
      <selection activeCell="A26" sqref="A26"/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3"/>
      <headerFooter alignWithMargins="0">
        <oddFooter>&amp;C&amp;P / &amp;N</oddFooter>
      </headerFooter>
    </customSheetView>
    <customSheetView guid="{11FF3D1A-B611-4935-A0EC-72FFAD7F9EAF}" scale="85" showGridLines="0" fitToPage="1" hiddenColumns="1">
      <pageMargins left="0.19685039370078741" right="0.19685039370078741" top="0.59055118110236227" bottom="0.19685039370078741" header="0.31496062992125984" footer="0"/>
      <printOptions horizontalCentered="1"/>
      <pageSetup paperSize="9" scale="78" fitToHeight="0" orientation="landscape" r:id="rId4"/>
      <headerFooter alignWithMargins="0">
        <oddFooter>&amp;C&amp;P / &amp;N</oddFooter>
      </headerFooter>
    </customSheetView>
  </customSheetViews>
  <mergeCells count="9">
    <mergeCell ref="B2:E3"/>
    <mergeCell ref="F2:G2"/>
    <mergeCell ref="H2:O2"/>
    <mergeCell ref="Q2:R2"/>
    <mergeCell ref="T2:U2"/>
    <mergeCell ref="F3:G3"/>
    <mergeCell ref="H3:O3"/>
    <mergeCell ref="Q3:R3"/>
    <mergeCell ref="T3:U3"/>
  </mergeCells>
  <phoneticPr fontId="4"/>
  <printOptions horizontalCentered="1"/>
  <pageMargins left="0.39370078740157483" right="0.39370078740157483" top="0.59055118110236227" bottom="0.59055118110236227" header="0.31496062992125984" footer="0.27559055118110237"/>
  <pageSetup paperSize="9" scale="63" fitToHeight="0" orientation="landscape" r:id="rId5"/>
  <headerFooter alignWithMargins="0">
    <oddFooter>&amp;R&amp;"Arial,標準"&amp;8Sharp Business Solutions Corporation&amp;C&amp;P / &amp;N</oddFooter>
  </headerFooter>
</worksheet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オプション設定" supertip="オプション画面を表示します &#13;" onAction="Ctl_Ribbon.Option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更新" label="TBLリスト更新" imageMso="CurrentViewSettings" screentip="TBLリスト更新" supertip="オプション画面を表示します &#13;" onAction="Ctl_Ribbon.Option"/>
        </group>
        <group id="DB操作" label="DB操作">
          <menu id="M_DB操作" label="情報取得&#13;&#10;" size="large" itemSize="large" imageMso="DatabaseModelingReverse">
            <menuSeparator id="MS_削除" title="DB操作"/>
            <button id="テーブル情報取得" label="テーブル情報取得" imageMso="DatabaseModelingReverse" onAction="Ctl_Ribbon.getTableInfo" description="テーブル情報取得 &#13;"/>
            <button id="カラム情報取得" label="カラム情報取得" imageMso="DatabaseModelingReverse" onAction="Ctl_Ribbon.getColumnInfo" description="カラム情報取得 &#13;"/>
          </menu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30</vt:i4>
      </vt:variant>
    </vt:vector>
  </HeadingPairs>
  <TitlesOfParts>
    <vt:vector size="38" baseType="lpstr">
      <vt:lpstr>設定</vt:lpstr>
      <vt:lpstr>Notice</vt:lpstr>
      <vt:lpstr>DataType</vt:lpstr>
      <vt:lpstr>コピー用</vt:lpstr>
      <vt:lpstr>表紙</vt:lpstr>
      <vt:lpstr>TBLリスト</vt:lpstr>
      <vt:lpstr>変更履歴</vt:lpstr>
      <vt:lpstr>ER図</vt:lpstr>
      <vt:lpstr>■VBA用の設定</vt:lpstr>
      <vt:lpstr>CreateAt</vt:lpstr>
      <vt:lpstr>CreateBy</vt:lpstr>
      <vt:lpstr>CustomRibbon</vt:lpstr>
      <vt:lpstr>DBList</vt:lpstr>
      <vt:lpstr>DBMS</vt:lpstr>
      <vt:lpstr>DBName</vt:lpstr>
      <vt:lpstr>DBServer</vt:lpstr>
      <vt:lpstr>debugMode</vt:lpstr>
      <vt:lpstr>Frm_NewSheetLeft</vt:lpstr>
      <vt:lpstr>Frm_NewSheetTop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passwd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Bumpei.Koizumi</cp:lastModifiedBy>
  <cp:lastPrinted>2016-01-21T08:34:09Z</cp:lastPrinted>
  <dcterms:created xsi:type="dcterms:W3CDTF">2006-04-16T04:34:38Z</dcterms:created>
  <dcterms:modified xsi:type="dcterms:W3CDTF">2021-09-10T08:46:05Z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